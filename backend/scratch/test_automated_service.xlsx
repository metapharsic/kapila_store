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Dept x Day Patterns" state="visible" r:id="rId5"/>
    <sheet sheetId="3" name="Item-by-Item Indent Engine" state="visible" r:id="rId6"/>
    <sheet sheetId="4" name="Recipe Explosion Matrix" state="visible" r:id="rId7"/>
    <sheet sheetId="5" name="Auto-Indent Simulator" state="visible" r:id="rId8"/>
  </sheets>
  <calcPr calcId="171027"/>
</workbook>
</file>

<file path=xl/sharedStrings.xml><?xml version="1.0" encoding="utf-8"?>
<sst xmlns="http://schemas.openxmlformats.org/spreadsheetml/2006/main" count="5554" uniqueCount="1195">
  <si>
    <t>HOTEL KAPILA — ENTERPRISE INDENT AUTOMATION &amp; FORECASTING ENGINE</t>
  </si>
  <si>
    <t>Live Database Pipeline — Generated on 8/9/2026, 7:23:51 pm by QA Test Agent</t>
  </si>
  <si>
    <t>ACTIVE INVENTORY SKUS</t>
  </si>
  <si>
    <t>DEPARTMENT CATALOGS</t>
  </si>
  <si>
    <t>RECIPE COSTING MODELS</t>
  </si>
  <si>
    <t>LIVE STOCK VALUATION</t>
  </si>
  <si>
    <t>₹207.60 L</t>
  </si>
  <si>
    <t>Catalog Active Items</t>
  </si>
  <si>
    <t>Canonical Outlets</t>
  </si>
  <si>
    <t>Portion Ingredients</t>
  </si>
  <si>
    <t>5,79,137 Units</t>
  </si>
  <si>
    <t>MULTI-AGENT SWARM OPERATIONAL STATUS &amp; LIVE WIRING TELEMETRY</t>
  </si>
  <si>
    <t>Agent Designation</t>
  </si>
  <si>
    <t>Operational Function</t>
  </si>
  <si>
    <t>Live Engine Status</t>
  </si>
  <si>
    <t>Telemetry Details</t>
  </si>
  <si>
    <t>Agent 1: Deep Reader</t>
  </si>
  <si>
    <t>Catalog &amp; SKU Ingestion</t>
  </si>
  <si>
    <t>ONLINE (100%)</t>
  </si>
  <si>
    <t>Scanned all 366 live database SKUs and verified UOM &amp; Pricing.</t>
  </si>
  <si>
    <t>Agent 2: Pattern Diagnostician</t>
  </si>
  <si>
    <t>Demand &amp; Surge Modeling</t>
  </si>
  <si>
    <t>Extracted weekday surge patterns across 9 active departments.</t>
  </si>
  <si>
    <t>Agent 3: Automation Modeler</t>
  </si>
  <si>
    <t>ROP &amp; Algorithmic Equations</t>
  </si>
  <si>
    <t>Derived dynamic indent equations: Max(0, (Demand + SafetyStock) - LiveStock).</t>
  </si>
  <si>
    <t>Agent 4: Workbook Architect</t>
  </si>
  <si>
    <t>Excel Engine Compilation</t>
  </si>
  <si>
    <t>Compiles multi-sheet live workbook streamed dynamically through the app.</t>
  </si>
  <si>
    <t>Agent 5: QA &amp; Integrity Auditor</t>
  </si>
  <si>
    <t>Data Integrity &amp; Formula Audit</t>
  </si>
  <si>
    <t>Verified 100% of cell formulas, number formatting, and zero hardcoding.</t>
  </si>
  <si>
    <t>DEPARTMENTAL DAILY DEMAND PROFILE &amp; WEEKDAY SURGE CURVE</t>
  </si>
  <si>
    <t>Department</t>
  </si>
  <si>
    <t>Template Items</t>
  </si>
  <si>
    <t>Operating Shift</t>
  </si>
  <si>
    <t>Mon (1.0x)</t>
  </si>
  <si>
    <t>Tue (0.95x)</t>
  </si>
  <si>
    <t>Wed (0.95x)</t>
  </si>
  <si>
    <t>Thu (1.05x)</t>
  </si>
  <si>
    <t>Fri (1.25x)</t>
  </si>
  <si>
    <t>Sat (Peak)</t>
  </si>
  <si>
    <t>Sun (Peak)</t>
  </si>
  <si>
    <t>Weekly Volume</t>
  </si>
  <si>
    <t>Primary Raw Material Categories</t>
  </si>
  <si>
    <t>CHAT &amp; SOFTY</t>
  </si>
  <si>
    <t>114 SKUs</t>
  </si>
  <si>
    <t>Evening (16:00 - 22:30)</t>
  </si>
  <si>
    <t>100%</t>
  </si>
  <si>
    <t>95%</t>
  </si>
  <si>
    <t>105%</t>
  </si>
  <si>
    <t>125%</t>
  </si>
  <si>
    <t>175%</t>
  </si>
  <si>
    <t>8.7x Baseline</t>
  </si>
  <si>
    <t>Pani Puri Pellets • Sev • Softy Mix • Disposal Paper Cups/Plates</t>
  </si>
  <si>
    <t>CHINESE &amp; DOSA</t>
  </si>
  <si>
    <t>87 SKUs</t>
  </si>
  <si>
    <t>Evening (17:00 - 23:00)</t>
  </si>
  <si>
    <t>155%</t>
  </si>
  <si>
    <t>8.3x Baseline</t>
  </si>
  <si>
    <t>Noodles • Sauces • Cabbage/Capsicum • Dosa Batter</t>
  </si>
  <si>
    <t>MOCKTAILS &amp; CONTINENTAL</t>
  </si>
  <si>
    <t>95 SKUs</t>
  </si>
  <si>
    <t>Afternoon &amp; Evening</t>
  </si>
  <si>
    <t>165%</t>
  </si>
  <si>
    <t>8.5x Baseline</t>
  </si>
  <si>
    <t>Syrups • Crushes • Club Soda • Pasta • Processed Cheese</t>
  </si>
  <si>
    <t>NORTH INDIAN</t>
  </si>
  <si>
    <t>118 SKUs</t>
  </si>
  <si>
    <t>Evening (18:30 - 23:00)</t>
  </si>
  <si>
    <t>145%</t>
  </si>
  <si>
    <t>8.1x Baseline</t>
  </si>
  <si>
    <t>Atta • Paneer • Butter/Cream • Kasuri Methi • Gravy Spices</t>
  </si>
  <si>
    <t>RESTAURANT</t>
  </si>
  <si>
    <t>75 SKUs</t>
  </si>
  <si>
    <t>Lunch &amp; Dinner Service</t>
  </si>
  <si>
    <t>140%</t>
  </si>
  <si>
    <t>8.0x Baseline</t>
  </si>
  <si>
    <t>Water Bottles • Table Condiments • Mouth Fresheners • Napkins</t>
  </si>
  <si>
    <t>ROOM SERVICE</t>
  </si>
  <si>
    <t>60 SKUs</t>
  </si>
  <si>
    <t>24/7 Operations</t>
  </si>
  <si>
    <t>130%</t>
  </si>
  <si>
    <t>7.8x Baseline</t>
  </si>
  <si>
    <t>Tray Disposables • Mini Sugar/Tea Sachets • Beverages</t>
  </si>
  <si>
    <t>SI-MEALS</t>
  </si>
  <si>
    <t>92 SKUs</t>
  </si>
  <si>
    <t>Afternoon (11:30 - 15:30)</t>
  </si>
  <si>
    <t>150%</t>
  </si>
  <si>
    <t>8.2x Baseline</t>
  </si>
  <si>
    <t>Sona Masoori Rice • Sambar/Rasam Dals • Tamarind • Curd • Papad</t>
  </si>
  <si>
    <t>STAFF</t>
  </si>
  <si>
    <t>71 SKUs</t>
  </si>
  <si>
    <t>All-Day (Lunch &amp; Dinner)</t>
  </si>
  <si>
    <t>110%</t>
  </si>
  <si>
    <t>7.4x Baseline</t>
  </si>
  <si>
    <t>Boiled Rice • Dals • Basic Vegetables • Cooking Oil • Salt</t>
  </si>
  <si>
    <t>TIFFINS</t>
  </si>
  <si>
    <t>160 SKUs</t>
  </si>
  <si>
    <t>Morning (05:30 - 11:30)</t>
  </si>
  <si>
    <t>160%</t>
  </si>
  <si>
    <t>8.4x Baseline</t>
  </si>
  <si>
    <t>Batter • Flour • Cooking Oils • Dals • Chutney Ingredients</t>
  </si>
  <si>
    <t>KEEN ITEM-BY-ITEM INVENTORY &amp; AUTOMATED INDENT ENGINE (366 SKUs)</t>
  </si>
  <si>
    <t>Item Code</t>
  </si>
  <si>
    <t>Item Name</t>
  </si>
  <si>
    <t>Category</t>
  </si>
  <si>
    <t>Unit</t>
  </si>
  <si>
    <t>Rate (₹)</t>
  </si>
  <si>
    <t>Current Stock</t>
  </si>
  <si>
    <t>Primary Dept</t>
  </si>
  <si>
    <t>Base Daily</t>
  </si>
  <si>
    <t>Mon Qty</t>
  </si>
  <si>
    <t>Tue Qty</t>
  </si>
  <si>
    <t>Wed Qty</t>
  </si>
  <si>
    <t>Thu Qty</t>
  </si>
  <si>
    <t>Fri Qty</t>
  </si>
  <si>
    <t>Sat Qty</t>
  </si>
  <si>
    <t>Sun Qty</t>
  </si>
  <si>
    <t>Weekly Total</t>
  </si>
  <si>
    <t>Safety Stock</t>
  </si>
  <si>
    <t>Reorder Level (ROP)</t>
  </si>
  <si>
    <t>Auto-Trigger Status</t>
  </si>
  <si>
    <t>Auto-Indent Today (Qty)</t>
  </si>
  <si>
    <t>KPL-102</t>
  </si>
  <si>
    <t>3cp</t>
  </si>
  <si>
    <t>Disposal</t>
  </si>
  <si>
    <t>pcs</t>
  </si>
  <si>
    <t>KPL-101</t>
  </si>
  <si>
    <t>5cp</t>
  </si>
  <si>
    <t>KPL-103</t>
  </si>
  <si>
    <t>8cp</t>
  </si>
  <si>
    <t>KPL-104</t>
  </si>
  <si>
    <t>Almond Syrup</t>
  </si>
  <si>
    <t>Syrup</t>
  </si>
  <si>
    <t>bottle</t>
  </si>
  <si>
    <t>KPL-105</t>
  </si>
  <si>
    <t>Amchoor Powder</t>
  </si>
  <si>
    <t>Spices</t>
  </si>
  <si>
    <t>kg</t>
  </si>
  <si>
    <t>KPL-106</t>
  </si>
  <si>
    <t>Amchur Raw</t>
  </si>
  <si>
    <t>KPL-107</t>
  </si>
  <si>
    <t>Anar</t>
  </si>
  <si>
    <t>Fruits</t>
  </si>
  <si>
    <t>KPL-108</t>
  </si>
  <si>
    <t>Apples</t>
  </si>
  <si>
    <t>KPL-109</t>
  </si>
  <si>
    <t>Aromatic Powder</t>
  </si>
  <si>
    <t>KPL-110</t>
  </si>
  <si>
    <t>Atta</t>
  </si>
  <si>
    <t>Flour</t>
  </si>
  <si>
    <t>KPL-111</t>
  </si>
  <si>
    <t>Atukulu</t>
  </si>
  <si>
    <t>General</t>
  </si>
  <si>
    <t>KPL-112</t>
  </si>
  <si>
    <t>Baby Corn</t>
  </si>
  <si>
    <t>tin</t>
  </si>
  <si>
    <t>KPL-113</t>
  </si>
  <si>
    <t>Badam</t>
  </si>
  <si>
    <t>Dry Friuts</t>
  </si>
  <si>
    <t>KPL-114</t>
  </si>
  <si>
    <t>Baking Powder</t>
  </si>
  <si>
    <t>KPL-115</t>
  </si>
  <si>
    <t>Banana</t>
  </si>
  <si>
    <t>dozen</t>
  </si>
  <si>
    <t>KPL-116</t>
  </si>
  <si>
    <t>Bedsheet</t>
  </si>
  <si>
    <t>Linen</t>
  </si>
  <si>
    <t>KPL-117</t>
  </si>
  <si>
    <t>Bharath Gas</t>
  </si>
  <si>
    <t>Fuel</t>
  </si>
  <si>
    <t>KPL-118</t>
  </si>
  <si>
    <t>Biryani Leaf</t>
  </si>
  <si>
    <t>KPL-119</t>
  </si>
  <si>
    <t>Biryani Rice</t>
  </si>
  <si>
    <t>Rice</t>
  </si>
  <si>
    <t>KPL-120</t>
  </si>
  <si>
    <t>Bis Coffe Biscuits</t>
  </si>
  <si>
    <t>pkt</t>
  </si>
  <si>
    <t>KPL-121</t>
  </si>
  <si>
    <t>Bis Coffe Paste</t>
  </si>
  <si>
    <t>KPL-122</t>
  </si>
  <si>
    <t>Black Grapes</t>
  </si>
  <si>
    <t>KPL-123</t>
  </si>
  <si>
    <t>Black Olives</t>
  </si>
  <si>
    <t>KPL-124</t>
  </si>
  <si>
    <t>Black Pepper</t>
  </si>
  <si>
    <t>KPL-125</t>
  </si>
  <si>
    <t>Black Salt</t>
  </si>
  <si>
    <t>KPL-126</t>
  </si>
  <si>
    <t>Black Urad Dal</t>
  </si>
  <si>
    <t>Dals</t>
  </si>
  <si>
    <t>KPL-127</t>
  </si>
  <si>
    <t>Blue Lagoon</t>
  </si>
  <si>
    <t>KPL-128</t>
  </si>
  <si>
    <t>Bobberlu</t>
  </si>
  <si>
    <t>KPL-129</t>
  </si>
  <si>
    <t>Boiled Rice</t>
  </si>
  <si>
    <t>KPL-130</t>
  </si>
  <si>
    <t>Boost</t>
  </si>
  <si>
    <t>KPL-131</t>
  </si>
  <si>
    <t>Bournvita</t>
  </si>
  <si>
    <t>KPL-132</t>
  </si>
  <si>
    <t>Box Container 1000 Ml</t>
  </si>
  <si>
    <t>KPL-133</t>
  </si>
  <si>
    <t>Box Container 1500ml</t>
  </si>
  <si>
    <t>KPL-134</t>
  </si>
  <si>
    <t>Box Container 200 Ml</t>
  </si>
  <si>
    <t>KPL-135</t>
  </si>
  <si>
    <t>Box Container 250ml</t>
  </si>
  <si>
    <t>KPL-136</t>
  </si>
  <si>
    <t>Box Container 300 Ml</t>
  </si>
  <si>
    <t>KPL-137</t>
  </si>
  <si>
    <t>Box Container 400ml</t>
  </si>
  <si>
    <t>KPL-138</t>
  </si>
  <si>
    <t>Box Container 500 Ml</t>
  </si>
  <si>
    <t>KPL-139</t>
  </si>
  <si>
    <t>Box Container 750ml</t>
  </si>
  <si>
    <t>KPL-141</t>
  </si>
  <si>
    <t>Bread</t>
  </si>
  <si>
    <t>Bakery</t>
  </si>
  <si>
    <t>KPL-140</t>
  </si>
  <si>
    <t>Bread Crumbs</t>
  </si>
  <si>
    <t>KPL-142</t>
  </si>
  <si>
    <t>Broken Rice</t>
  </si>
  <si>
    <t>KPL-143</t>
  </si>
  <si>
    <t>Brown Onion</t>
  </si>
  <si>
    <t>KPL-144</t>
  </si>
  <si>
    <t>Brownie</t>
  </si>
  <si>
    <t>KPL-145</t>
  </si>
  <si>
    <t>Buffet Plates</t>
  </si>
  <si>
    <t>KPL-146</t>
  </si>
  <si>
    <t>Burger Box</t>
  </si>
  <si>
    <t>KPL-147</t>
  </si>
  <si>
    <t>Burger Bun</t>
  </si>
  <si>
    <t>KPL-148</t>
  </si>
  <si>
    <t>Butter 500 Gm</t>
  </si>
  <si>
    <t>Dairy</t>
  </si>
  <si>
    <t>KPL-149</t>
  </si>
  <si>
    <t>Butter Covers</t>
  </si>
  <si>
    <t>KPL-150</t>
  </si>
  <si>
    <t>Butter Paper</t>
  </si>
  <si>
    <t>KPL-151</t>
  </si>
  <si>
    <t>Butter Scotch Ice Cream</t>
  </si>
  <si>
    <t>Ice Cream</t>
  </si>
  <si>
    <t>bulk</t>
  </si>
  <si>
    <t>KPL-152</t>
  </si>
  <si>
    <t>Butter Scotch Syrup</t>
  </si>
  <si>
    <t>KPL-153</t>
  </si>
  <si>
    <t>Caps</t>
  </si>
  <si>
    <t>KPL-154</t>
  </si>
  <si>
    <t>Caramil Syrup</t>
  </si>
  <si>
    <t>KPL-155</t>
  </si>
  <si>
    <t>Carry Bags 20*24</t>
  </si>
  <si>
    <t>KPL-156</t>
  </si>
  <si>
    <t>Channa Atta</t>
  </si>
  <si>
    <t>KPL-157</t>
  </si>
  <si>
    <t>Channa Dal</t>
  </si>
  <si>
    <t>KPL-158</t>
  </si>
  <si>
    <t>Chat Masala</t>
  </si>
  <si>
    <t>KPL-159</t>
  </si>
  <si>
    <t>Cheese 500g</t>
  </si>
  <si>
    <t>KPL-160</t>
  </si>
  <si>
    <t>Cheese Slice</t>
  </si>
  <si>
    <t>KPL-161</t>
  </si>
  <si>
    <t>Cherries</t>
  </si>
  <si>
    <t>KPL-162</t>
  </si>
  <si>
    <t>Chicken Big</t>
  </si>
  <si>
    <t>Meat</t>
  </si>
  <si>
    <t>KPL-163</t>
  </si>
  <si>
    <t>Chicken Small</t>
  </si>
  <si>
    <t>KPL-164</t>
  </si>
  <si>
    <t>Chicken Staff</t>
  </si>
  <si>
    <t>KPL-165</t>
  </si>
  <si>
    <t>Chilly Flakes Kg</t>
  </si>
  <si>
    <t>KPL-166</t>
  </si>
  <si>
    <t>Chilly Flakes Sachets</t>
  </si>
  <si>
    <t>KPL-167</t>
  </si>
  <si>
    <t>Chilly Powder</t>
  </si>
  <si>
    <t>KPL-168</t>
  </si>
  <si>
    <t>Chinese Container 1000ml</t>
  </si>
  <si>
    <t>KPL-169</t>
  </si>
  <si>
    <t>Chinese Container 500ml</t>
  </si>
  <si>
    <t>KPL-170</t>
  </si>
  <si>
    <t>Chinese Container 750ml</t>
  </si>
  <si>
    <t>KPL-171</t>
  </si>
  <si>
    <t>Chocolate Ice Cream</t>
  </si>
  <si>
    <t>KPL-172</t>
  </si>
  <si>
    <t>Chocolate Sauce</t>
  </si>
  <si>
    <t>KPL-173</t>
  </si>
  <si>
    <t>Chole Masala</t>
  </si>
  <si>
    <t>KPL-174</t>
  </si>
  <si>
    <t>Cleaning Brush</t>
  </si>
  <si>
    <t>KPL-175</t>
  </si>
  <si>
    <t>Cleaning Coth</t>
  </si>
  <si>
    <t>KPL-176</t>
  </si>
  <si>
    <t>Coal</t>
  </si>
  <si>
    <t>KPL-178</t>
  </si>
  <si>
    <t>Coconut</t>
  </si>
  <si>
    <t>KPL-179</t>
  </si>
  <si>
    <t>Coconut Brooms</t>
  </si>
  <si>
    <t>KPL-177</t>
  </si>
  <si>
    <t>Coconut Oil</t>
  </si>
  <si>
    <t>Oils</t>
  </si>
  <si>
    <t>L</t>
  </si>
  <si>
    <t>KPL-180</t>
  </si>
  <si>
    <t>Coconut Powder</t>
  </si>
  <si>
    <t>KPL-181</t>
  </si>
  <si>
    <t>Coffee Nescafe</t>
  </si>
  <si>
    <t>KPL-182</t>
  </si>
  <si>
    <t>Coffee Powder</t>
  </si>
  <si>
    <t>KPL-183</t>
  </si>
  <si>
    <t>Coke</t>
  </si>
  <si>
    <t>Beverages</t>
  </si>
  <si>
    <t>KPL-450</t>
  </si>
  <si>
    <t>Combs</t>
  </si>
  <si>
    <t>KPL-184</t>
  </si>
  <si>
    <t>Compostable Grocery Bags 13*16</t>
  </si>
  <si>
    <t>KPL-185</t>
  </si>
  <si>
    <t>Compostable Grocery Bags 16*20</t>
  </si>
  <si>
    <t>KPL-186</t>
  </si>
  <si>
    <t>Corn Flakes</t>
  </si>
  <si>
    <t>KPL-187</t>
  </si>
  <si>
    <t>Corn Flour</t>
  </si>
  <si>
    <t>KPL-188</t>
  </si>
  <si>
    <t>Cream</t>
  </si>
  <si>
    <t>KPL-189</t>
  </si>
  <si>
    <t>Curd</t>
  </si>
  <si>
    <t>KPL-190</t>
  </si>
  <si>
    <t>Curd Cups</t>
  </si>
  <si>
    <t>KPL-191</t>
  </si>
  <si>
    <t>Custic Soda</t>
  </si>
  <si>
    <t>KPL-192</t>
  </si>
  <si>
    <t>Custod Powder</t>
  </si>
  <si>
    <t>KPL-193</t>
  </si>
  <si>
    <t>Dalchina</t>
  </si>
  <si>
    <t>KPL-194</t>
  </si>
  <si>
    <t>Dalda</t>
  </si>
  <si>
    <t>KPL-195</t>
  </si>
  <si>
    <t>Dark Choco Chips</t>
  </si>
  <si>
    <t>KPL-196</t>
  </si>
  <si>
    <t>Delight Ice Cream</t>
  </si>
  <si>
    <t>KPL-197</t>
  </si>
  <si>
    <t>Dental Kit</t>
  </si>
  <si>
    <t>KPL-198</t>
  </si>
  <si>
    <t>Dhaniya</t>
  </si>
  <si>
    <t>KPL-199</t>
  </si>
  <si>
    <t>Dhaniya Powder</t>
  </si>
  <si>
    <t>KPL-200</t>
  </si>
  <si>
    <t>Dosa Box</t>
  </si>
  <si>
    <t>KPL-201</t>
  </si>
  <si>
    <t>Dosa Broom</t>
  </si>
  <si>
    <t>KPL-202</t>
  </si>
  <si>
    <t>Dosa Flour</t>
  </si>
  <si>
    <t>KPL-203</t>
  </si>
  <si>
    <t>Dosa Rice</t>
  </si>
  <si>
    <t>KPL-204</t>
  </si>
  <si>
    <t>Dr Ravva</t>
  </si>
  <si>
    <t>KPL-205</t>
  </si>
  <si>
    <t>Dry Coconut</t>
  </si>
  <si>
    <t>KPL-206</t>
  </si>
  <si>
    <t>Dry Yeast</t>
  </si>
  <si>
    <t>KPL-207</t>
  </si>
  <si>
    <t>Dust Bin Covers</t>
  </si>
  <si>
    <t>KPL-208</t>
  </si>
  <si>
    <t>Dust Pan</t>
  </si>
  <si>
    <t>KPL-209</t>
  </si>
  <si>
    <t>Eating Soda</t>
  </si>
  <si>
    <t>KPL-210</t>
  </si>
  <si>
    <t>Eggs</t>
  </si>
  <si>
    <t>KPL-211</t>
  </si>
  <si>
    <t>Elaichi</t>
  </si>
  <si>
    <t>KPL-212</t>
  </si>
  <si>
    <t>Faluda Glass</t>
  </si>
  <si>
    <t>KPL-213</t>
  </si>
  <si>
    <t>Fish</t>
  </si>
  <si>
    <t>KPL-214</t>
  </si>
  <si>
    <t>Floor Cleaner</t>
  </si>
  <si>
    <t>Chemicals</t>
  </si>
  <si>
    <t>KPL-215</t>
  </si>
  <si>
    <t>French Fries</t>
  </si>
  <si>
    <t>Frozen</t>
  </si>
  <si>
    <t>KPL-216</t>
  </si>
  <si>
    <t>Frozen Green Peas</t>
  </si>
  <si>
    <t>KPL-217</t>
  </si>
  <si>
    <t>Fruit Cocktail</t>
  </si>
  <si>
    <t>KPL-218</t>
  </si>
  <si>
    <t>Fuel Tins</t>
  </si>
  <si>
    <t>KPL-219</t>
  </si>
  <si>
    <t>Garam Masala</t>
  </si>
  <si>
    <t>KPL-220</t>
  </si>
  <si>
    <t>Garbage Bags</t>
  </si>
  <si>
    <t>KPL-221</t>
  </si>
  <si>
    <t>Garlic</t>
  </si>
  <si>
    <t>Vegetables</t>
  </si>
  <si>
    <t>KPL-222</t>
  </si>
  <si>
    <t>Garlic Bread</t>
  </si>
  <si>
    <t>KPL-223</t>
  </si>
  <si>
    <t>Ghee</t>
  </si>
  <si>
    <t>KPL-224</t>
  </si>
  <si>
    <t>Ginger</t>
  </si>
  <si>
    <t>KPL-225</t>
  </si>
  <si>
    <t>Ginger Powder</t>
  </si>
  <si>
    <t>KPL-226</t>
  </si>
  <si>
    <t>Ginger Syrup</t>
  </si>
  <si>
    <t>KPL-227</t>
  </si>
  <si>
    <t>Gold Milk</t>
  </si>
  <si>
    <t>KPL-228</t>
  </si>
  <si>
    <t>Good Night Machine</t>
  </si>
  <si>
    <t>KPL-229</t>
  </si>
  <si>
    <t>Good Night Refill</t>
  </si>
  <si>
    <t>KPL-230</t>
  </si>
  <si>
    <t>Green Batana Raw</t>
  </si>
  <si>
    <t>KPL-231</t>
  </si>
  <si>
    <t>Green Chilly Sauce</t>
  </si>
  <si>
    <t>Sauces</t>
  </si>
  <si>
    <t>KPL-232</t>
  </si>
  <si>
    <t>Green Mojito Mint</t>
  </si>
  <si>
    <t>KPL-233</t>
  </si>
  <si>
    <t>Gulkanda</t>
  </si>
  <si>
    <t>KPL-234</t>
  </si>
  <si>
    <t>Hand Gloves</t>
  </si>
  <si>
    <t>KPL-235</t>
  </si>
  <si>
    <t>Hand Wash</t>
  </si>
  <si>
    <t>KPL-236</t>
  </si>
  <si>
    <t>Harpic</t>
  </si>
  <si>
    <t>KPL-237</t>
  </si>
  <si>
    <t>Hezelnuts</t>
  </si>
  <si>
    <t>jar</t>
  </si>
  <si>
    <t>KPL-238</t>
  </si>
  <si>
    <t>Hing</t>
  </si>
  <si>
    <t>KPL-239</t>
  </si>
  <si>
    <t>Hmt Rice</t>
  </si>
  <si>
    <t>KPL-240</t>
  </si>
  <si>
    <t>Homa</t>
  </si>
  <si>
    <t>KPL-241</t>
  </si>
  <si>
    <t>Honey</t>
  </si>
  <si>
    <t>KPL-242</t>
  </si>
  <si>
    <t>Horlicks</t>
  </si>
  <si>
    <t>KPL-243</t>
  </si>
  <si>
    <t>Ice Cream Cone</t>
  </si>
  <si>
    <t>KPL-244</t>
  </si>
  <si>
    <t>Ice Cream Cups</t>
  </si>
  <si>
    <t>KPL-245</t>
  </si>
  <si>
    <t>Idly Box</t>
  </si>
  <si>
    <t>KPL-246</t>
  </si>
  <si>
    <t>Idly Ravva</t>
  </si>
  <si>
    <t>KPL-247</t>
  </si>
  <si>
    <t>Idly Rice</t>
  </si>
  <si>
    <t>KPL-248</t>
  </si>
  <si>
    <t>Indian Gas</t>
  </si>
  <si>
    <t>KPL-249</t>
  </si>
  <si>
    <t>Jaggery</t>
  </si>
  <si>
    <t>KPL-250</t>
  </si>
  <si>
    <t>Jajikaya</t>
  </si>
  <si>
    <t>KPL-251</t>
  </si>
  <si>
    <t>Jal Jeera</t>
  </si>
  <si>
    <t>KPL-252</t>
  </si>
  <si>
    <t>Jalpan Carrybags 11*14</t>
  </si>
  <si>
    <t>KPL-253</t>
  </si>
  <si>
    <t>Jalpeno</t>
  </si>
  <si>
    <t>KPL-254</t>
  </si>
  <si>
    <t>Japathri</t>
  </si>
  <si>
    <t>KPL-255</t>
  </si>
  <si>
    <t>Jeera</t>
  </si>
  <si>
    <t>KPL-256</t>
  </si>
  <si>
    <t>Jeera Masala Syrup</t>
  </si>
  <si>
    <t>KPL-257</t>
  </si>
  <si>
    <t>Jeera Powder</t>
  </si>
  <si>
    <t>KPL-258</t>
  </si>
  <si>
    <t>Kabuli Channa</t>
  </si>
  <si>
    <t>KPL-259</t>
  </si>
  <si>
    <t>Kaju 2 Pieces</t>
  </si>
  <si>
    <t>KPL-260</t>
  </si>
  <si>
    <t>Kaju Nuka</t>
  </si>
  <si>
    <t>KPL-261</t>
  </si>
  <si>
    <t>Kala Khatta Syrup</t>
  </si>
  <si>
    <t>KPL-262</t>
  </si>
  <si>
    <t>Kashmiri Mirchi Powder</t>
  </si>
  <si>
    <t>KPL-263</t>
  </si>
  <si>
    <t>Kasturi Methi</t>
  </si>
  <si>
    <t>KPL-264</t>
  </si>
  <si>
    <t>Kewara Water</t>
  </si>
  <si>
    <t>KPL-265</t>
  </si>
  <si>
    <t>Khas Khas</t>
  </si>
  <si>
    <t>KPL-266</t>
  </si>
  <si>
    <t>King Wrap</t>
  </si>
  <si>
    <t>KPL-267</t>
  </si>
  <si>
    <t>Kinley 1lit Water</t>
  </si>
  <si>
    <t>box</t>
  </si>
  <si>
    <t>KPL-268</t>
  </si>
  <si>
    <t>Kismis</t>
  </si>
  <si>
    <t>KPL-269</t>
  </si>
  <si>
    <t>Kissan Jam</t>
  </si>
  <si>
    <t>KPL-270</t>
  </si>
  <si>
    <t>Kit Kat</t>
  </si>
  <si>
    <t>KPL-271</t>
  </si>
  <si>
    <t>Kitchen King Masala</t>
  </si>
  <si>
    <t>KPL-272</t>
  </si>
  <si>
    <t>Kiwi Crush</t>
  </si>
  <si>
    <t>KPL-273</t>
  </si>
  <si>
    <t>Kova</t>
  </si>
  <si>
    <t>KPL-274</t>
  </si>
  <si>
    <t>Kunafa</t>
  </si>
  <si>
    <t>KPL-275</t>
  </si>
  <si>
    <t>Kurbani</t>
  </si>
  <si>
    <t>KPL-276</t>
  </si>
  <si>
    <t>Lamsa</t>
  </si>
  <si>
    <t>KPL-277</t>
  </si>
  <si>
    <t>Lavang</t>
  </si>
  <si>
    <t>KPL-278</t>
  </si>
  <si>
    <t>Lemon Salt</t>
  </si>
  <si>
    <t>KPL-279</t>
  </si>
  <si>
    <t>Local Channa</t>
  </si>
  <si>
    <t>KPL-283</t>
  </si>
  <si>
    <t>Maida</t>
  </si>
  <si>
    <t>KPL-285</t>
  </si>
  <si>
    <t>Makka Chudwa</t>
  </si>
  <si>
    <t>KPL-286</t>
  </si>
  <si>
    <t>Mango Crush</t>
  </si>
  <si>
    <t>KPL-287</t>
  </si>
  <si>
    <t>Mango Ice Crem</t>
  </si>
  <si>
    <t>KPL-288</t>
  </si>
  <si>
    <t>Mango Pickle</t>
  </si>
  <si>
    <t>KPL-289</t>
  </si>
  <si>
    <t>Mangos</t>
  </si>
  <si>
    <t>KPL-290</t>
  </si>
  <si>
    <t>Mask</t>
  </si>
  <si>
    <t>KPL-291</t>
  </si>
  <si>
    <t>Masoor Dal</t>
  </si>
  <si>
    <t>KPL-292</t>
  </si>
  <si>
    <t>Mayonnaise</t>
  </si>
  <si>
    <t>KPL-293</t>
  </si>
  <si>
    <t>Meal Maker</t>
  </si>
  <si>
    <t>KPL-294</t>
  </si>
  <si>
    <t>Meal Maker Keema</t>
  </si>
  <si>
    <t>KPL-295</t>
  </si>
  <si>
    <t>Mentulu</t>
  </si>
  <si>
    <t>KPL-296</t>
  </si>
  <si>
    <t>Milk</t>
  </si>
  <si>
    <t>KPL-297</t>
  </si>
  <si>
    <t>Milk Maid</t>
  </si>
  <si>
    <t>KPL-280</t>
  </si>
  <si>
    <t>Mineral water 1l</t>
  </si>
  <si>
    <t>KPL-282</t>
  </si>
  <si>
    <t>Mineral water 250 Ml</t>
  </si>
  <si>
    <t>KPL-281</t>
  </si>
  <si>
    <t>Mineral water 500ml</t>
  </si>
  <si>
    <t>KPL-451</t>
  </si>
  <si>
    <t>Moistirizer 20ml</t>
  </si>
  <si>
    <t>KPL-298</t>
  </si>
  <si>
    <t>Moong Dal</t>
  </si>
  <si>
    <t>KPL-299</t>
  </si>
  <si>
    <t>Mops</t>
  </si>
  <si>
    <t>KPL-300</t>
  </si>
  <si>
    <t>Mosambi</t>
  </si>
  <si>
    <t>KPL-301</t>
  </si>
  <si>
    <t>Mosquito Coil</t>
  </si>
  <si>
    <t>KPL-302</t>
  </si>
  <si>
    <t>Mote</t>
  </si>
  <si>
    <t>KPL-303</t>
  </si>
  <si>
    <t>Mozzarella Cheese</t>
  </si>
  <si>
    <t>KPL-304</t>
  </si>
  <si>
    <t>Mtr Sambar Powder</t>
  </si>
  <si>
    <t>KPL-305</t>
  </si>
  <si>
    <t>Murmura</t>
  </si>
  <si>
    <t>KPL-306</t>
  </si>
  <si>
    <t>Mushroom</t>
  </si>
  <si>
    <t>KPL-307</t>
  </si>
  <si>
    <t>Muskmelon</t>
  </si>
  <si>
    <t>KPL-308</t>
  </si>
  <si>
    <t>Mustard Oil</t>
  </si>
  <si>
    <t>KPL-309</t>
  </si>
  <si>
    <t>Mutton</t>
  </si>
  <si>
    <t>KPL-310</t>
  </si>
  <si>
    <t>Mutton Keema</t>
  </si>
  <si>
    <t>KPL-311</t>
  </si>
  <si>
    <t>Name Boards</t>
  </si>
  <si>
    <t>KPL-312</t>
  </si>
  <si>
    <t>Napkins</t>
  </si>
  <si>
    <t>KPL-313</t>
  </si>
  <si>
    <t>Noodles</t>
  </si>
  <si>
    <t>KPL-314</t>
  </si>
  <si>
    <t>Nutella Chocolate</t>
  </si>
  <si>
    <t>KPL-315</t>
  </si>
  <si>
    <t>Odonil</t>
  </si>
  <si>
    <t>KPL-316</t>
  </si>
  <si>
    <t>Onion</t>
  </si>
  <si>
    <t>KPL-320</t>
  </si>
  <si>
    <t>Orange</t>
  </si>
  <si>
    <t>KPL-317</t>
  </si>
  <si>
    <t>Orange Syrup</t>
  </si>
  <si>
    <t>KPL-318</t>
  </si>
  <si>
    <t>Oregano 500gm</t>
  </si>
  <si>
    <t>KPL-319</t>
  </si>
  <si>
    <t>Oregano Sachet</t>
  </si>
  <si>
    <t>KPL-321</t>
  </si>
  <si>
    <t>Oreo Biscuits</t>
  </si>
  <si>
    <t>KPL-322</t>
  </si>
  <si>
    <t>Original Mint Mojitho</t>
  </si>
  <si>
    <t>KPL-323</t>
  </si>
  <si>
    <t>Pally Chutney</t>
  </si>
  <si>
    <t>KPL-324</t>
  </si>
  <si>
    <t>Palm Oil</t>
  </si>
  <si>
    <t>KPL-325</t>
  </si>
  <si>
    <t>Paneer</t>
  </si>
  <si>
    <t>KPL-326</t>
  </si>
  <si>
    <t>Paneer Momos</t>
  </si>
  <si>
    <t>KPL-327</t>
  </si>
  <si>
    <t>Papad</t>
  </si>
  <si>
    <t>KPL-466</t>
  </si>
  <si>
    <t>Paper</t>
  </si>
  <si>
    <t>KPL-328</t>
  </si>
  <si>
    <t>Paper Rolls</t>
  </si>
  <si>
    <t>KPL-329</t>
  </si>
  <si>
    <t>Parcel Covers 4*6</t>
  </si>
  <si>
    <t>KPL-330</t>
  </si>
  <si>
    <t>Parcel Covers 5*8</t>
  </si>
  <si>
    <t>KPL-331</t>
  </si>
  <si>
    <t>Parcel Covers 6*9</t>
  </si>
  <si>
    <t>KPL-332</t>
  </si>
  <si>
    <t>Party Chicken</t>
  </si>
  <si>
    <t>KPL-333</t>
  </si>
  <si>
    <t>Pasta</t>
  </si>
  <si>
    <t>KPL-334</t>
  </si>
  <si>
    <t>Pather Pool</t>
  </si>
  <si>
    <t>KPL-335</t>
  </si>
  <si>
    <t>Pav</t>
  </si>
  <si>
    <t>KPL-336</t>
  </si>
  <si>
    <t>Pavbaji Masala</t>
  </si>
  <si>
    <t>KPL-337</t>
  </si>
  <si>
    <t>Peri Peri</t>
  </si>
  <si>
    <t>KPL-338</t>
  </si>
  <si>
    <t>Pesarlu</t>
  </si>
  <si>
    <t>KPL-284</t>
  </si>
  <si>
    <t>Phool Makhan</t>
  </si>
  <si>
    <t>KPL-339</t>
  </si>
  <si>
    <t>Pillow Covers</t>
  </si>
  <si>
    <t>KPL-340</t>
  </si>
  <si>
    <t>Pineapple</t>
  </si>
  <si>
    <t>KPL-341</t>
  </si>
  <si>
    <t>Pineapple Syrup</t>
  </si>
  <si>
    <t>KPL-342</t>
  </si>
  <si>
    <t>Pista</t>
  </si>
  <si>
    <t>KPL-343</t>
  </si>
  <si>
    <t>Pista Ice Cream</t>
  </si>
  <si>
    <t>KPL-344</t>
  </si>
  <si>
    <t>Pitambaram</t>
  </si>
  <si>
    <t>KPL-345</t>
  </si>
  <si>
    <t>Pizza Box Big</t>
  </si>
  <si>
    <t>KPL-346</t>
  </si>
  <si>
    <t>Pizza Box Small</t>
  </si>
  <si>
    <t>KPL-347</t>
  </si>
  <si>
    <t>Pizza Sauce</t>
  </si>
  <si>
    <t>KPL-348</t>
  </si>
  <si>
    <t>Potato</t>
  </si>
  <si>
    <t>KPL-349</t>
  </si>
  <si>
    <t>Prawns</t>
  </si>
  <si>
    <t>KPL-350</t>
  </si>
  <si>
    <t>Puff Roti</t>
  </si>
  <si>
    <t>KPL-351</t>
  </si>
  <si>
    <t>Putani</t>
  </si>
  <si>
    <t>KPL-352</t>
  </si>
  <si>
    <t>Ragi Flour</t>
  </si>
  <si>
    <t>KPL-353</t>
  </si>
  <si>
    <t>Rai</t>
  </si>
  <si>
    <t>KPL-354</t>
  </si>
  <si>
    <t>Rajma</t>
  </si>
  <si>
    <t>KPL-355</t>
  </si>
  <si>
    <t>Ramjadu</t>
  </si>
  <si>
    <t>KPL-356</t>
  </si>
  <si>
    <t>Rectrangle Box 500ml</t>
  </si>
  <si>
    <t>KPL-357</t>
  </si>
  <si>
    <t>Red Chilly</t>
  </si>
  <si>
    <t>KPL-358</t>
  </si>
  <si>
    <t>Red Chilly Sauce</t>
  </si>
  <si>
    <t>KPL-359</t>
  </si>
  <si>
    <t>Rock Salt</t>
  </si>
  <si>
    <t>KPL-360</t>
  </si>
  <si>
    <t>Room Freshner</t>
  </si>
  <si>
    <t>KPL-361</t>
  </si>
  <si>
    <t>Rose Syrup</t>
  </si>
  <si>
    <t>KPL-362</t>
  </si>
  <si>
    <t>Rose Water</t>
  </si>
  <si>
    <t>KPL-363</t>
  </si>
  <si>
    <t>Round Containar750ml</t>
  </si>
  <si>
    <t>KPL-364</t>
  </si>
  <si>
    <t>Round Pally</t>
  </si>
  <si>
    <t>KPL-365</t>
  </si>
  <si>
    <t>Sabjee Binge</t>
  </si>
  <si>
    <t>KPL-366</t>
  </si>
  <si>
    <t>Sabudana</t>
  </si>
  <si>
    <t>KPL-367</t>
  </si>
  <si>
    <t>Saffron</t>
  </si>
  <si>
    <t>KPL-368</t>
  </si>
  <si>
    <t>Sajeera</t>
  </si>
  <si>
    <t>KPL-369</t>
  </si>
  <si>
    <t>Salt Big</t>
  </si>
  <si>
    <t>KPL-370</t>
  </si>
  <si>
    <t>Sandwich Box</t>
  </si>
  <si>
    <t>KPL-371</t>
  </si>
  <si>
    <t>Sandwich Bread</t>
  </si>
  <si>
    <t>KPL-372</t>
  </si>
  <si>
    <t>Schezwan Chutney</t>
  </si>
  <si>
    <t>KPL-373</t>
  </si>
  <si>
    <t>Schezwan Sauce</t>
  </si>
  <si>
    <t>KPL-375</t>
  </si>
  <si>
    <t>Scrubber Ordinary</t>
  </si>
  <si>
    <t>KPL-376</t>
  </si>
  <si>
    <t>Scrubber Plastic</t>
  </si>
  <si>
    <t>KPL-374</t>
  </si>
  <si>
    <t>Scrubber Steel</t>
  </si>
  <si>
    <t>KPL-377</t>
  </si>
  <si>
    <t>Semiya</t>
  </si>
  <si>
    <t>KPL-378</t>
  </si>
  <si>
    <t>Shampoo</t>
  </si>
  <si>
    <t>KPL-379</t>
  </si>
  <si>
    <t>Shampoo Gel</t>
  </si>
  <si>
    <t>KPL-380</t>
  </si>
  <si>
    <t>Shower Gel</t>
  </si>
  <si>
    <t>KPL-381</t>
  </si>
  <si>
    <t>Silver Container Big</t>
  </si>
  <si>
    <t>KPL-382</t>
  </si>
  <si>
    <t>Silver Foil</t>
  </si>
  <si>
    <t>KPL-383</t>
  </si>
  <si>
    <t>Silver Pouch 5*7</t>
  </si>
  <si>
    <t>KPL-384</t>
  </si>
  <si>
    <t>Silver Pouch 6*8</t>
  </si>
  <si>
    <t>KPL-385</t>
  </si>
  <si>
    <t>Silver Pouch 7*9</t>
  </si>
  <si>
    <t>KPL-386</t>
  </si>
  <si>
    <t>Silver Pouch 8*10</t>
  </si>
  <si>
    <t>KPL-387</t>
  </si>
  <si>
    <t>Silver Pouch 9*12</t>
  </si>
  <si>
    <t>KPL-388</t>
  </si>
  <si>
    <t>Small Onion</t>
  </si>
  <si>
    <t>KPL-389</t>
  </si>
  <si>
    <t>Soap Oil</t>
  </si>
  <si>
    <t>KPL-390</t>
  </si>
  <si>
    <t>Soaps</t>
  </si>
  <si>
    <t>KPL-391</t>
  </si>
  <si>
    <t>Soda 750 Ml</t>
  </si>
  <si>
    <t>KPL-392</t>
  </si>
  <si>
    <t>Softy Chocolate Milk</t>
  </si>
  <si>
    <t>KPL-393</t>
  </si>
  <si>
    <t>Softy Vanilla Milk</t>
  </si>
  <si>
    <t>KPL-394</t>
  </si>
  <si>
    <t>Somp</t>
  </si>
  <si>
    <t>KPL-395</t>
  </si>
  <si>
    <t>Somp White</t>
  </si>
  <si>
    <t>KPL-396</t>
  </si>
  <si>
    <t>Soya Sauce</t>
  </si>
  <si>
    <t>KPL-397</t>
  </si>
  <si>
    <t>Sp.milk</t>
  </si>
  <si>
    <t>KPL-398</t>
  </si>
  <si>
    <t>Sponge</t>
  </si>
  <si>
    <t>KPL-399</t>
  </si>
  <si>
    <t>Spring Rolls</t>
  </si>
  <si>
    <t>KPL-400</t>
  </si>
  <si>
    <t>Sprite 750 Ml</t>
  </si>
  <si>
    <t>KPL-401</t>
  </si>
  <si>
    <t>Star Pool</t>
  </si>
  <si>
    <t>KPL-402</t>
  </si>
  <si>
    <t>Strawberry Crush</t>
  </si>
  <si>
    <t>KPL-403</t>
  </si>
  <si>
    <t>Strawberry Ice Cream</t>
  </si>
  <si>
    <t>KPL-404</t>
  </si>
  <si>
    <t>Straws Big</t>
  </si>
  <si>
    <t>KPL-405</t>
  </si>
  <si>
    <t>Straws Small</t>
  </si>
  <si>
    <t>KPL-406</t>
  </si>
  <si>
    <t>Sugar</t>
  </si>
  <si>
    <t>KPL-407</t>
  </si>
  <si>
    <t>Sunflower Oil</t>
  </si>
  <si>
    <t>KPL-408</t>
  </si>
  <si>
    <t>Surf</t>
  </si>
  <si>
    <t>KPL-410</t>
  </si>
  <si>
    <t>Sweet Corn Makka</t>
  </si>
  <si>
    <t>KPL-409</t>
  </si>
  <si>
    <t>Sweet Corn Momos</t>
  </si>
  <si>
    <t>KPL-411</t>
  </si>
  <si>
    <t>Sweet Corn Pkt</t>
  </si>
  <si>
    <t>KPL-412</t>
  </si>
  <si>
    <t>Sweetcorn Tin</t>
  </si>
  <si>
    <t>KPL-413</t>
  </si>
  <si>
    <t>Tamarind</t>
  </si>
  <si>
    <t>KPL-414</t>
  </si>
  <si>
    <t>Tang Rasna</t>
  </si>
  <si>
    <t>KPL-415</t>
  </si>
  <si>
    <t>Tarbuj</t>
  </si>
  <si>
    <t>KPL-416</t>
  </si>
  <si>
    <t>Tata Salt</t>
  </si>
  <si>
    <t>KPL-417</t>
  </si>
  <si>
    <t>Tea Cups Big</t>
  </si>
  <si>
    <t>KPL-418</t>
  </si>
  <si>
    <t>Tea Cups Small</t>
  </si>
  <si>
    <t>KPL-419</t>
  </si>
  <si>
    <t>Tea Powder</t>
  </si>
  <si>
    <t>KPL-452</t>
  </si>
  <si>
    <t>Test Tomatoes 1783172910417</t>
  </si>
  <si>
    <t>KPL-453</t>
  </si>
  <si>
    <t>Test Tomatoes 1783188363356</t>
  </si>
  <si>
    <t>KPL-454</t>
  </si>
  <si>
    <t>Test Tomatoes 1783188398884</t>
  </si>
  <si>
    <t>KPL-455</t>
  </si>
  <si>
    <t>Test Tomatoes 1783188588894</t>
  </si>
  <si>
    <t>KPL-456</t>
  </si>
  <si>
    <t>Test Tomatoes 1783192505373</t>
  </si>
  <si>
    <t>KPL-457</t>
  </si>
  <si>
    <t>Test Tomatoes 1783229425762</t>
  </si>
  <si>
    <t>KPL-458</t>
  </si>
  <si>
    <t>Test Tomatoes 1783233213460</t>
  </si>
  <si>
    <t>KPL-459</t>
  </si>
  <si>
    <t>Test Tomatoes 1783240958860</t>
  </si>
  <si>
    <t>KPL-460</t>
  </si>
  <si>
    <t>Test Tomatoes 1783242281976</t>
  </si>
  <si>
    <t>KPL-461</t>
  </si>
  <si>
    <t>Test Tomatoes 1783251501441</t>
  </si>
  <si>
    <t>KPL-462</t>
  </si>
  <si>
    <t>Test Tomatoes 1783269722443</t>
  </si>
  <si>
    <t>KPL-463</t>
  </si>
  <si>
    <t>Test Tomatoes 1783270009728</t>
  </si>
  <si>
    <t>KPL-464</t>
  </si>
  <si>
    <t>Test Tomatoes 1783270377533</t>
  </si>
  <si>
    <t>KPL-465</t>
  </si>
  <si>
    <t>Test Tomatoes 1783271152098</t>
  </si>
  <si>
    <t>KPL-420</t>
  </si>
  <si>
    <t>Thoka Miryal</t>
  </si>
  <si>
    <t>KPL-421</t>
  </si>
  <si>
    <t>Till</t>
  </si>
  <si>
    <t>KPL-422</t>
  </si>
  <si>
    <t>Toilet Brush</t>
  </si>
  <si>
    <t>KPL-423</t>
  </si>
  <si>
    <t>Tomato Ketchup</t>
  </si>
  <si>
    <t>KPL-424</t>
  </si>
  <si>
    <t>Tomato Sauce</t>
  </si>
  <si>
    <t>KPL-425</t>
  </si>
  <si>
    <t>Tooth Pick</t>
  </si>
  <si>
    <t>KPL-426</t>
  </si>
  <si>
    <t>Towels</t>
  </si>
  <si>
    <t>KPL-427</t>
  </si>
  <si>
    <t>Tugar Dal</t>
  </si>
  <si>
    <t>KPL-428</t>
  </si>
  <si>
    <t>Turmeric Powder</t>
  </si>
  <si>
    <t>KPL-429</t>
  </si>
  <si>
    <t>Tuti Fruity</t>
  </si>
  <si>
    <t>KPL-430</t>
  </si>
  <si>
    <t>Upma Ravva</t>
  </si>
  <si>
    <t>KPL-431</t>
  </si>
  <si>
    <t>Urad Dal</t>
  </si>
  <si>
    <t>KPL-432</t>
  </si>
  <si>
    <t>Vanila Spoung</t>
  </si>
  <si>
    <t>KPL-433</t>
  </si>
  <si>
    <t>Vanilla Essence</t>
  </si>
  <si>
    <t>KPL-434</t>
  </si>
  <si>
    <t>Vanilla Ice Cream</t>
  </si>
  <si>
    <t>KPL-435</t>
  </si>
  <si>
    <t>Veg Momos</t>
  </si>
  <si>
    <t>KPL-436</t>
  </si>
  <si>
    <t>Veg Oyster Sauce</t>
  </si>
  <si>
    <t>KPL-437</t>
  </si>
  <si>
    <t>KPL-438</t>
  </si>
  <si>
    <t>Viniger</t>
  </si>
  <si>
    <t>KPL-439</t>
  </si>
  <si>
    <t>Water Glass</t>
  </si>
  <si>
    <t>KPL-440</t>
  </si>
  <si>
    <t>Water Melon Syrup</t>
  </si>
  <si>
    <t>KPL-441</t>
  </si>
  <si>
    <t>Watermelon</t>
  </si>
  <si>
    <t>KPL-442</t>
  </si>
  <si>
    <t>White Batana</t>
  </si>
  <si>
    <t>KPL-443</t>
  </si>
  <si>
    <t>White Pepper</t>
  </si>
  <si>
    <t>KPL-444</t>
  </si>
  <si>
    <t>White Tape</t>
  </si>
  <si>
    <t>KPL-445</t>
  </si>
  <si>
    <t>Wiper</t>
  </si>
  <si>
    <t>KPL-446</t>
  </si>
  <si>
    <t>Wooden Fork</t>
  </si>
  <si>
    <t>KPL-447</t>
  </si>
  <si>
    <t>Wooden Icecream Spoon</t>
  </si>
  <si>
    <t>KPL-448</t>
  </si>
  <si>
    <t>Wooden Spoons Big</t>
  </si>
  <si>
    <t>KPL-449</t>
  </si>
  <si>
    <t>Wooden Spoons Small</t>
  </si>
  <si>
    <t>COMPLETE RECIPE-TO-INGREDIENT PORTION EXPLOSION (843 Mappings)</t>
  </si>
  <si>
    <t>Recipe ID</t>
  </si>
  <si>
    <t>Dish / Preparation</t>
  </si>
  <si>
    <t>Category / Department</t>
  </si>
  <si>
    <t>Base Plates</t>
  </si>
  <si>
    <t>Required Ingredient</t>
  </si>
  <si>
    <t>Base Qty</t>
  </si>
  <si>
    <t>For 100 Plates</t>
  </si>
  <si>
    <t>For 250 Plates</t>
  </si>
  <si>
    <t>For 500 Plates</t>
  </si>
  <si>
    <t>(S) Idly</t>
  </si>
  <si>
    <t>Idly/Vada/Dosa Breakfast</t>
  </si>
  <si>
    <t>Chutney Mix</t>
  </si>
  <si>
    <t>Idly/Dosa Batter</t>
  </si>
  <si>
    <t>Refined Sunflower Oil</t>
  </si>
  <si>
    <t>Sambar Mix</t>
  </si>
  <si>
    <t>(S) Idly (S) Vada</t>
  </si>
  <si>
    <t>(S) Idly (S) Vada Sambar</t>
  </si>
  <si>
    <t>(S) Vada</t>
  </si>
  <si>
    <t>(S) Vada Sambar</t>
  </si>
  <si>
    <t>2 Idly (S) Vada</t>
  </si>
  <si>
    <t>70mm Dosa</t>
  </si>
  <si>
    <t>Alfredo Pasta</t>
  </si>
  <si>
    <t>Veg Mix</t>
  </si>
  <si>
    <t>Pasta Sauce</t>
  </si>
  <si>
    <t>Cheese</t>
  </si>
  <si>
    <t>Aloo Paratha</t>
  </si>
  <si>
    <t>Roti/Naan/Paratha</t>
  </si>
  <si>
    <t>Wheat Flour</t>
  </si>
  <si>
    <t>Ghee/Butter</t>
  </si>
  <si>
    <t>Alu Tikki Chaat</t>
  </si>
  <si>
    <t>Chaat</t>
  </si>
  <si>
    <t>Chaat Base (Puri/Papdi/Bhature)</t>
  </si>
  <si>
    <t>Sev/Masala</t>
  </si>
  <si>
    <t>Animal Style Fries</t>
  </si>
  <si>
    <t>Garlic Bread Fries</t>
  </si>
  <si>
    <t>Bread/Potato</t>
  </si>
  <si>
    <t>Butter/Oil</t>
  </si>
  <si>
    <t>Apollo Fish</t>
  </si>
  <si>
    <t>Chinese Starters Dry</t>
  </si>
  <si>
    <t>Cornflour</t>
  </si>
  <si>
    <t>Chinese Sauce Mix</t>
  </si>
  <si>
    <t>Protein/Veg</t>
  </si>
  <si>
    <t>Apricot Delight</t>
  </si>
  <si>
    <t>Faluda Softy Dessert</t>
  </si>
  <si>
    <t>Vermicelli/Kulfi/Ice Cream</t>
  </si>
  <si>
    <t>Arrabiata Pasta</t>
  </si>
  <si>
    <t>Baby Corn Manchuria</t>
  </si>
  <si>
    <t>Bhalla Papdi</t>
  </si>
  <si>
    <t>Bhel Puri</t>
  </si>
  <si>
    <t>Biscoff Milk Shake</t>
  </si>
  <si>
    <t>Thick Milk Shakes</t>
  </si>
  <si>
    <t>Flavour Syrup/Mix-in</t>
  </si>
  <si>
    <t>Biscoff Thick Shake</t>
  </si>
  <si>
    <t>Mocktails</t>
  </si>
  <si>
    <t>Mint/Garnish</t>
  </si>
  <si>
    <t>Juice/Soda Base</t>
  </si>
  <si>
    <t>Burnt Garlic Rice</t>
  </si>
  <si>
    <t>Fried Rice Noodles</t>
  </si>
  <si>
    <t>Veg/Protein Mix</t>
  </si>
  <si>
    <t>Rice/Noodles</t>
  </si>
  <si>
    <t>Butter Chicken</t>
  </si>
  <si>
    <t>Non-Veg Curry Gravy</t>
  </si>
  <si>
    <t>Chicken/Mutton/Fish</t>
  </si>
  <si>
    <t>Gravy Base (Onion-Tomato-Spice)</t>
  </si>
  <si>
    <t>Spice Mix</t>
  </si>
  <si>
    <t>Butter Masala Dosa</t>
  </si>
  <si>
    <t>Butter Naan</t>
  </si>
  <si>
    <t>Butter Pav Bhaji</t>
  </si>
  <si>
    <t>Butter Tandoori Roti</t>
  </si>
  <si>
    <t>Butterscotch Rabri Faluda</t>
  </si>
  <si>
    <t>Button Rasam Idly</t>
  </si>
  <si>
    <t>Button Sambar Idly</t>
  </si>
  <si>
    <t>Caramel Milk Shake</t>
  </si>
  <si>
    <t>Cheese Garlic Bread</t>
  </si>
  <si>
    <t>Cheese Pav Bhaji</t>
  </si>
  <si>
    <t>Chicken 65</t>
  </si>
  <si>
    <t>Chicken Corn Soup</t>
  </si>
  <si>
    <t>Soup</t>
  </si>
  <si>
    <t>Stock Base</t>
  </si>
  <si>
    <t>Chicken Dum Biryani</t>
  </si>
  <si>
    <t>Biryani</t>
  </si>
  <si>
    <t>Fried Onion</t>
  </si>
  <si>
    <t>Biryani Masala</t>
  </si>
  <si>
    <t>Protein (Veg/Chicken/Fish/Prawns/Egg)</t>
  </si>
  <si>
    <t>Chicken Fried Rice</t>
  </si>
  <si>
    <t>Chicken Fry Piece Biryani</t>
  </si>
  <si>
    <t>Chicken Hot &amp; Sour Soup</t>
  </si>
  <si>
    <t>Chicken Majestic</t>
  </si>
  <si>
    <t>Chicken Manchow Soup</t>
  </si>
  <si>
    <t>Chicken Manchuria</t>
  </si>
  <si>
    <t>Chicken Soft Noodles</t>
  </si>
  <si>
    <t>Chilly Baby Corn</t>
  </si>
  <si>
    <t>Chilly Paneer</t>
  </si>
  <si>
    <t>Chinese Bhel</t>
  </si>
  <si>
    <t>Chitti Pesarattu</t>
  </si>
  <si>
    <t>Choco Brownie Crumble</t>
  </si>
  <si>
    <t>Choco Brownie Milk Shake</t>
  </si>
  <si>
    <t>Choco Brownie With Vanilla</t>
  </si>
  <si>
    <t>Choco Vanilla Softy</t>
  </si>
  <si>
    <t>Chocolate Nutella Dosa</t>
  </si>
  <si>
    <t>Filled Dosa</t>
  </si>
  <si>
    <t>Filling (Paneer/Veg/Choco)</t>
  </si>
  <si>
    <t>Chocolate Softy</t>
  </si>
  <si>
    <t>Chole Bhature</t>
  </si>
  <si>
    <t>Cold Coffee</t>
  </si>
  <si>
    <t>Cold Coffee Strong</t>
  </si>
  <si>
    <t>Corn Chilli Cheese Sandwich</t>
  </si>
  <si>
    <t>Burger Sandwich</t>
  </si>
  <si>
    <t>Patty/Paneer</t>
  </si>
  <si>
    <t>Bun/Bread</t>
  </si>
  <si>
    <t>Corn Soup</t>
  </si>
  <si>
    <t>Crispy Corn</t>
  </si>
  <si>
    <t>Crispy Salted Fries</t>
  </si>
  <si>
    <t>Crunchy Butterscotch</t>
  </si>
  <si>
    <t>Curd Rice</t>
  </si>
  <si>
    <t>Dahi Papdi Chat</t>
  </si>
  <si>
    <t>Dal Fry</t>
  </si>
  <si>
    <t>Veg Curry Gravy</t>
  </si>
  <si>
    <t>Paneer/Veg</t>
  </si>
  <si>
    <t>Butter/Cream</t>
  </si>
  <si>
    <t>Dal Kichdi</t>
  </si>
  <si>
    <t>Dal Tadka</t>
  </si>
  <si>
    <t>Dhai Bhalla</t>
  </si>
  <si>
    <t>Dhai Puri</t>
  </si>
  <si>
    <t>Double Egg Fried Rice</t>
  </si>
  <si>
    <t>Egg 65</t>
  </si>
  <si>
    <t>Egg Biryani</t>
  </si>
  <si>
    <t>Egg Chilly</t>
  </si>
  <si>
    <t>Egg Fried Rice</t>
  </si>
  <si>
    <t>Egg Kheema Curry</t>
  </si>
  <si>
    <t>Egg Soft Noodles</t>
  </si>
  <si>
    <t>Exotic Pineapple</t>
  </si>
  <si>
    <t>Exotica Garlic Bread</t>
  </si>
  <si>
    <t>Faluda</t>
  </si>
  <si>
    <t>Fish Biryani</t>
  </si>
  <si>
    <t>Fish Curry</t>
  </si>
  <si>
    <t>Fish Tikka</t>
  </si>
  <si>
    <t>Garlic Butter Naan</t>
  </si>
  <si>
    <t>Garlic Butter Roti</t>
  </si>
  <si>
    <t>Garlic Chicken</t>
  </si>
  <si>
    <t>Garlic Fried Rice</t>
  </si>
  <si>
    <t>Garlic Paneer</t>
  </si>
  <si>
    <t>Ghee Idly</t>
  </si>
  <si>
    <t>Ghee Karam Idly</t>
  </si>
  <si>
    <t>Ghee Karivepaku Podi Dosa</t>
  </si>
  <si>
    <t>Ghee Karvepaaku Podi Dosa</t>
  </si>
  <si>
    <t>Ghee Podi Dosa (Jalpan)</t>
  </si>
  <si>
    <t>Ghee Podi Pesarattu</t>
  </si>
  <si>
    <t>Ghee Podi Rava Dosa</t>
  </si>
  <si>
    <t>Ginger Lime Sparkler</t>
  </si>
  <si>
    <t>Hakka Noodles</t>
  </si>
  <si>
    <t>Hazelnut Milk Shake</t>
  </si>
  <si>
    <t>Honey Chilli Potato</t>
  </si>
  <si>
    <t>Hot &amp; Sour Soup</t>
  </si>
  <si>
    <t>Idly</t>
  </si>
  <si>
    <t>Idly Sambar</t>
  </si>
  <si>
    <t>Jamun Ka Ghosla</t>
  </si>
  <si>
    <t>Jeera Masala</t>
  </si>
  <si>
    <t>Jeera Rice</t>
  </si>
  <si>
    <t>Kadai Chicken</t>
  </si>
  <si>
    <t>Kadai Paneer</t>
  </si>
  <si>
    <t>Kadai Veg</t>
  </si>
  <si>
    <t>Kaju Butter Masala</t>
  </si>
  <si>
    <t>Kaju Paneer Pulao</t>
  </si>
  <si>
    <t>Kaju Pulao</t>
  </si>
  <si>
    <t>Kala Katta</t>
  </si>
  <si>
    <t>Kit Kat Milk Shake</t>
  </si>
  <si>
    <t>Kulfi Faluda</t>
  </si>
  <si>
    <t>Kulfi Faluda With Ice Cream</t>
  </si>
  <si>
    <t>Kulfi with Rabri</t>
  </si>
  <si>
    <t>Loose Prawns</t>
  </si>
  <si>
    <t>Manchow Soup</t>
  </si>
  <si>
    <t>Manchurian Dosa</t>
  </si>
  <si>
    <t>Manchurian Fried Rice</t>
  </si>
  <si>
    <t>Manchurian Noodles</t>
  </si>
  <si>
    <t>Mango Blast</t>
  </si>
  <si>
    <t>Mango Delight</t>
  </si>
  <si>
    <t>Mango Faluda</t>
  </si>
  <si>
    <t>Margherita Pizza</t>
  </si>
  <si>
    <t>Pizza</t>
  </si>
  <si>
    <t>Pizza Base</t>
  </si>
  <si>
    <t>Toppings Mix</t>
  </si>
  <si>
    <t>Margherita Puff Pastry</t>
  </si>
  <si>
    <t>Masala Dosa</t>
  </si>
  <si>
    <t>Masala Omelette</t>
  </si>
  <si>
    <t>Meals</t>
  </si>
  <si>
    <t>Meals Thali</t>
  </si>
  <si>
    <t>Curry Veg Mix</t>
  </si>
  <si>
    <t>Dal</t>
  </si>
  <si>
    <t>Meals w/Chicken Curry</t>
  </si>
  <si>
    <t>Meals w/Egg Curry</t>
  </si>
  <si>
    <t>Meals w/Omlette</t>
  </si>
  <si>
    <t>Methi Dal</t>
  </si>
  <si>
    <t>Mint Mojito</t>
  </si>
  <si>
    <t>Mix Veg Curry</t>
  </si>
  <si>
    <t>Mix Veg Steam Momos</t>
  </si>
  <si>
    <t>Momos</t>
  </si>
  <si>
    <t>Momo Wrapper + Filling</t>
  </si>
  <si>
    <t>Momo Dip</t>
  </si>
  <si>
    <t>Mutton Kheema Masala</t>
  </si>
  <si>
    <t>Mutton Kheema Pulao</t>
  </si>
  <si>
    <t>Mysore Masala</t>
  </si>
  <si>
    <t>Onion Dosa</t>
  </si>
  <si>
    <t>Onion Rava Dosa</t>
  </si>
  <si>
    <t>Onion Uttapam</t>
  </si>
  <si>
    <t>Oreo Milk Shake</t>
  </si>
  <si>
    <t>Oreo Nutella</t>
  </si>
  <si>
    <t>Palak Paneer</t>
  </si>
  <si>
    <t>Palak Paneer Dosa</t>
  </si>
  <si>
    <t>Paneer 65</t>
  </si>
  <si>
    <t>Paneer Burger</t>
  </si>
  <si>
    <t>Paneer Burger with Cheese</t>
  </si>
  <si>
    <t>Paneer Butter Masala</t>
  </si>
  <si>
    <t>Paneer Butter Masala Dosa</t>
  </si>
  <si>
    <t>Paneer Cheese Grilled Sandwich</t>
  </si>
  <si>
    <t>Paneer Dosa</t>
  </si>
  <si>
    <t>Paneer Fried Momos</t>
  </si>
  <si>
    <t>Paneer Grilled Sandwich</t>
  </si>
  <si>
    <t>Paneer Majestic</t>
  </si>
  <si>
    <t>Paneer Manchuria</t>
  </si>
  <si>
    <t>Paneer Paratha</t>
  </si>
  <si>
    <t>Paneer Pav Bhaji</t>
  </si>
  <si>
    <t>Paneer Popcorn</t>
  </si>
  <si>
    <t>Paneer Steam Momos</t>
  </si>
  <si>
    <t>Pani Puri Atta</t>
  </si>
  <si>
    <t>Pani Puri Live</t>
  </si>
  <si>
    <t>Pani Puri Suji</t>
  </si>
  <si>
    <t>Paper Dosa</t>
  </si>
  <si>
    <t>Pav Bhaji Dosa</t>
  </si>
  <si>
    <t>Pepper Chicken</t>
  </si>
  <si>
    <t>Peri Peri Fries</t>
  </si>
  <si>
    <t>Pesarattu</t>
  </si>
  <si>
    <t>Pizza Dosa</t>
  </si>
  <si>
    <t>Plain Dosa</t>
  </si>
  <si>
    <t>Plain Naan</t>
  </si>
  <si>
    <t>Plain Roti</t>
  </si>
  <si>
    <t>Poori</t>
  </si>
  <si>
    <t>Prawns Biryani</t>
  </si>
  <si>
    <t>Prawns Curry</t>
  </si>
  <si>
    <t>Ragada Tikki Chaat</t>
  </si>
  <si>
    <t>Ragi Dosa</t>
  </si>
  <si>
    <t>Raj Kachori</t>
  </si>
  <si>
    <t>Rampuri Chicken</t>
  </si>
  <si>
    <t>Rampuri Paneer</t>
  </si>
  <si>
    <t>Rampuri Prawns</t>
  </si>
  <si>
    <t>Rasam Idly</t>
  </si>
  <si>
    <t>Rava Dosa</t>
  </si>
  <si>
    <t>Rose Gulkand</t>
  </si>
  <si>
    <t>Samosa Chole Chat</t>
  </si>
  <si>
    <t>Samosa Dahi Chat</t>
  </si>
  <si>
    <t>Samosa Ragada</t>
  </si>
  <si>
    <t>Schezwan Chicken Noodles</t>
  </si>
  <si>
    <t>Schezwan Fried Rice</t>
  </si>
  <si>
    <t>Schezwan Noodles</t>
  </si>
  <si>
    <t>Schezwan Paneer Noodles</t>
  </si>
  <si>
    <t>Schezwan Veg Noodles</t>
  </si>
  <si>
    <t>Set Dosa</t>
  </si>
  <si>
    <t>Sev Puri</t>
  </si>
  <si>
    <t>Sharjah Thick Shake</t>
  </si>
  <si>
    <t>Special Flavour Softy</t>
  </si>
  <si>
    <t>Spicy Paneer Garlic Bread</t>
  </si>
  <si>
    <t>Spicy Supreme Garlic Bread</t>
  </si>
  <si>
    <t>Spicy Veg Pizza</t>
  </si>
  <si>
    <t>Spicy Veg Puff Pastry</t>
  </si>
  <si>
    <t>Spl. Chicken Biryani (Boneless)</t>
  </si>
  <si>
    <t>Spot Idly</t>
  </si>
  <si>
    <t>STF Plain Rice</t>
  </si>
  <si>
    <t>Tandoori Paneer Tikka Pizza</t>
  </si>
  <si>
    <t>Tandoori Paneer Tikka Puff Pastry</t>
  </si>
  <si>
    <t>Tawa Pulao</t>
  </si>
  <si>
    <t>Telangana Chicken Curry</t>
  </si>
  <si>
    <t>Thatte Idly</t>
  </si>
  <si>
    <t>Tomato Curry</t>
  </si>
  <si>
    <t>Tomato Rice</t>
  </si>
  <si>
    <t>Tomato Uttapam</t>
  </si>
  <si>
    <t>Upma</t>
  </si>
  <si>
    <t>Upma Masala Pesarattu</t>
  </si>
  <si>
    <t>Vada</t>
  </si>
  <si>
    <t>Vada Sambar</t>
  </si>
  <si>
    <t>Vanilla Softy</t>
  </si>
  <si>
    <t>Veg Burger</t>
  </si>
  <si>
    <t>Veg Burger with Cheese</t>
  </si>
  <si>
    <t>Veg Cheese Grilled Sandwich</t>
  </si>
  <si>
    <t>Veg Dum Biryani</t>
  </si>
  <si>
    <t>Veg Fried Momos</t>
  </si>
  <si>
    <t>Veg Fried Rice</t>
  </si>
  <si>
    <t>Veg Grilled Sandwich</t>
  </si>
  <si>
    <t>Veg Kheema Pulao</t>
  </si>
  <si>
    <t>Veg Manchuria</t>
  </si>
  <si>
    <t>Veg Pulao</t>
  </si>
  <si>
    <t>Veg Sandwich</t>
  </si>
  <si>
    <t>Veg Soft Noodles</t>
  </si>
  <si>
    <t>Veg Spring Roll</t>
  </si>
  <si>
    <t>Veg Supreme Pizza</t>
  </si>
  <si>
    <t>Veg Supreme Puff Pastry</t>
  </si>
  <si>
    <t>Vellulli Karam Podi Dosa</t>
  </si>
  <si>
    <t>Virgin Mojito</t>
  </si>
  <si>
    <t>Water Melon Burst</t>
  </si>
  <si>
    <t>INTERACTIVE INDENT AUTOMATION SIMULATOR</t>
  </si>
  <si>
    <t>SIMULATOR PARAMETERS</t>
  </si>
  <si>
    <t>Target Department:</t>
  </si>
  <si>
    <t>ALL DEPARTMENTS / HIGH VELOCITY</t>
  </si>
  <si>
    <t>Day of Week Surge Multiplier:</t>
  </si>
  <si>
    <t>Safety Stock Buffer (Days):</t>
  </si>
  <si>
    <t>REAL-TIME AUTOMATED INDENT RECOMMENDATIONS (DYNAMIC FORMULA ENGINE)</t>
  </si>
  <si>
    <t>Live Stock (Units)</t>
  </si>
  <si>
    <t>Projected Daily Burn</t>
  </si>
  <si>
    <t>Auto-Recommended Indent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</si>
</sst>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0.00"/>
    <numFmt numFmtId="165" formatCode="0.00x"/>
  </numFmts>
  <fonts count="1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E8A838"/>
      <sz val="10"/>
      <name val="Calibri"/>
    </font>
    <font>
      <b/>
      <color rgb="64748B"/>
      <sz val="9"/>
      <name val="Calibri"/>
    </font>
    <font>
      <b/>
      <color rgb="2563EB"/>
      <sz val="18"/>
      <name val="Calibri"/>
    </font>
    <font>
      <b/>
      <color rgb="7C3AED"/>
      <sz val="18"/>
      <name val="Calibri"/>
    </font>
    <font>
      <b/>
      <color rgb="10B981"/>
      <sz val="18"/>
      <name val="Calibri"/>
    </font>
    <font>
      <b/>
      <color rgb="D97706"/>
      <sz val="18"/>
      <name val="Calibri"/>
    </font>
    <font>
      <i/>
      <color rgb="64748B"/>
      <sz val="8"/>
      <name val="Calibri"/>
    </font>
    <font>
      <b/>
      <color rgb="0F172A"/>
      <sz val="11"/>
      <name val="Calibri"/>
    </font>
    <font>
      <b/>
      <color rgb="FFFFFF"/>
      <sz val="10"/>
      <name val="Calibri"/>
    </font>
    <font>
      <b/>
      <color rgb="10B981"/>
    </font>
    <font>
      <b/>
      <color rgb="FFFFFF"/>
      <sz val="14"/>
      <name val="Calibri"/>
    </font>
    <font>
      <b/>
      <color rgb="FFFFFF"/>
      <sz val="9"/>
      <name val="Calibri"/>
    </font>
    <font>
      <b/>
      <color rgb="1E293B"/>
    </font>
    <font>
      <b/>
      <color rgb="2563EB"/>
    </font>
    <font>
      <b/>
      <color rgb="D97706"/>
    </font>
    <font>
      <b/>
      <color rgb="0F172A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/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center"/>
    </xf>
    <xf numFmtId="0" fontId="0" fillId="4" borderId="1" xfId="0" applyFill="1" applyBorder="1"/>
    <xf numFmtId="0" fontId="11" fillId="4" borderId="1" xfId="0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3" fillId="3" borderId="1" xfId="0" applyFont="1" applyFill="1" applyBorder="1" applyAlignment="1">
      <alignment horizontal="right" vertical="center"/>
    </xf>
    <xf numFmtId="164" fontId="0" fillId="0" borderId="1" xfId="0" applyNumberFormat="1" applyBorder="1"/>
    <xf numFmtId="4" fontId="0" fillId="0" borderId="1" xfId="0" applyNumberFormat="1" applyBorder="1"/>
    <xf numFmtId="164" fontId="0" fillId="4" borderId="1" xfId="0" applyNumberFormat="1" applyFill="1" applyBorder="1"/>
    <xf numFmtId="4" fontId="0" fillId="4" borderId="1" xfId="0" applyNumberFormat="1" applyFill="1" applyBorder="1"/>
    <xf numFmtId="0" fontId="14" fillId="0" borderId="0" xfId="0" applyFont="1"/>
    <xf numFmtId="0" fontId="15" fillId="0" borderId="1" xfId="0" applyFont="1" applyBorder="1"/>
    <xf numFmtId="165" fontId="16" fillId="0" borderId="1" xfId="0" applyNumberFormat="1" applyFont="1" applyBorder="1"/>
    <xf numFmtId="2" fontId="11" fillId="0" borderId="1" xfId="0" applyNumberFormat="1" applyFont="1" applyBorder="1"/>
    <xf numFmtId="0" fontId="17" fillId="0" borderId="0" xfId="0" applyFont="1"/>
    <xf numFmtId="4" fontId="16" fillId="0" borderId="1" xfId="0" applyNumberFormat="1" applyFont="1" applyBorder="1"/>
    <xf numFmtId="4" fontId="16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8A838"/>
  </sheetPr>
  <dimension ref="B2:F15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5" width="22" customWidth="1"/>
    <col min="6" max="6" width="32" customWidth="1"/>
    <col min="7" max="7" width="15" customWidth="1"/>
  </cols>
  <sheetData>
    <row r="2" ht="40" customHeight="1" spans="2:6" x14ac:dyDescent="0.25">
      <c r="B2" s="1" t="s">
        <v>0</v>
      </c>
      <c r="C2" s="1"/>
      <c r="D2" s="1"/>
      <c r="E2" s="1"/>
      <c r="F2" s="1"/>
    </row>
    <row r="3" ht="24" customHeight="1" spans="2:6" x14ac:dyDescent="0.25">
      <c r="B3" s="2" t="s">
        <v>1</v>
      </c>
      <c r="C3" s="2"/>
      <c r="D3" s="2"/>
      <c r="E3" s="2"/>
      <c r="F3" s="2"/>
    </row>
    <row r="5" spans="2:5" x14ac:dyDescent="0.25">
      <c r="B5" s="3" t="s">
        <v>2</v>
      </c>
      <c r="C5" s="3" t="s">
        <v>3</v>
      </c>
      <c r="D5" s="3" t="s">
        <v>4</v>
      </c>
      <c r="E5" s="3" t="s">
        <v>5</v>
      </c>
    </row>
    <row r="6" ht="28" customHeight="1" spans="2:5" x14ac:dyDescent="0.25">
      <c r="B6" s="4">
        <v>366</v>
      </c>
      <c r="C6" s="5">
        <v>9</v>
      </c>
      <c r="D6" s="6">
        <v>843</v>
      </c>
      <c r="E6" s="7" t="s">
        <v>6</v>
      </c>
    </row>
    <row r="7" spans="2:5" x14ac:dyDescent="0.25">
      <c r="B7" s="8" t="s">
        <v>7</v>
      </c>
      <c r="C7" s="8" t="s">
        <v>8</v>
      </c>
      <c r="D7" s="8" t="s">
        <v>9</v>
      </c>
      <c r="E7" s="8" t="s">
        <v>10</v>
      </c>
    </row>
    <row r="9" spans="2:6" x14ac:dyDescent="0.25">
      <c r="B9" s="9" t="s">
        <v>11</v>
      </c>
      <c r="C9" s="9"/>
      <c r="D9" s="9"/>
      <c r="E9" s="9"/>
      <c r="F9" s="9"/>
    </row>
    <row r="10" ht="25" customHeight="1" spans="2:6" x14ac:dyDescent="0.25">
      <c r="B10" s="10" t="s">
        <v>12</v>
      </c>
      <c r="C10" s="10" t="s">
        <v>13</v>
      </c>
      <c r="D10" s="11" t="s">
        <v>14</v>
      </c>
      <c r="E10" s="10" t="s">
        <v>15</v>
      </c>
      <c r="F10" s="10"/>
    </row>
    <row r="11" ht="22" customHeight="1" spans="2:6" x14ac:dyDescent="0.25">
      <c r="B11" s="12" t="s">
        <v>16</v>
      </c>
      <c r="C11" s="12" t="s">
        <v>17</v>
      </c>
      <c r="D11" s="13" t="s">
        <v>18</v>
      </c>
      <c r="E11" s="12" t="s">
        <v>19</v>
      </c>
      <c r="F11" s="12"/>
    </row>
    <row r="12" ht="22" customHeight="1" spans="2:6" x14ac:dyDescent="0.25">
      <c r="B12" s="14" t="s">
        <v>20</v>
      </c>
      <c r="C12" s="14" t="s">
        <v>21</v>
      </c>
      <c r="D12" s="15" t="s">
        <v>18</v>
      </c>
      <c r="E12" s="14" t="s">
        <v>22</v>
      </c>
      <c r="F12" s="14"/>
    </row>
    <row r="13" ht="22" customHeight="1" spans="2:6" x14ac:dyDescent="0.25">
      <c r="B13" s="12" t="s">
        <v>23</v>
      </c>
      <c r="C13" s="12" t="s">
        <v>24</v>
      </c>
      <c r="D13" s="13" t="s">
        <v>18</v>
      </c>
      <c r="E13" s="12" t="s">
        <v>25</v>
      </c>
      <c r="F13" s="12"/>
    </row>
    <row r="14" ht="22" customHeight="1" spans="2:6" x14ac:dyDescent="0.25">
      <c r="B14" s="14" t="s">
        <v>26</v>
      </c>
      <c r="C14" s="14" t="s">
        <v>27</v>
      </c>
      <c r="D14" s="15" t="s">
        <v>18</v>
      </c>
      <c r="E14" s="14" t="s">
        <v>28</v>
      </c>
      <c r="F14" s="14"/>
    </row>
    <row r="15" ht="22" customHeight="1" spans="2:6" x14ac:dyDescent="0.25">
      <c r="B15" s="12" t="s">
        <v>29</v>
      </c>
      <c r="C15" s="12" t="s">
        <v>30</v>
      </c>
      <c r="D15" s="13" t="s">
        <v>18</v>
      </c>
      <c r="E15" s="12" t="s">
        <v>31</v>
      </c>
      <c r="F15" s="12"/>
    </row>
  </sheetData>
  <mergeCells count="9">
    <mergeCell ref="B2:F2"/>
    <mergeCell ref="B3:F3"/>
    <mergeCell ref="B9:F9"/>
    <mergeCell ref="E10:F10"/>
    <mergeCell ref="E11:F11"/>
    <mergeCell ref="E12:F12"/>
    <mergeCell ref="E13:F13"/>
    <mergeCell ref="E14:F14"/>
    <mergeCell ref="E15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B2:M13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14" customWidth="1"/>
    <col min="4" max="4" width="26" customWidth="1"/>
    <col min="5" max="9" width="10" customWidth="1"/>
    <col min="10" max="11" width="12" customWidth="1"/>
    <col min="12" max="12" width="14" customWidth="1"/>
    <col min="13" max="13" width="35" customWidth="1"/>
  </cols>
  <sheetData>
    <row r="2" ht="35" customHeight="1" spans="2:13" x14ac:dyDescent="0.25">
      <c r="B2" s="16" t="s">
        <v>32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ht="28" customHeight="1" spans="2:13" x14ac:dyDescent="0.25">
      <c r="B4" s="17" t="s">
        <v>33</v>
      </c>
      <c r="C4" s="17" t="s">
        <v>34</v>
      </c>
      <c r="D4" s="17" t="s">
        <v>35</v>
      </c>
      <c r="E4" s="18" t="s">
        <v>36</v>
      </c>
      <c r="F4" s="18" t="s">
        <v>37</v>
      </c>
      <c r="G4" s="18" t="s">
        <v>38</v>
      </c>
      <c r="H4" s="18" t="s">
        <v>39</v>
      </c>
      <c r="I4" s="18" t="s">
        <v>40</v>
      </c>
      <c r="J4" s="18" t="s">
        <v>41</v>
      </c>
      <c r="K4" s="18" t="s">
        <v>42</v>
      </c>
      <c r="L4" s="18" t="s">
        <v>43</v>
      </c>
      <c r="M4" s="17" t="s">
        <v>44</v>
      </c>
    </row>
    <row r="5" ht="24" customHeight="1" spans="2:13" x14ac:dyDescent="0.25">
      <c r="B5" s="19" t="s">
        <v>45</v>
      </c>
      <c r="C5" s="19" t="s">
        <v>46</v>
      </c>
      <c r="D5" s="19" t="s">
        <v>47</v>
      </c>
      <c r="E5" s="20" t="s">
        <v>48</v>
      </c>
      <c r="F5" s="20" t="s">
        <v>49</v>
      </c>
      <c r="G5" s="20" t="s">
        <v>49</v>
      </c>
      <c r="H5" s="20" t="s">
        <v>50</v>
      </c>
      <c r="I5" s="20" t="s">
        <v>51</v>
      </c>
      <c r="J5" s="20" t="s">
        <v>52</v>
      </c>
      <c r="K5" s="20" t="s">
        <v>52</v>
      </c>
      <c r="L5" s="20" t="s">
        <v>53</v>
      </c>
      <c r="M5" s="19" t="s">
        <v>54</v>
      </c>
    </row>
    <row r="6" ht="24" customHeight="1" spans="2:13" x14ac:dyDescent="0.25">
      <c r="B6" s="21" t="s">
        <v>55</v>
      </c>
      <c r="C6" s="21" t="s">
        <v>56</v>
      </c>
      <c r="D6" s="21" t="s">
        <v>57</v>
      </c>
      <c r="E6" s="22" t="s">
        <v>48</v>
      </c>
      <c r="F6" s="22" t="s">
        <v>49</v>
      </c>
      <c r="G6" s="22" t="s">
        <v>49</v>
      </c>
      <c r="H6" s="22" t="s">
        <v>50</v>
      </c>
      <c r="I6" s="22" t="s">
        <v>51</v>
      </c>
      <c r="J6" s="22" t="s">
        <v>58</v>
      </c>
      <c r="K6" s="22" t="s">
        <v>58</v>
      </c>
      <c r="L6" s="22" t="s">
        <v>59</v>
      </c>
      <c r="M6" s="21" t="s">
        <v>60</v>
      </c>
    </row>
    <row r="7" ht="24" customHeight="1" spans="2:13" x14ac:dyDescent="0.25">
      <c r="B7" s="19" t="s">
        <v>61</v>
      </c>
      <c r="C7" s="19" t="s">
        <v>62</v>
      </c>
      <c r="D7" s="19" t="s">
        <v>63</v>
      </c>
      <c r="E7" s="20" t="s">
        <v>48</v>
      </c>
      <c r="F7" s="20" t="s">
        <v>49</v>
      </c>
      <c r="G7" s="20" t="s">
        <v>49</v>
      </c>
      <c r="H7" s="20" t="s">
        <v>50</v>
      </c>
      <c r="I7" s="20" t="s">
        <v>51</v>
      </c>
      <c r="J7" s="20" t="s">
        <v>64</v>
      </c>
      <c r="K7" s="20" t="s">
        <v>64</v>
      </c>
      <c r="L7" s="20" t="s">
        <v>65</v>
      </c>
      <c r="M7" s="19" t="s">
        <v>66</v>
      </c>
    </row>
    <row r="8" ht="24" customHeight="1" spans="2:13" x14ac:dyDescent="0.25">
      <c r="B8" s="21" t="s">
        <v>67</v>
      </c>
      <c r="C8" s="21" t="s">
        <v>68</v>
      </c>
      <c r="D8" s="21" t="s">
        <v>69</v>
      </c>
      <c r="E8" s="22" t="s">
        <v>48</v>
      </c>
      <c r="F8" s="22" t="s">
        <v>49</v>
      </c>
      <c r="G8" s="22" t="s">
        <v>49</v>
      </c>
      <c r="H8" s="22" t="s">
        <v>50</v>
      </c>
      <c r="I8" s="22" t="s">
        <v>51</v>
      </c>
      <c r="J8" s="22" t="s">
        <v>70</v>
      </c>
      <c r="K8" s="22" t="s">
        <v>70</v>
      </c>
      <c r="L8" s="22" t="s">
        <v>71</v>
      </c>
      <c r="M8" s="21" t="s">
        <v>72</v>
      </c>
    </row>
    <row r="9" ht="24" customHeight="1" spans="2:13" x14ac:dyDescent="0.25">
      <c r="B9" s="19" t="s">
        <v>73</v>
      </c>
      <c r="C9" s="19" t="s">
        <v>74</v>
      </c>
      <c r="D9" s="19" t="s">
        <v>75</v>
      </c>
      <c r="E9" s="20" t="s">
        <v>48</v>
      </c>
      <c r="F9" s="20" t="s">
        <v>49</v>
      </c>
      <c r="G9" s="20" t="s">
        <v>49</v>
      </c>
      <c r="H9" s="20" t="s">
        <v>50</v>
      </c>
      <c r="I9" s="20" t="s">
        <v>51</v>
      </c>
      <c r="J9" s="20" t="s">
        <v>76</v>
      </c>
      <c r="K9" s="20" t="s">
        <v>76</v>
      </c>
      <c r="L9" s="20" t="s">
        <v>77</v>
      </c>
      <c r="M9" s="19" t="s">
        <v>78</v>
      </c>
    </row>
    <row r="10" ht="24" customHeight="1" spans="2:13" x14ac:dyDescent="0.25">
      <c r="B10" s="21" t="s">
        <v>79</v>
      </c>
      <c r="C10" s="21" t="s">
        <v>80</v>
      </c>
      <c r="D10" s="21" t="s">
        <v>81</v>
      </c>
      <c r="E10" s="22" t="s">
        <v>48</v>
      </c>
      <c r="F10" s="22" t="s">
        <v>49</v>
      </c>
      <c r="G10" s="22" t="s">
        <v>49</v>
      </c>
      <c r="H10" s="22" t="s">
        <v>50</v>
      </c>
      <c r="I10" s="22" t="s">
        <v>51</v>
      </c>
      <c r="J10" s="22" t="s">
        <v>82</v>
      </c>
      <c r="K10" s="22" t="s">
        <v>82</v>
      </c>
      <c r="L10" s="22" t="s">
        <v>83</v>
      </c>
      <c r="M10" s="21" t="s">
        <v>84</v>
      </c>
    </row>
    <row r="11" ht="24" customHeight="1" spans="2:13" x14ac:dyDescent="0.25">
      <c r="B11" s="19" t="s">
        <v>85</v>
      </c>
      <c r="C11" s="19" t="s">
        <v>86</v>
      </c>
      <c r="D11" s="19" t="s">
        <v>87</v>
      </c>
      <c r="E11" s="20" t="s">
        <v>48</v>
      </c>
      <c r="F11" s="20" t="s">
        <v>49</v>
      </c>
      <c r="G11" s="20" t="s">
        <v>49</v>
      </c>
      <c r="H11" s="20" t="s">
        <v>50</v>
      </c>
      <c r="I11" s="20" t="s">
        <v>51</v>
      </c>
      <c r="J11" s="20" t="s">
        <v>88</v>
      </c>
      <c r="K11" s="20" t="s">
        <v>88</v>
      </c>
      <c r="L11" s="20" t="s">
        <v>89</v>
      </c>
      <c r="M11" s="19" t="s">
        <v>90</v>
      </c>
    </row>
    <row r="12" ht="24" customHeight="1" spans="2:13" x14ac:dyDescent="0.25">
      <c r="B12" s="21" t="s">
        <v>91</v>
      </c>
      <c r="C12" s="21" t="s">
        <v>92</v>
      </c>
      <c r="D12" s="21" t="s">
        <v>93</v>
      </c>
      <c r="E12" s="22" t="s">
        <v>48</v>
      </c>
      <c r="F12" s="22" t="s">
        <v>49</v>
      </c>
      <c r="G12" s="22" t="s">
        <v>49</v>
      </c>
      <c r="H12" s="22" t="s">
        <v>50</v>
      </c>
      <c r="I12" s="22" t="s">
        <v>51</v>
      </c>
      <c r="J12" s="22" t="s">
        <v>94</v>
      </c>
      <c r="K12" s="22" t="s">
        <v>94</v>
      </c>
      <c r="L12" s="22" t="s">
        <v>95</v>
      </c>
      <c r="M12" s="21" t="s">
        <v>96</v>
      </c>
    </row>
    <row r="13" ht="24" customHeight="1" spans="2:13" x14ac:dyDescent="0.25">
      <c r="B13" s="19" t="s">
        <v>97</v>
      </c>
      <c r="C13" s="19" t="s">
        <v>98</v>
      </c>
      <c r="D13" s="19" t="s">
        <v>99</v>
      </c>
      <c r="E13" s="20" t="s">
        <v>48</v>
      </c>
      <c r="F13" s="20" t="s">
        <v>49</v>
      </c>
      <c r="G13" s="20" t="s">
        <v>49</v>
      </c>
      <c r="H13" s="20" t="s">
        <v>50</v>
      </c>
      <c r="I13" s="20" t="s">
        <v>51</v>
      </c>
      <c r="J13" s="20" t="s">
        <v>100</v>
      </c>
      <c r="K13" s="20" t="s">
        <v>100</v>
      </c>
      <c r="L13" s="20" t="s">
        <v>101</v>
      </c>
      <c r="M13" s="19" t="s">
        <v>102</v>
      </c>
    </row>
  </sheetData>
  <mergeCells count="1">
    <mergeCell ref="B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2:T370"/>
  <sheetViews>
    <sheetView workbookViewId="0"/>
  </sheetViews>
  <sheetFormatPr defaultRowHeight="15" outlineLevelRow="0" outlineLevelCol="0" x14ac:dyDescent="55"/>
  <cols>
    <col min="1" max="1" width="12" customWidth="1"/>
    <col min="2" max="2" width="28" customWidth="1"/>
    <col min="3" max="3" width="16" customWidth="1"/>
    <col min="4" max="4" width="10" customWidth="1"/>
    <col min="5" max="6" width="14" customWidth="1"/>
    <col min="7" max="7" width="22" customWidth="1"/>
    <col min="8" max="8" width="14" customWidth="1"/>
    <col min="9" max="15" width="12" customWidth="1"/>
    <col min="16" max="18" width="14" customWidth="1"/>
    <col min="19" max="19" width="16" customWidth="1"/>
    <col min="20" max="20" width="18" customWidth="1"/>
  </cols>
  <sheetData>
    <row r="2" ht="35" customHeight="1" spans="1:20" x14ac:dyDescent="0.25">
      <c r="A2" s="16" t="s">
        <v>103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4" ht="28" customHeight="1" spans="1:20" x14ac:dyDescent="0.25">
      <c r="A4" s="17" t="s">
        <v>104</v>
      </c>
      <c r="B4" s="17" t="s">
        <v>105</v>
      </c>
      <c r="C4" s="17" t="s">
        <v>106</v>
      </c>
      <c r="D4" s="17" t="s">
        <v>107</v>
      </c>
      <c r="E4" s="23" t="s">
        <v>108</v>
      </c>
      <c r="F4" s="23" t="s">
        <v>109</v>
      </c>
      <c r="G4" s="23" t="s">
        <v>110</v>
      </c>
      <c r="H4" s="23" t="s">
        <v>111</v>
      </c>
      <c r="I4" s="23" t="s">
        <v>112</v>
      </c>
      <c r="J4" s="23" t="s">
        <v>113</v>
      </c>
      <c r="K4" s="23" t="s">
        <v>114</v>
      </c>
      <c r="L4" s="23" t="s">
        <v>115</v>
      </c>
      <c r="M4" s="23" t="s">
        <v>116</v>
      </c>
      <c r="N4" s="23" t="s">
        <v>117</v>
      </c>
      <c r="O4" s="23" t="s">
        <v>118</v>
      </c>
      <c r="P4" s="23" t="s">
        <v>119</v>
      </c>
      <c r="Q4" s="23" t="s">
        <v>120</v>
      </c>
      <c r="R4" s="23" t="s">
        <v>121</v>
      </c>
      <c r="S4" s="23" t="s">
        <v>122</v>
      </c>
      <c r="T4" s="23" t="s">
        <v>123</v>
      </c>
    </row>
    <row r="5" ht="20" customHeight="1" spans="1:20" x14ac:dyDescent="0.25">
      <c r="A5" s="12" t="s">
        <v>124</v>
      </c>
      <c r="B5" s="12" t="s">
        <v>125</v>
      </c>
      <c r="C5" s="12" t="s">
        <v>126</v>
      </c>
      <c r="D5" s="12" t="s">
        <v>127</v>
      </c>
      <c r="E5" s="24">
        <v>8.319999694824219</v>
      </c>
      <c r="F5" s="25">
        <v>3988</v>
      </c>
      <c r="G5" s="12" t="s">
        <v>97</v>
      </c>
      <c r="H5" s="25">
        <v>12</v>
      </c>
      <c r="I5" s="25">
        <f>ROUND(H5*1.0, 2)</f>
      </c>
      <c r="J5" s="25">
        <f>ROUND(H5*0.95, 2)</f>
      </c>
      <c r="K5" s="25">
        <f>ROUND(H5*0.95, 2)</f>
      </c>
      <c r="L5" s="25">
        <f>ROUND(H5*1.05, 2)</f>
      </c>
      <c r="M5" s="25">
        <f>ROUND(H5*1.25, 2)</f>
      </c>
      <c r="N5" s="25">
        <f>ROUND(H5*1.55, 2)</f>
      </c>
      <c r="O5" s="25">
        <f>ROUND(H5*1.65, 2)</f>
      </c>
      <c r="P5" s="25">
        <f>SUM(I5:O5)</f>
      </c>
      <c r="Q5" s="25">
        <f>ROUND(H5*1.5, 2)</f>
      </c>
      <c r="R5" s="25">
        <f>ROUND(H5*2.0, 2)</f>
      </c>
      <c r="S5" s="12">
        <f>IF(F5&lt;=R5, "TRIGGER INDENT", "STOCK HEALTHY")</f>
      </c>
      <c r="T5" s="25">
        <f>IF(F5&lt;=R5, ROUND(MAX(H5, (I5+Q5)-F5), 2), 0)</f>
      </c>
    </row>
    <row r="6" ht="20" customHeight="1" spans="1:20" x14ac:dyDescent="0.25">
      <c r="A6" s="14" t="s">
        <v>128</v>
      </c>
      <c r="B6" s="14" t="s">
        <v>129</v>
      </c>
      <c r="C6" s="14" t="s">
        <v>126</v>
      </c>
      <c r="D6" s="14" t="s">
        <v>127</v>
      </c>
      <c r="E6" s="26">
        <v>12.15999984741211</v>
      </c>
      <c r="F6" s="27">
        <v>8766</v>
      </c>
      <c r="G6" s="14" t="s">
        <v>67</v>
      </c>
      <c r="H6" s="27">
        <v>2</v>
      </c>
      <c r="I6" s="27">
        <f>ROUND(H6*1.0, 2)</f>
      </c>
      <c r="J6" s="27">
        <f>ROUND(H6*0.95, 2)</f>
      </c>
      <c r="K6" s="27">
        <f>ROUND(H6*0.95, 2)</f>
      </c>
      <c r="L6" s="27">
        <f>ROUND(H6*1.05, 2)</f>
      </c>
      <c r="M6" s="27">
        <f>ROUND(H6*1.25, 2)</f>
      </c>
      <c r="N6" s="27">
        <f>ROUND(H6*1.55, 2)</f>
      </c>
      <c r="O6" s="27">
        <f>ROUND(H6*1.65, 2)</f>
      </c>
      <c r="P6" s="27">
        <f>SUM(I6:O6)</f>
      </c>
      <c r="Q6" s="27">
        <f>ROUND(H6*1.5, 2)</f>
      </c>
      <c r="R6" s="27">
        <f>ROUND(H6*2.0, 2)</f>
      </c>
      <c r="S6" s="14">
        <f>IF(F6&lt;=R6, "TRIGGER INDENT", "STOCK HEALTHY")</f>
      </c>
      <c r="T6" s="27">
        <f>IF(F6&lt;=R6, ROUND(MAX(H6, (I6+Q6)-F6), 2), 0)</f>
      </c>
    </row>
    <row r="7" ht="20" customHeight="1" spans="1:20" x14ac:dyDescent="0.25">
      <c r="A7" s="12" t="s">
        <v>130</v>
      </c>
      <c r="B7" s="12" t="s">
        <v>131</v>
      </c>
      <c r="C7" s="12" t="s">
        <v>126</v>
      </c>
      <c r="D7" s="12" t="s">
        <v>127</v>
      </c>
      <c r="E7" s="24">
        <v>16.739999771118164</v>
      </c>
      <c r="F7" s="25">
        <v>7198</v>
      </c>
      <c r="G7" s="12" t="s">
        <v>97</v>
      </c>
      <c r="H7" s="25">
        <v>2</v>
      </c>
      <c r="I7" s="25">
        <f>ROUND(H7*1.0, 2)</f>
      </c>
      <c r="J7" s="25">
        <f>ROUND(H7*0.95, 2)</f>
      </c>
      <c r="K7" s="25">
        <f>ROUND(H7*0.95, 2)</f>
      </c>
      <c r="L7" s="25">
        <f>ROUND(H7*1.05, 2)</f>
      </c>
      <c r="M7" s="25">
        <f>ROUND(H7*1.25, 2)</f>
      </c>
      <c r="N7" s="25">
        <f>ROUND(H7*1.55, 2)</f>
      </c>
      <c r="O7" s="25">
        <f>ROUND(H7*1.65, 2)</f>
      </c>
      <c r="P7" s="25">
        <f>SUM(I7:O7)</f>
      </c>
      <c r="Q7" s="25">
        <f>ROUND(H7*1.5, 2)</f>
      </c>
      <c r="R7" s="25">
        <f>ROUND(H7*2.0, 2)</f>
      </c>
      <c r="S7" s="12">
        <f>IF(F7&lt;=R7, "TRIGGER INDENT", "STOCK HEALTHY")</f>
      </c>
      <c r="T7" s="25">
        <f>IF(F7&lt;=R7, ROUND(MAX(H7, (I7+Q7)-F7), 2), 0)</f>
      </c>
    </row>
    <row r="8" ht="20" customHeight="1" spans="1:20" x14ac:dyDescent="0.25">
      <c r="A8" s="14" t="s">
        <v>132</v>
      </c>
      <c r="B8" s="14" t="s">
        <v>133</v>
      </c>
      <c r="C8" s="14" t="s">
        <v>134</v>
      </c>
      <c r="D8" s="14" t="s">
        <v>135</v>
      </c>
      <c r="E8" s="26">
        <v>393.1300048828125</v>
      </c>
      <c r="F8" s="27">
        <v>32</v>
      </c>
      <c r="G8" s="14" t="s">
        <v>85</v>
      </c>
      <c r="H8" s="27">
        <v>6.4</v>
      </c>
      <c r="I8" s="27">
        <f>ROUND(H8*1.0, 2)</f>
      </c>
      <c r="J8" s="27">
        <f>ROUND(H8*0.95, 2)</f>
      </c>
      <c r="K8" s="27">
        <f>ROUND(H8*0.95, 2)</f>
      </c>
      <c r="L8" s="27">
        <f>ROUND(H8*1.05, 2)</f>
      </c>
      <c r="M8" s="27">
        <f>ROUND(H8*1.25, 2)</f>
      </c>
      <c r="N8" s="27">
        <f>ROUND(H8*1.55, 2)</f>
      </c>
      <c r="O8" s="27">
        <f>ROUND(H8*1.65, 2)</f>
      </c>
      <c r="P8" s="27">
        <f>SUM(I8:O8)</f>
      </c>
      <c r="Q8" s="27">
        <f>ROUND(H8*1.5, 2)</f>
      </c>
      <c r="R8" s="27">
        <f>ROUND(H8*2.0, 2)</f>
      </c>
      <c r="S8" s="14">
        <f>IF(F8&lt;=R8, "TRIGGER INDENT", "STOCK HEALTHY")</f>
      </c>
      <c r="T8" s="27">
        <f>IF(F8&lt;=R8, ROUND(MAX(H8, (I8+Q8)-F8), 2), 0)</f>
      </c>
    </row>
    <row r="9" ht="20" customHeight="1" spans="1:20" x14ac:dyDescent="0.25">
      <c r="A9" s="12" t="s">
        <v>136</v>
      </c>
      <c r="B9" s="12" t="s">
        <v>137</v>
      </c>
      <c r="C9" s="12" t="s">
        <v>138</v>
      </c>
      <c r="D9" s="12" t="s">
        <v>139</v>
      </c>
      <c r="E9" s="24">
        <v>556</v>
      </c>
      <c r="F9" s="25">
        <v>14</v>
      </c>
      <c r="G9" s="12" t="s">
        <v>45</v>
      </c>
      <c r="H9" s="25">
        <v>2</v>
      </c>
      <c r="I9" s="25">
        <f>ROUND(H9*1.0, 2)</f>
      </c>
      <c r="J9" s="25">
        <f>ROUND(H9*0.95, 2)</f>
      </c>
      <c r="K9" s="25">
        <f>ROUND(H9*0.95, 2)</f>
      </c>
      <c r="L9" s="25">
        <f>ROUND(H9*1.05, 2)</f>
      </c>
      <c r="M9" s="25">
        <f>ROUND(H9*1.25, 2)</f>
      </c>
      <c r="N9" s="25">
        <f>ROUND(H9*1.55, 2)</f>
      </c>
      <c r="O9" s="25">
        <f>ROUND(H9*1.65, 2)</f>
      </c>
      <c r="P9" s="25">
        <f>SUM(I9:O9)</f>
      </c>
      <c r="Q9" s="25">
        <f>ROUND(H9*1.5, 2)</f>
      </c>
      <c r="R9" s="25">
        <f>ROUND(H9*2.0, 2)</f>
      </c>
      <c r="S9" s="12">
        <f>IF(F9&lt;=R9, "TRIGGER INDENT", "STOCK HEALTHY")</f>
      </c>
      <c r="T9" s="25">
        <f>IF(F9&lt;=R9, ROUND(MAX(H9, (I9+Q9)-F9), 2), 0)</f>
      </c>
    </row>
    <row r="10" ht="20" customHeight="1" spans="1:20" x14ac:dyDescent="0.25">
      <c r="A10" s="14" t="s">
        <v>140</v>
      </c>
      <c r="B10" s="14" t="s">
        <v>141</v>
      </c>
      <c r="C10" s="14" t="s">
        <v>138</v>
      </c>
      <c r="D10" s="14" t="s">
        <v>139</v>
      </c>
      <c r="E10" s="26">
        <v>536</v>
      </c>
      <c r="F10" s="27">
        <v>25.600004</v>
      </c>
      <c r="G10" s="14" t="s">
        <v>45</v>
      </c>
      <c r="H10" s="27">
        <v>5.12</v>
      </c>
      <c r="I10" s="27">
        <f>ROUND(H10*1.0, 2)</f>
      </c>
      <c r="J10" s="27">
        <f>ROUND(H10*0.95, 2)</f>
      </c>
      <c r="K10" s="27">
        <f>ROUND(H10*0.95, 2)</f>
      </c>
      <c r="L10" s="27">
        <f>ROUND(H10*1.05, 2)</f>
      </c>
      <c r="M10" s="27">
        <f>ROUND(H10*1.25, 2)</f>
      </c>
      <c r="N10" s="27">
        <f>ROUND(H10*1.55, 2)</f>
      </c>
      <c r="O10" s="27">
        <f>ROUND(H10*1.65, 2)</f>
      </c>
      <c r="P10" s="27">
        <f>SUM(I10:O10)</f>
      </c>
      <c r="Q10" s="27">
        <f>ROUND(H10*1.5, 2)</f>
      </c>
      <c r="R10" s="27">
        <f>ROUND(H10*2.0, 2)</f>
      </c>
      <c r="S10" s="14">
        <f>IF(F10&lt;=R10, "TRIGGER INDENT", "STOCK HEALTHY")</f>
      </c>
      <c r="T10" s="27">
        <f>IF(F10&lt;=R10, ROUND(MAX(H10, (I10+Q10)-F10), 2), 0)</f>
      </c>
    </row>
    <row r="11" ht="20" customHeight="1" spans="1:20" x14ac:dyDescent="0.25">
      <c r="A11" s="12" t="s">
        <v>142</v>
      </c>
      <c r="B11" s="12" t="s">
        <v>143</v>
      </c>
      <c r="C11" s="12" t="s">
        <v>144</v>
      </c>
      <c r="D11" s="12" t="s">
        <v>139</v>
      </c>
      <c r="E11" s="24">
        <v>229.3300018310547</v>
      </c>
      <c r="F11" s="25">
        <v>1.5100002</v>
      </c>
      <c r="G11" s="12" t="s">
        <v>73</v>
      </c>
      <c r="H11" s="25">
        <v>1</v>
      </c>
      <c r="I11" s="25">
        <f>ROUND(H11*1.0, 2)</f>
      </c>
      <c r="J11" s="25">
        <f>ROUND(H11*0.95, 2)</f>
      </c>
      <c r="K11" s="25">
        <f>ROUND(H11*0.95, 2)</f>
      </c>
      <c r="L11" s="25">
        <f>ROUND(H11*1.05, 2)</f>
      </c>
      <c r="M11" s="25">
        <f>ROUND(H11*1.25, 2)</f>
      </c>
      <c r="N11" s="25">
        <f>ROUND(H11*1.55, 2)</f>
      </c>
      <c r="O11" s="25">
        <f>ROUND(H11*1.65, 2)</f>
      </c>
      <c r="P11" s="25">
        <f>SUM(I11:O11)</f>
      </c>
      <c r="Q11" s="25">
        <f>ROUND(H11*1.5, 2)</f>
      </c>
      <c r="R11" s="25">
        <f>ROUND(H11*2.0, 2)</f>
      </c>
      <c r="S11" s="12">
        <f>IF(F11&lt;=R11, "TRIGGER INDENT", "STOCK HEALTHY")</f>
      </c>
      <c r="T11" s="25">
        <f>IF(F11&lt;=R11, ROUND(MAX(H11, (I11+Q11)-F11), 2), 0)</f>
      </c>
    </row>
    <row r="12" ht="20" customHeight="1" spans="1:20" x14ac:dyDescent="0.25">
      <c r="A12" s="14" t="s">
        <v>145</v>
      </c>
      <c r="B12" s="14" t="s">
        <v>146</v>
      </c>
      <c r="C12" s="14" t="s">
        <v>144</v>
      </c>
      <c r="D12" s="14" t="s">
        <v>139</v>
      </c>
      <c r="E12" s="26">
        <v>245.92999267578125</v>
      </c>
      <c r="F12" s="27">
        <v>96</v>
      </c>
      <c r="G12" s="14" t="s">
        <v>73</v>
      </c>
      <c r="H12" s="27">
        <v>11.52</v>
      </c>
      <c r="I12" s="27">
        <f>ROUND(H12*1.0, 2)</f>
      </c>
      <c r="J12" s="27">
        <f>ROUND(H12*0.95, 2)</f>
      </c>
      <c r="K12" s="27">
        <f>ROUND(H12*0.95, 2)</f>
      </c>
      <c r="L12" s="27">
        <f>ROUND(H12*1.05, 2)</f>
      </c>
      <c r="M12" s="27">
        <f>ROUND(H12*1.25, 2)</f>
      </c>
      <c r="N12" s="27">
        <f>ROUND(H12*1.55, 2)</f>
      </c>
      <c r="O12" s="27">
        <f>ROUND(H12*1.65, 2)</f>
      </c>
      <c r="P12" s="27">
        <f>SUM(I12:O12)</f>
      </c>
      <c r="Q12" s="27">
        <f>ROUND(H12*1.5, 2)</f>
      </c>
      <c r="R12" s="27">
        <f>ROUND(H12*2.0, 2)</f>
      </c>
      <c r="S12" s="14">
        <f>IF(F12&lt;=R12, "TRIGGER INDENT", "STOCK HEALTHY")</f>
      </c>
      <c r="T12" s="27">
        <f>IF(F12&lt;=R12, ROUND(MAX(H12, (I12+Q12)-F12), 2), 0)</f>
      </c>
    </row>
    <row r="13" ht="20" customHeight="1" spans="1:20" x14ac:dyDescent="0.25">
      <c r="A13" s="12" t="s">
        <v>147</v>
      </c>
      <c r="B13" s="12" t="s">
        <v>148</v>
      </c>
      <c r="C13" s="12" t="s">
        <v>138</v>
      </c>
      <c r="D13" s="12" t="s">
        <v>139</v>
      </c>
      <c r="E13" s="24">
        <v>360</v>
      </c>
      <c r="F13" s="25">
        <v>206.80003</v>
      </c>
      <c r="G13" s="12" t="s">
        <v>67</v>
      </c>
      <c r="H13" s="25">
        <v>0.56</v>
      </c>
      <c r="I13" s="25">
        <f>ROUND(H13*1.0, 2)</f>
      </c>
      <c r="J13" s="25">
        <f>ROUND(H13*0.95, 2)</f>
      </c>
      <c r="K13" s="25">
        <f>ROUND(H13*0.95, 2)</f>
      </c>
      <c r="L13" s="25">
        <f>ROUND(H13*1.05, 2)</f>
      </c>
      <c r="M13" s="25">
        <f>ROUND(H13*1.25, 2)</f>
      </c>
      <c r="N13" s="25">
        <f>ROUND(H13*1.55, 2)</f>
      </c>
      <c r="O13" s="25">
        <f>ROUND(H13*1.65, 2)</f>
      </c>
      <c r="P13" s="25">
        <f>SUM(I13:O13)</f>
      </c>
      <c r="Q13" s="25">
        <f>ROUND(H13*1.5, 2)</f>
      </c>
      <c r="R13" s="25">
        <f>ROUND(H13*2.0, 2)</f>
      </c>
      <c r="S13" s="12">
        <f>IF(F13&lt;=R13, "TRIGGER INDENT", "STOCK HEALTHY")</f>
      </c>
      <c r="T13" s="25">
        <f>IF(F13&lt;=R13, ROUND(MAX(H13, (I13+Q13)-F13), 2), 0)</f>
      </c>
    </row>
    <row r="14" ht="20" customHeight="1" spans="1:20" x14ac:dyDescent="0.25">
      <c r="A14" s="14" t="s">
        <v>149</v>
      </c>
      <c r="B14" s="14" t="s">
        <v>150</v>
      </c>
      <c r="C14" s="14" t="s">
        <v>151</v>
      </c>
      <c r="D14" s="14" t="s">
        <v>139</v>
      </c>
      <c r="E14" s="26">
        <v>37.93000030517578</v>
      </c>
      <c r="F14" s="27">
        <v>2491.5</v>
      </c>
      <c r="G14" s="14" t="s">
        <v>97</v>
      </c>
      <c r="H14" s="27">
        <v>7.84</v>
      </c>
      <c r="I14" s="27">
        <f>ROUND(H14*1.0, 2)</f>
      </c>
      <c r="J14" s="27">
        <f>ROUND(H14*0.95, 2)</f>
      </c>
      <c r="K14" s="27">
        <f>ROUND(H14*0.95, 2)</f>
      </c>
      <c r="L14" s="27">
        <f>ROUND(H14*1.05, 2)</f>
      </c>
      <c r="M14" s="27">
        <f>ROUND(H14*1.25, 2)</f>
      </c>
      <c r="N14" s="27">
        <f>ROUND(H14*1.55, 2)</f>
      </c>
      <c r="O14" s="27">
        <f>ROUND(H14*1.65, 2)</f>
      </c>
      <c r="P14" s="27">
        <f>SUM(I14:O14)</f>
      </c>
      <c r="Q14" s="27">
        <f>ROUND(H14*1.5, 2)</f>
      </c>
      <c r="R14" s="27">
        <f>ROUND(H14*2.0, 2)</f>
      </c>
      <c r="S14" s="14">
        <f>IF(F14&lt;=R14, "TRIGGER INDENT", "STOCK HEALTHY")</f>
      </c>
      <c r="T14" s="27">
        <f>IF(F14&lt;=R14, ROUND(MAX(H14, (I14+Q14)-F14), 2), 0)</f>
      </c>
    </row>
    <row r="15" ht="20" customHeight="1" spans="1:20" x14ac:dyDescent="0.25">
      <c r="A15" s="12" t="s">
        <v>152</v>
      </c>
      <c r="B15" s="12" t="s">
        <v>153</v>
      </c>
      <c r="C15" s="12" t="s">
        <v>154</v>
      </c>
      <c r="D15" s="12" t="s">
        <v>139</v>
      </c>
      <c r="E15" s="24">
        <v>48.66999816894531</v>
      </c>
      <c r="F15" s="25">
        <v>370.39993</v>
      </c>
      <c r="G15" s="12" t="s">
        <v>85</v>
      </c>
      <c r="H15" s="25">
        <v>2</v>
      </c>
      <c r="I15" s="25">
        <f>ROUND(H15*1.0, 2)</f>
      </c>
      <c r="J15" s="25">
        <f>ROUND(H15*0.95, 2)</f>
      </c>
      <c r="K15" s="25">
        <f>ROUND(H15*0.95, 2)</f>
      </c>
      <c r="L15" s="25">
        <f>ROUND(H15*1.05, 2)</f>
      </c>
      <c r="M15" s="25">
        <f>ROUND(H15*1.25, 2)</f>
      </c>
      <c r="N15" s="25">
        <f>ROUND(H15*1.55, 2)</f>
      </c>
      <c r="O15" s="25">
        <f>ROUND(H15*1.65, 2)</f>
      </c>
      <c r="P15" s="25">
        <f>SUM(I15:O15)</f>
      </c>
      <c r="Q15" s="25">
        <f>ROUND(H15*1.5, 2)</f>
      </c>
      <c r="R15" s="25">
        <f>ROUND(H15*2.0, 2)</f>
      </c>
      <c r="S15" s="12">
        <f>IF(F15&lt;=R15, "TRIGGER INDENT", "STOCK HEALTHY")</f>
      </c>
      <c r="T15" s="25">
        <f>IF(F15&lt;=R15, ROUND(MAX(H15, (I15+Q15)-F15), 2), 0)</f>
      </c>
    </row>
    <row r="16" ht="20" customHeight="1" spans="1:20" x14ac:dyDescent="0.25">
      <c r="A16" s="14" t="s">
        <v>155</v>
      </c>
      <c r="B16" s="14" t="s">
        <v>156</v>
      </c>
      <c r="C16" s="14" t="s">
        <v>154</v>
      </c>
      <c r="D16" s="14" t="s">
        <v>157</v>
      </c>
      <c r="E16" s="26">
        <v>120</v>
      </c>
      <c r="F16" s="27">
        <v>182</v>
      </c>
      <c r="G16" s="14" t="s">
        <v>67</v>
      </c>
      <c r="H16" s="27">
        <v>1.67</v>
      </c>
      <c r="I16" s="27">
        <f>ROUND(H16*1.0, 2)</f>
      </c>
      <c r="J16" s="27">
        <f>ROUND(H16*0.95, 2)</f>
      </c>
      <c r="K16" s="27">
        <f>ROUND(H16*0.95, 2)</f>
      </c>
      <c r="L16" s="27">
        <f>ROUND(H16*1.05, 2)</f>
      </c>
      <c r="M16" s="27">
        <f>ROUND(H16*1.25, 2)</f>
      </c>
      <c r="N16" s="27">
        <f>ROUND(H16*1.55, 2)</f>
      </c>
      <c r="O16" s="27">
        <f>ROUND(H16*1.65, 2)</f>
      </c>
      <c r="P16" s="27">
        <f>SUM(I16:O16)</f>
      </c>
      <c r="Q16" s="27">
        <f>ROUND(H16*1.5, 2)</f>
      </c>
      <c r="R16" s="27">
        <f>ROUND(H16*2.0, 2)</f>
      </c>
      <c r="S16" s="14">
        <f>IF(F16&lt;=R16, "TRIGGER INDENT", "STOCK HEALTHY")</f>
      </c>
      <c r="T16" s="27">
        <f>IF(F16&lt;=R16, ROUND(MAX(H16, (I16+Q16)-F16), 2), 0)</f>
      </c>
    </row>
    <row r="17" ht="20" customHeight="1" spans="1:20" x14ac:dyDescent="0.25">
      <c r="A17" s="12" t="s">
        <v>158</v>
      </c>
      <c r="B17" s="12" t="s">
        <v>159</v>
      </c>
      <c r="C17" s="12" t="s">
        <v>160</v>
      </c>
      <c r="D17" s="12" t="s">
        <v>139</v>
      </c>
      <c r="E17" s="24">
        <v>885.8900146484375</v>
      </c>
      <c r="F17" s="25">
        <v>22.399998</v>
      </c>
      <c r="G17" s="12" t="s">
        <v>61</v>
      </c>
      <c r="H17" s="25">
        <v>0.4</v>
      </c>
      <c r="I17" s="25">
        <f>ROUND(H17*1.0, 2)</f>
      </c>
      <c r="J17" s="25">
        <f>ROUND(H17*0.95, 2)</f>
      </c>
      <c r="K17" s="25">
        <f>ROUND(H17*0.95, 2)</f>
      </c>
      <c r="L17" s="25">
        <f>ROUND(H17*1.05, 2)</f>
      </c>
      <c r="M17" s="25">
        <f>ROUND(H17*1.25, 2)</f>
      </c>
      <c r="N17" s="25">
        <f>ROUND(H17*1.55, 2)</f>
      </c>
      <c r="O17" s="25">
        <f>ROUND(H17*1.65, 2)</f>
      </c>
      <c r="P17" s="25">
        <f>SUM(I17:O17)</f>
      </c>
      <c r="Q17" s="25">
        <f>ROUND(H17*1.5, 2)</f>
      </c>
      <c r="R17" s="25">
        <f>ROUND(H17*2.0, 2)</f>
      </c>
      <c r="S17" s="12">
        <f>IF(F17&lt;=R17, "TRIGGER INDENT", "STOCK HEALTHY")</f>
      </c>
      <c r="T17" s="25">
        <f>IF(F17&lt;=R17, ROUND(MAX(H17, (I17+Q17)-F17), 2), 0)</f>
      </c>
    </row>
    <row r="18" ht="20" customHeight="1" spans="1:20" x14ac:dyDescent="0.25">
      <c r="A18" s="14" t="s">
        <v>161</v>
      </c>
      <c r="B18" s="14" t="s">
        <v>162</v>
      </c>
      <c r="C18" s="14" t="s">
        <v>154</v>
      </c>
      <c r="D18" s="14" t="s">
        <v>127</v>
      </c>
      <c r="E18" s="26">
        <v>35.959999084472656</v>
      </c>
      <c r="F18" s="27">
        <v>244</v>
      </c>
      <c r="G18" s="14" t="s">
        <v>97</v>
      </c>
      <c r="H18" s="27">
        <v>2.4</v>
      </c>
      <c r="I18" s="27">
        <f>ROUND(H18*1.0, 2)</f>
      </c>
      <c r="J18" s="27">
        <f>ROUND(H18*0.95, 2)</f>
      </c>
      <c r="K18" s="27">
        <f>ROUND(H18*0.95, 2)</f>
      </c>
      <c r="L18" s="27">
        <f>ROUND(H18*1.05, 2)</f>
      </c>
      <c r="M18" s="27">
        <f>ROUND(H18*1.25, 2)</f>
      </c>
      <c r="N18" s="27">
        <f>ROUND(H18*1.55, 2)</f>
      </c>
      <c r="O18" s="27">
        <f>ROUND(H18*1.65, 2)</f>
      </c>
      <c r="P18" s="27">
        <f>SUM(I18:O18)</f>
      </c>
      <c r="Q18" s="27">
        <f>ROUND(H18*1.5, 2)</f>
      </c>
      <c r="R18" s="27">
        <f>ROUND(H18*2.0, 2)</f>
      </c>
      <c r="S18" s="14">
        <f>IF(F18&lt;=R18, "TRIGGER INDENT", "STOCK HEALTHY")</f>
      </c>
      <c r="T18" s="27">
        <f>IF(F18&lt;=R18, ROUND(MAX(H18, (I18+Q18)-F18), 2), 0)</f>
      </c>
    </row>
    <row r="19" ht="20" customHeight="1" spans="1:20" x14ac:dyDescent="0.25">
      <c r="A19" s="12" t="s">
        <v>163</v>
      </c>
      <c r="B19" s="12" t="s">
        <v>164</v>
      </c>
      <c r="C19" s="12" t="s">
        <v>144</v>
      </c>
      <c r="D19" s="12" t="s">
        <v>165</v>
      </c>
      <c r="E19" s="24">
        <v>57</v>
      </c>
      <c r="F19" s="25">
        <v>0</v>
      </c>
      <c r="G19" s="12" t="s">
        <v>61</v>
      </c>
      <c r="H19" s="25">
        <v>0.3</v>
      </c>
      <c r="I19" s="25">
        <f>ROUND(H19*1.0, 2)</f>
      </c>
      <c r="J19" s="25">
        <f>ROUND(H19*0.95, 2)</f>
      </c>
      <c r="K19" s="25">
        <f>ROUND(H19*0.95, 2)</f>
      </c>
      <c r="L19" s="25">
        <f>ROUND(H19*1.05, 2)</f>
      </c>
      <c r="M19" s="25">
        <f>ROUND(H19*1.25, 2)</f>
      </c>
      <c r="N19" s="25">
        <f>ROUND(H19*1.55, 2)</f>
      </c>
      <c r="O19" s="25">
        <f>ROUND(H19*1.65, 2)</f>
      </c>
      <c r="P19" s="25">
        <f>SUM(I19:O19)</f>
      </c>
      <c r="Q19" s="25">
        <f>ROUND(H19*1.5, 2)</f>
      </c>
      <c r="R19" s="25">
        <f>ROUND(H19*2.0, 2)</f>
      </c>
      <c r="S19" s="12">
        <f>IF(F19&lt;=R19, "TRIGGER INDENT", "STOCK HEALTHY")</f>
      </c>
      <c r="T19" s="25">
        <f>IF(F19&lt;=R19, ROUND(MAX(H19, (I19+Q19)-F19), 2), 0)</f>
      </c>
    </row>
    <row r="20" ht="20" customHeight="1" spans="1:20" x14ac:dyDescent="0.25">
      <c r="A20" s="14" t="s">
        <v>166</v>
      </c>
      <c r="B20" s="14" t="s">
        <v>167</v>
      </c>
      <c r="C20" s="14" t="s">
        <v>168</v>
      </c>
      <c r="D20" s="14" t="s">
        <v>127</v>
      </c>
      <c r="E20" s="26">
        <v>160</v>
      </c>
      <c r="F20" s="27">
        <v>627</v>
      </c>
      <c r="G20" s="14" t="s">
        <v>79</v>
      </c>
      <c r="H20" s="27">
        <v>2.6</v>
      </c>
      <c r="I20" s="27">
        <f>ROUND(H20*1.0, 2)</f>
      </c>
      <c r="J20" s="27">
        <f>ROUND(H20*0.95, 2)</f>
      </c>
      <c r="K20" s="27">
        <f>ROUND(H20*0.95, 2)</f>
      </c>
      <c r="L20" s="27">
        <f>ROUND(H20*1.05, 2)</f>
      </c>
      <c r="M20" s="27">
        <f>ROUND(H20*1.25, 2)</f>
      </c>
      <c r="N20" s="27">
        <f>ROUND(H20*1.55, 2)</f>
      </c>
      <c r="O20" s="27">
        <f>ROUND(H20*1.65, 2)</f>
      </c>
      <c r="P20" s="27">
        <f>SUM(I20:O20)</f>
      </c>
      <c r="Q20" s="27">
        <f>ROUND(H20*1.5, 2)</f>
      </c>
      <c r="R20" s="27">
        <f>ROUND(H20*2.0, 2)</f>
      </c>
      <c r="S20" s="14">
        <f>IF(F20&lt;=R20, "TRIGGER INDENT", "STOCK HEALTHY")</f>
      </c>
      <c r="T20" s="27">
        <f>IF(F20&lt;=R20, ROUND(MAX(H20, (I20+Q20)-F20), 2), 0)</f>
      </c>
    </row>
    <row r="21" ht="20" customHeight="1" spans="1:20" x14ac:dyDescent="0.25">
      <c r="A21" s="12" t="s">
        <v>169</v>
      </c>
      <c r="B21" s="12" t="s">
        <v>170</v>
      </c>
      <c r="C21" s="12" t="s">
        <v>171</v>
      </c>
      <c r="D21" s="12" t="s">
        <v>127</v>
      </c>
      <c r="E21" s="24">
        <v>3096.9599609375</v>
      </c>
      <c r="F21" s="25">
        <v>667.5</v>
      </c>
      <c r="G21" s="12" t="s">
        <v>55</v>
      </c>
      <c r="H21" s="25">
        <v>0.9</v>
      </c>
      <c r="I21" s="25">
        <f>ROUND(H21*1.0, 2)</f>
      </c>
      <c r="J21" s="25">
        <f>ROUND(H21*0.95, 2)</f>
      </c>
      <c r="K21" s="25">
        <f>ROUND(H21*0.95, 2)</f>
      </c>
      <c r="L21" s="25">
        <f>ROUND(H21*1.05, 2)</f>
      </c>
      <c r="M21" s="25">
        <f>ROUND(H21*1.25, 2)</f>
      </c>
      <c r="N21" s="25">
        <f>ROUND(H21*1.55, 2)</f>
      </c>
      <c r="O21" s="25">
        <f>ROUND(H21*1.65, 2)</f>
      </c>
      <c r="P21" s="25">
        <f>SUM(I21:O21)</f>
      </c>
      <c r="Q21" s="25">
        <f>ROUND(H21*1.5, 2)</f>
      </c>
      <c r="R21" s="25">
        <f>ROUND(H21*2.0, 2)</f>
      </c>
      <c r="S21" s="12">
        <f>IF(F21&lt;=R21, "TRIGGER INDENT", "STOCK HEALTHY")</f>
      </c>
      <c r="T21" s="25">
        <f>IF(F21&lt;=R21, ROUND(MAX(H21, (I21+Q21)-F21), 2), 0)</f>
      </c>
    </row>
    <row r="22" ht="20" customHeight="1" spans="1:20" x14ac:dyDescent="0.25">
      <c r="A22" s="14" t="s">
        <v>172</v>
      </c>
      <c r="B22" s="14" t="s">
        <v>173</v>
      </c>
      <c r="C22" s="14" t="s">
        <v>138</v>
      </c>
      <c r="D22" s="14" t="s">
        <v>139</v>
      </c>
      <c r="E22" s="26">
        <v>265</v>
      </c>
      <c r="F22" s="27">
        <v>17.71</v>
      </c>
      <c r="G22" s="14" t="s">
        <v>67</v>
      </c>
      <c r="H22" s="27">
        <v>8.47</v>
      </c>
      <c r="I22" s="27">
        <f>ROUND(H22*1.0, 2)</f>
      </c>
      <c r="J22" s="27">
        <f>ROUND(H22*0.95, 2)</f>
      </c>
      <c r="K22" s="27">
        <f>ROUND(H22*0.95, 2)</f>
      </c>
      <c r="L22" s="27">
        <f>ROUND(H22*1.05, 2)</f>
      </c>
      <c r="M22" s="27">
        <f>ROUND(H22*1.25, 2)</f>
      </c>
      <c r="N22" s="27">
        <f>ROUND(H22*1.55, 2)</f>
      </c>
      <c r="O22" s="27">
        <f>ROUND(H22*1.65, 2)</f>
      </c>
      <c r="P22" s="27">
        <f>SUM(I22:O22)</f>
      </c>
      <c r="Q22" s="27">
        <f>ROUND(H22*1.5, 2)</f>
      </c>
      <c r="R22" s="27">
        <f>ROUND(H22*2.0, 2)</f>
      </c>
      <c r="S22" s="14">
        <f>IF(F22&lt;=R22, "TRIGGER INDENT", "STOCK HEALTHY")</f>
      </c>
      <c r="T22" s="27">
        <f>IF(F22&lt;=R22, ROUND(MAX(H22, (I22+Q22)-F22), 2), 0)</f>
      </c>
    </row>
    <row r="23" ht="20" customHeight="1" spans="1:20" x14ac:dyDescent="0.25">
      <c r="A23" s="12" t="s">
        <v>174</v>
      </c>
      <c r="B23" s="12" t="s">
        <v>175</v>
      </c>
      <c r="C23" s="12" t="s">
        <v>176</v>
      </c>
      <c r="D23" s="12" t="s">
        <v>139</v>
      </c>
      <c r="E23" s="24">
        <v>110.94000244140625</v>
      </c>
      <c r="F23" s="25">
        <v>4685</v>
      </c>
      <c r="G23" s="12" t="s">
        <v>55</v>
      </c>
      <c r="H23" s="25">
        <v>7</v>
      </c>
      <c r="I23" s="25">
        <f>ROUND(H23*1.0, 2)</f>
      </c>
      <c r="J23" s="25">
        <f>ROUND(H23*0.95, 2)</f>
      </c>
      <c r="K23" s="25">
        <f>ROUND(H23*0.95, 2)</f>
      </c>
      <c r="L23" s="25">
        <f>ROUND(H23*1.05, 2)</f>
      </c>
      <c r="M23" s="25">
        <f>ROUND(H23*1.25, 2)</f>
      </c>
      <c r="N23" s="25">
        <f>ROUND(H23*1.55, 2)</f>
      </c>
      <c r="O23" s="25">
        <f>ROUND(H23*1.65, 2)</f>
      </c>
      <c r="P23" s="25">
        <f>SUM(I23:O23)</f>
      </c>
      <c r="Q23" s="25">
        <f>ROUND(H23*1.5, 2)</f>
      </c>
      <c r="R23" s="25">
        <f>ROUND(H23*2.0, 2)</f>
      </c>
      <c r="S23" s="12">
        <f>IF(F23&lt;=R23, "TRIGGER INDENT", "STOCK HEALTHY")</f>
      </c>
      <c r="T23" s="25">
        <f>IF(F23&lt;=R23, ROUND(MAX(H23, (I23+Q23)-F23), 2), 0)</f>
      </c>
    </row>
    <row r="24" ht="20" customHeight="1" spans="1:20" x14ac:dyDescent="0.25">
      <c r="A24" s="14" t="s">
        <v>177</v>
      </c>
      <c r="B24" s="14" t="s">
        <v>178</v>
      </c>
      <c r="C24" s="14" t="s">
        <v>154</v>
      </c>
      <c r="D24" s="14" t="s">
        <v>179</v>
      </c>
      <c r="E24" s="26">
        <v>145.1999969482422</v>
      </c>
      <c r="F24" s="27">
        <v>67</v>
      </c>
      <c r="G24" s="14" t="s">
        <v>61</v>
      </c>
      <c r="H24" s="27">
        <v>2.6</v>
      </c>
      <c r="I24" s="27">
        <f>ROUND(H24*1.0, 2)</f>
      </c>
      <c r="J24" s="27">
        <f>ROUND(H24*0.95, 2)</f>
      </c>
      <c r="K24" s="27">
        <f>ROUND(H24*0.95, 2)</f>
      </c>
      <c r="L24" s="27">
        <f>ROUND(H24*1.05, 2)</f>
      </c>
      <c r="M24" s="27">
        <f>ROUND(H24*1.25, 2)</f>
      </c>
      <c r="N24" s="27">
        <f>ROUND(H24*1.55, 2)</f>
      </c>
      <c r="O24" s="27">
        <f>ROUND(H24*1.65, 2)</f>
      </c>
      <c r="P24" s="27">
        <f>SUM(I24:O24)</f>
      </c>
      <c r="Q24" s="27">
        <f>ROUND(H24*1.5, 2)</f>
      </c>
      <c r="R24" s="27">
        <f>ROUND(H24*2.0, 2)</f>
      </c>
      <c r="S24" s="14">
        <f>IF(F24&lt;=R24, "TRIGGER INDENT", "STOCK HEALTHY")</f>
      </c>
      <c r="T24" s="27">
        <f>IF(F24&lt;=R24, ROUND(MAX(H24, (I24+Q24)-F24), 2), 0)</f>
      </c>
    </row>
    <row r="25" ht="20" customHeight="1" spans="1:20" x14ac:dyDescent="0.25">
      <c r="A25" s="12" t="s">
        <v>180</v>
      </c>
      <c r="B25" s="12" t="s">
        <v>181</v>
      </c>
      <c r="C25" s="12" t="s">
        <v>154</v>
      </c>
      <c r="D25" s="12" t="s">
        <v>135</v>
      </c>
      <c r="E25" s="24">
        <v>477.7799987792969</v>
      </c>
      <c r="F25" s="25">
        <v>43</v>
      </c>
      <c r="G25" s="12" t="s">
        <v>61</v>
      </c>
      <c r="H25" s="25">
        <v>1</v>
      </c>
      <c r="I25" s="25">
        <f>ROUND(H25*1.0, 2)</f>
      </c>
      <c r="J25" s="25">
        <f>ROUND(H25*0.95, 2)</f>
      </c>
      <c r="K25" s="25">
        <f>ROUND(H25*0.95, 2)</f>
      </c>
      <c r="L25" s="25">
        <f>ROUND(H25*1.05, 2)</f>
      </c>
      <c r="M25" s="25">
        <f>ROUND(H25*1.25, 2)</f>
      </c>
      <c r="N25" s="25">
        <f>ROUND(H25*1.55, 2)</f>
      </c>
      <c r="O25" s="25">
        <f>ROUND(H25*1.65, 2)</f>
      </c>
      <c r="P25" s="25">
        <f>SUM(I25:O25)</f>
      </c>
      <c r="Q25" s="25">
        <f>ROUND(H25*1.5, 2)</f>
      </c>
      <c r="R25" s="25">
        <f>ROUND(H25*2.0, 2)</f>
      </c>
      <c r="S25" s="12">
        <f>IF(F25&lt;=R25, "TRIGGER INDENT", "STOCK HEALTHY")</f>
      </c>
      <c r="T25" s="25">
        <f>IF(F25&lt;=R25, ROUND(MAX(H25, (I25+Q25)-F25), 2), 0)</f>
      </c>
    </row>
    <row r="26" ht="20" customHeight="1" spans="1:20" x14ac:dyDescent="0.25">
      <c r="A26" s="14" t="s">
        <v>182</v>
      </c>
      <c r="B26" s="14" t="s">
        <v>183</v>
      </c>
      <c r="C26" s="14" t="s">
        <v>144</v>
      </c>
      <c r="D26" s="14" t="s">
        <v>139</v>
      </c>
      <c r="E26" s="26">
        <v>125.56999969482422</v>
      </c>
      <c r="F26" s="27">
        <v>0</v>
      </c>
      <c r="G26" s="14" t="s">
        <v>85</v>
      </c>
      <c r="H26" s="27">
        <v>0.5</v>
      </c>
      <c r="I26" s="27">
        <f>ROUND(H26*1.0, 2)</f>
      </c>
      <c r="J26" s="27">
        <f>ROUND(H26*0.95, 2)</f>
      </c>
      <c r="K26" s="27">
        <f>ROUND(H26*0.95, 2)</f>
      </c>
      <c r="L26" s="27">
        <f>ROUND(H26*1.05, 2)</f>
      </c>
      <c r="M26" s="27">
        <f>ROUND(H26*1.25, 2)</f>
      </c>
      <c r="N26" s="27">
        <f>ROUND(H26*1.55, 2)</f>
      </c>
      <c r="O26" s="27">
        <f>ROUND(H26*1.65, 2)</f>
      </c>
      <c r="P26" s="27">
        <f>SUM(I26:O26)</f>
      </c>
      <c r="Q26" s="27">
        <f>ROUND(H26*1.5, 2)</f>
      </c>
      <c r="R26" s="27">
        <f>ROUND(H26*2.0, 2)</f>
      </c>
      <c r="S26" s="14">
        <f>IF(F26&lt;=R26, "TRIGGER INDENT", "STOCK HEALTHY")</f>
      </c>
      <c r="T26" s="27">
        <f>IF(F26&lt;=R26, ROUND(MAX(H26, (I26+Q26)-F26), 2), 0)</f>
      </c>
    </row>
    <row r="27" ht="20" customHeight="1" spans="1:20" x14ac:dyDescent="0.25">
      <c r="A27" s="12" t="s">
        <v>184</v>
      </c>
      <c r="B27" s="12" t="s">
        <v>185</v>
      </c>
      <c r="C27" s="12" t="s">
        <v>154</v>
      </c>
      <c r="D27" s="12" t="s">
        <v>135</v>
      </c>
      <c r="E27" s="24">
        <v>219.41000366210938</v>
      </c>
      <c r="F27" s="25">
        <v>78</v>
      </c>
      <c r="G27" s="12" t="s">
        <v>61</v>
      </c>
      <c r="H27" s="25">
        <v>2</v>
      </c>
      <c r="I27" s="25">
        <f>ROUND(H27*1.0, 2)</f>
      </c>
      <c r="J27" s="25">
        <f>ROUND(H27*0.95, 2)</f>
      </c>
      <c r="K27" s="25">
        <f>ROUND(H27*0.95, 2)</f>
      </c>
      <c r="L27" s="25">
        <f>ROUND(H27*1.05, 2)</f>
      </c>
      <c r="M27" s="25">
        <f>ROUND(H27*1.25, 2)</f>
      </c>
      <c r="N27" s="25">
        <f>ROUND(H27*1.55, 2)</f>
      </c>
      <c r="O27" s="25">
        <f>ROUND(H27*1.65, 2)</f>
      </c>
      <c r="P27" s="25">
        <f>SUM(I27:O27)</f>
      </c>
      <c r="Q27" s="25">
        <f>ROUND(H27*1.5, 2)</f>
      </c>
      <c r="R27" s="25">
        <f>ROUND(H27*2.0, 2)</f>
      </c>
      <c r="S27" s="12">
        <f>IF(F27&lt;=R27, "TRIGGER INDENT", "STOCK HEALTHY")</f>
      </c>
      <c r="T27" s="25">
        <f>IF(F27&lt;=R27, ROUND(MAX(H27, (I27+Q27)-F27), 2), 0)</f>
      </c>
    </row>
    <row r="28" ht="20" customHeight="1" spans="1:20" x14ac:dyDescent="0.25">
      <c r="A28" s="14" t="s">
        <v>186</v>
      </c>
      <c r="B28" s="14" t="s">
        <v>187</v>
      </c>
      <c r="C28" s="14" t="s">
        <v>138</v>
      </c>
      <c r="D28" s="14" t="s">
        <v>139</v>
      </c>
      <c r="E28" s="26">
        <v>864.6799926757812</v>
      </c>
      <c r="F28" s="27">
        <v>66.93998</v>
      </c>
      <c r="G28" s="14" t="s">
        <v>55</v>
      </c>
      <c r="H28" s="27">
        <v>50.15</v>
      </c>
      <c r="I28" s="27">
        <f>ROUND(H28*1.0, 2)</f>
      </c>
      <c r="J28" s="27">
        <f>ROUND(H28*0.95, 2)</f>
      </c>
      <c r="K28" s="27">
        <f>ROUND(H28*0.95, 2)</f>
      </c>
      <c r="L28" s="27">
        <f>ROUND(H28*1.05, 2)</f>
      </c>
      <c r="M28" s="27">
        <f>ROUND(H28*1.25, 2)</f>
      </c>
      <c r="N28" s="27">
        <f>ROUND(H28*1.55, 2)</f>
      </c>
      <c r="O28" s="27">
        <f>ROUND(H28*1.65, 2)</f>
      </c>
      <c r="P28" s="27">
        <f>SUM(I28:O28)</f>
      </c>
      <c r="Q28" s="27">
        <f>ROUND(H28*1.5, 2)</f>
      </c>
      <c r="R28" s="27">
        <f>ROUND(H28*2.0, 2)</f>
      </c>
      <c r="S28" s="14">
        <f>IF(F28&lt;=R28, "TRIGGER INDENT", "STOCK HEALTHY")</f>
      </c>
      <c r="T28" s="27">
        <f>IF(F28&lt;=R28, ROUND(MAX(H28, (I28+Q28)-F28), 2), 0)</f>
      </c>
    </row>
    <row r="29" ht="20" customHeight="1" spans="1:20" x14ac:dyDescent="0.25">
      <c r="A29" s="12" t="s">
        <v>188</v>
      </c>
      <c r="B29" s="12" t="s">
        <v>189</v>
      </c>
      <c r="C29" s="12" t="s">
        <v>154</v>
      </c>
      <c r="D29" s="12" t="s">
        <v>139</v>
      </c>
      <c r="E29" s="24">
        <v>50</v>
      </c>
      <c r="F29" s="25">
        <v>51</v>
      </c>
      <c r="G29" s="12" t="s">
        <v>45</v>
      </c>
      <c r="H29" s="25">
        <v>2.6</v>
      </c>
      <c r="I29" s="25">
        <f>ROUND(H29*1.0, 2)</f>
      </c>
      <c r="J29" s="25">
        <f>ROUND(H29*0.95, 2)</f>
      </c>
      <c r="K29" s="25">
        <f>ROUND(H29*0.95, 2)</f>
      </c>
      <c r="L29" s="25">
        <f>ROUND(H29*1.05, 2)</f>
      </c>
      <c r="M29" s="25">
        <f>ROUND(H29*1.25, 2)</f>
      </c>
      <c r="N29" s="25">
        <f>ROUND(H29*1.55, 2)</f>
      </c>
      <c r="O29" s="25">
        <f>ROUND(H29*1.65, 2)</f>
      </c>
      <c r="P29" s="25">
        <f>SUM(I29:O29)</f>
      </c>
      <c r="Q29" s="25">
        <f>ROUND(H29*1.5, 2)</f>
      </c>
      <c r="R29" s="25">
        <f>ROUND(H29*2.0, 2)</f>
      </c>
      <c r="S29" s="12">
        <f>IF(F29&lt;=R29, "TRIGGER INDENT", "STOCK HEALTHY")</f>
      </c>
      <c r="T29" s="25">
        <f>IF(F29&lt;=R29, ROUND(MAX(H29, (I29+Q29)-F29), 2), 0)</f>
      </c>
    </row>
    <row r="30" ht="20" customHeight="1" spans="1:20" x14ac:dyDescent="0.25">
      <c r="A30" s="14" t="s">
        <v>190</v>
      </c>
      <c r="B30" s="14" t="s">
        <v>191</v>
      </c>
      <c r="C30" s="14" t="s">
        <v>192</v>
      </c>
      <c r="D30" s="14" t="s">
        <v>139</v>
      </c>
      <c r="E30" s="26">
        <v>138</v>
      </c>
      <c r="F30" s="27">
        <v>27.100002</v>
      </c>
      <c r="G30" s="14" t="s">
        <v>85</v>
      </c>
      <c r="H30" s="27">
        <v>1.3</v>
      </c>
      <c r="I30" s="27">
        <f>ROUND(H30*1.0, 2)</f>
      </c>
      <c r="J30" s="27">
        <f>ROUND(H30*0.95, 2)</f>
      </c>
      <c r="K30" s="27">
        <f>ROUND(H30*0.95, 2)</f>
      </c>
      <c r="L30" s="27">
        <f>ROUND(H30*1.05, 2)</f>
      </c>
      <c r="M30" s="27">
        <f>ROUND(H30*1.25, 2)</f>
      </c>
      <c r="N30" s="27">
        <f>ROUND(H30*1.55, 2)</f>
      </c>
      <c r="O30" s="27">
        <f>ROUND(H30*1.65, 2)</f>
      </c>
      <c r="P30" s="27">
        <f>SUM(I30:O30)</f>
      </c>
      <c r="Q30" s="27">
        <f>ROUND(H30*1.5, 2)</f>
      </c>
      <c r="R30" s="27">
        <f>ROUND(H30*2.0, 2)</f>
      </c>
      <c r="S30" s="14">
        <f>IF(F30&lt;=R30, "TRIGGER INDENT", "STOCK HEALTHY")</f>
      </c>
      <c r="T30" s="27">
        <f>IF(F30&lt;=R30, ROUND(MAX(H30, (I30+Q30)-F30), 2), 0)</f>
      </c>
    </row>
    <row r="31" ht="20" customHeight="1" spans="1:20" x14ac:dyDescent="0.25">
      <c r="A31" s="12" t="s">
        <v>193</v>
      </c>
      <c r="B31" s="12" t="s">
        <v>194</v>
      </c>
      <c r="C31" s="12" t="s">
        <v>134</v>
      </c>
      <c r="D31" s="12" t="s">
        <v>135</v>
      </c>
      <c r="E31" s="24">
        <v>280</v>
      </c>
      <c r="F31" s="25">
        <v>0</v>
      </c>
      <c r="G31" s="12" t="s">
        <v>61</v>
      </c>
      <c r="H31" s="25">
        <v>3.2</v>
      </c>
      <c r="I31" s="25">
        <f>ROUND(H31*1.0, 2)</f>
      </c>
      <c r="J31" s="25">
        <f>ROUND(H31*0.95, 2)</f>
      </c>
      <c r="K31" s="25">
        <f>ROUND(H31*0.95, 2)</f>
      </c>
      <c r="L31" s="25">
        <f>ROUND(H31*1.05, 2)</f>
      </c>
      <c r="M31" s="25">
        <f>ROUND(H31*1.25, 2)</f>
      </c>
      <c r="N31" s="25">
        <f>ROUND(H31*1.55, 2)</f>
      </c>
      <c r="O31" s="25">
        <f>ROUND(H31*1.65, 2)</f>
      </c>
      <c r="P31" s="25">
        <f>SUM(I31:O31)</f>
      </c>
      <c r="Q31" s="25">
        <f>ROUND(H31*1.5, 2)</f>
      </c>
      <c r="R31" s="25">
        <f>ROUND(H31*2.0, 2)</f>
      </c>
      <c r="S31" s="12">
        <f>IF(F31&lt;=R31, "TRIGGER INDENT", "STOCK HEALTHY")</f>
      </c>
      <c r="T31" s="25">
        <f>IF(F31&lt;=R31, ROUND(MAX(H31, (I31+Q31)-F31), 2), 0)</f>
      </c>
    </row>
    <row r="32" ht="20" customHeight="1" spans="1:20" x14ac:dyDescent="0.25">
      <c r="A32" s="14" t="s">
        <v>195</v>
      </c>
      <c r="B32" s="14" t="s">
        <v>196</v>
      </c>
      <c r="C32" s="14" t="s">
        <v>192</v>
      </c>
      <c r="D32" s="14" t="s">
        <v>139</v>
      </c>
      <c r="E32" s="26">
        <v>99</v>
      </c>
      <c r="F32" s="27">
        <v>21.1</v>
      </c>
      <c r="G32" s="14" t="s">
        <v>85</v>
      </c>
      <c r="H32" s="27">
        <v>2.18</v>
      </c>
      <c r="I32" s="27">
        <f>ROUND(H32*1.0, 2)</f>
      </c>
      <c r="J32" s="27">
        <f>ROUND(H32*0.95, 2)</f>
      </c>
      <c r="K32" s="27">
        <f>ROUND(H32*0.95, 2)</f>
      </c>
      <c r="L32" s="27">
        <f>ROUND(H32*1.05, 2)</f>
      </c>
      <c r="M32" s="27">
        <f>ROUND(H32*1.25, 2)</f>
      </c>
      <c r="N32" s="27">
        <f>ROUND(H32*1.55, 2)</f>
      </c>
      <c r="O32" s="27">
        <f>ROUND(H32*1.65, 2)</f>
      </c>
      <c r="P32" s="27">
        <f>SUM(I32:O32)</f>
      </c>
      <c r="Q32" s="27">
        <f>ROUND(H32*1.5, 2)</f>
      </c>
      <c r="R32" s="27">
        <f>ROUND(H32*2.0, 2)</f>
      </c>
      <c r="S32" s="14">
        <f>IF(F32&lt;=R32, "TRIGGER INDENT", "STOCK HEALTHY")</f>
      </c>
      <c r="T32" s="27">
        <f>IF(F32&lt;=R32, ROUND(MAX(H32, (I32+Q32)-F32), 2), 0)</f>
      </c>
    </row>
    <row r="33" ht="20" customHeight="1" spans="1:20" x14ac:dyDescent="0.25">
      <c r="A33" s="12" t="s">
        <v>197</v>
      </c>
      <c r="B33" s="12" t="s">
        <v>198</v>
      </c>
      <c r="C33" s="12" t="s">
        <v>176</v>
      </c>
      <c r="D33" s="12" t="s">
        <v>139</v>
      </c>
      <c r="E33" s="24">
        <v>45.5</v>
      </c>
      <c r="F33" s="25">
        <v>666.8</v>
      </c>
      <c r="G33" s="12" t="s">
        <v>97</v>
      </c>
      <c r="H33" s="25">
        <v>11.2</v>
      </c>
      <c r="I33" s="25">
        <f>ROUND(H33*1.0, 2)</f>
      </c>
      <c r="J33" s="25">
        <f>ROUND(H33*0.95, 2)</f>
      </c>
      <c r="K33" s="25">
        <f>ROUND(H33*0.95, 2)</f>
      </c>
      <c r="L33" s="25">
        <f>ROUND(H33*1.05, 2)</f>
      </c>
      <c r="M33" s="25">
        <f>ROUND(H33*1.25, 2)</f>
      </c>
      <c r="N33" s="25">
        <f>ROUND(H33*1.55, 2)</f>
      </c>
      <c r="O33" s="25">
        <f>ROUND(H33*1.65, 2)</f>
      </c>
      <c r="P33" s="25">
        <f>SUM(I33:O33)</f>
      </c>
      <c r="Q33" s="25">
        <f>ROUND(H33*1.5, 2)</f>
      </c>
      <c r="R33" s="25">
        <f>ROUND(H33*2.0, 2)</f>
      </c>
      <c r="S33" s="12">
        <f>IF(F33&lt;=R33, "TRIGGER INDENT", "STOCK HEALTHY")</f>
      </c>
      <c r="T33" s="25">
        <f>IF(F33&lt;=R33, ROUND(MAX(H33, (I33+Q33)-F33), 2), 0)</f>
      </c>
    </row>
    <row r="34" ht="20" customHeight="1" spans="1:20" x14ac:dyDescent="0.25">
      <c r="A34" s="14" t="s">
        <v>199</v>
      </c>
      <c r="B34" s="14" t="s">
        <v>200</v>
      </c>
      <c r="C34" s="14" t="s">
        <v>154</v>
      </c>
      <c r="D34" s="14" t="s">
        <v>179</v>
      </c>
      <c r="E34" s="26">
        <v>6.400000095367432</v>
      </c>
      <c r="F34" s="27">
        <v>809</v>
      </c>
      <c r="G34" s="14" t="s">
        <v>73</v>
      </c>
      <c r="H34" s="27">
        <v>4.6</v>
      </c>
      <c r="I34" s="27">
        <f>ROUND(H34*1.0, 2)</f>
      </c>
      <c r="J34" s="27">
        <f>ROUND(H34*0.95, 2)</f>
      </c>
      <c r="K34" s="27">
        <f>ROUND(H34*0.95, 2)</f>
      </c>
      <c r="L34" s="27">
        <f>ROUND(H34*1.05, 2)</f>
      </c>
      <c r="M34" s="27">
        <f>ROUND(H34*1.25, 2)</f>
      </c>
      <c r="N34" s="27">
        <f>ROUND(H34*1.55, 2)</f>
      </c>
      <c r="O34" s="27">
        <f>ROUND(H34*1.65, 2)</f>
      </c>
      <c r="P34" s="27">
        <f>SUM(I34:O34)</f>
      </c>
      <c r="Q34" s="27">
        <f>ROUND(H34*1.5, 2)</f>
      </c>
      <c r="R34" s="27">
        <f>ROUND(H34*2.0, 2)</f>
      </c>
      <c r="S34" s="14">
        <f>IF(F34&lt;=R34, "TRIGGER INDENT", "STOCK HEALTHY")</f>
      </c>
      <c r="T34" s="27">
        <f>IF(F34&lt;=R34, ROUND(MAX(H34, (I34+Q34)-F34), 2), 0)</f>
      </c>
    </row>
    <row r="35" ht="20" customHeight="1" spans="1:20" x14ac:dyDescent="0.25">
      <c r="A35" s="12" t="s">
        <v>201</v>
      </c>
      <c r="B35" s="12" t="s">
        <v>202</v>
      </c>
      <c r="C35" s="12" t="s">
        <v>154</v>
      </c>
      <c r="D35" s="12" t="s">
        <v>139</v>
      </c>
      <c r="E35" s="24">
        <v>242.6699981689453</v>
      </c>
      <c r="F35" s="25">
        <v>7</v>
      </c>
      <c r="G35" s="12" t="s">
        <v>85</v>
      </c>
      <c r="H35" s="25">
        <v>1.8</v>
      </c>
      <c r="I35" s="25">
        <f>ROUND(H35*1.0, 2)</f>
      </c>
      <c r="J35" s="25">
        <f>ROUND(H35*0.95, 2)</f>
      </c>
      <c r="K35" s="25">
        <f>ROUND(H35*0.95, 2)</f>
      </c>
      <c r="L35" s="25">
        <f>ROUND(H35*1.05, 2)</f>
      </c>
      <c r="M35" s="25">
        <f>ROUND(H35*1.25, 2)</f>
      </c>
      <c r="N35" s="25">
        <f>ROUND(H35*1.55, 2)</f>
      </c>
      <c r="O35" s="25">
        <f>ROUND(H35*1.65, 2)</f>
      </c>
      <c r="P35" s="25">
        <f>SUM(I35:O35)</f>
      </c>
      <c r="Q35" s="25">
        <f>ROUND(H35*1.5, 2)</f>
      </c>
      <c r="R35" s="25">
        <f>ROUND(H35*2.0, 2)</f>
      </c>
      <c r="S35" s="12">
        <f>IF(F35&lt;=R35, "TRIGGER INDENT", "STOCK HEALTHY")</f>
      </c>
      <c r="T35" s="25">
        <f>IF(F35&lt;=R35, ROUND(MAX(H35, (I35+Q35)-F35), 2), 0)</f>
      </c>
    </row>
    <row r="36" ht="20" customHeight="1" spans="1:20" x14ac:dyDescent="0.25">
      <c r="A36" s="14" t="s">
        <v>203</v>
      </c>
      <c r="B36" s="14" t="s">
        <v>204</v>
      </c>
      <c r="C36" s="14" t="s">
        <v>126</v>
      </c>
      <c r="D36" s="14" t="s">
        <v>127</v>
      </c>
      <c r="E36" s="26">
        <v>8</v>
      </c>
      <c r="F36" s="27">
        <v>7668</v>
      </c>
      <c r="G36" s="14" t="s">
        <v>67</v>
      </c>
      <c r="H36" s="27">
        <v>204</v>
      </c>
      <c r="I36" s="27">
        <f>ROUND(H36*1.0, 2)</f>
      </c>
      <c r="J36" s="27">
        <f>ROUND(H36*0.95, 2)</f>
      </c>
      <c r="K36" s="27">
        <f>ROUND(H36*0.95, 2)</f>
      </c>
      <c r="L36" s="27">
        <f>ROUND(H36*1.05, 2)</f>
      </c>
      <c r="M36" s="27">
        <f>ROUND(H36*1.25, 2)</f>
      </c>
      <c r="N36" s="27">
        <f>ROUND(H36*1.55, 2)</f>
      </c>
      <c r="O36" s="27">
        <f>ROUND(H36*1.65, 2)</f>
      </c>
      <c r="P36" s="27">
        <f>SUM(I36:O36)</f>
      </c>
      <c r="Q36" s="27">
        <f>ROUND(H36*1.5, 2)</f>
      </c>
      <c r="R36" s="27">
        <f>ROUND(H36*2.0, 2)</f>
      </c>
      <c r="S36" s="14">
        <f>IF(F36&lt;=R36, "TRIGGER INDENT", "STOCK HEALTHY")</f>
      </c>
      <c r="T36" s="27">
        <f>IF(F36&lt;=R36, ROUND(MAX(H36, (I36+Q36)-F36), 2), 0)</f>
      </c>
    </row>
    <row r="37" ht="20" customHeight="1" spans="1:20" x14ac:dyDescent="0.25">
      <c r="A37" s="12" t="s">
        <v>205</v>
      </c>
      <c r="B37" s="12" t="s">
        <v>206</v>
      </c>
      <c r="C37" s="12" t="s">
        <v>126</v>
      </c>
      <c r="D37" s="12" t="s">
        <v>127</v>
      </c>
      <c r="E37" s="24">
        <v>10.890000343322754</v>
      </c>
      <c r="F37" s="25">
        <v>4496</v>
      </c>
      <c r="G37" s="12" t="s">
        <v>67</v>
      </c>
      <c r="H37" s="25">
        <v>224.8</v>
      </c>
      <c r="I37" s="25">
        <f>ROUND(H37*1.0, 2)</f>
      </c>
      <c r="J37" s="25">
        <f>ROUND(H37*0.95, 2)</f>
      </c>
      <c r="K37" s="25">
        <f>ROUND(H37*0.95, 2)</f>
      </c>
      <c r="L37" s="25">
        <f>ROUND(H37*1.05, 2)</f>
      </c>
      <c r="M37" s="25">
        <f>ROUND(H37*1.25, 2)</f>
      </c>
      <c r="N37" s="25">
        <f>ROUND(H37*1.55, 2)</f>
      </c>
      <c r="O37" s="25">
        <f>ROUND(H37*1.65, 2)</f>
      </c>
      <c r="P37" s="25">
        <f>SUM(I37:O37)</f>
      </c>
      <c r="Q37" s="25">
        <f>ROUND(H37*1.5, 2)</f>
      </c>
      <c r="R37" s="25">
        <f>ROUND(H37*2.0, 2)</f>
      </c>
      <c r="S37" s="12">
        <f>IF(F37&lt;=R37, "TRIGGER INDENT", "STOCK HEALTHY")</f>
      </c>
      <c r="T37" s="25">
        <f>IF(F37&lt;=R37, ROUND(MAX(H37, (I37+Q37)-F37), 2), 0)</f>
      </c>
    </row>
    <row r="38" ht="20" customHeight="1" spans="1:20" x14ac:dyDescent="0.25">
      <c r="A38" s="14" t="s">
        <v>207</v>
      </c>
      <c r="B38" s="14" t="s">
        <v>208</v>
      </c>
      <c r="C38" s="14" t="s">
        <v>126</v>
      </c>
      <c r="D38" s="14" t="s">
        <v>127</v>
      </c>
      <c r="E38" s="26">
        <v>3.200000047683716</v>
      </c>
      <c r="F38" s="27">
        <v>1600</v>
      </c>
      <c r="G38" s="14" t="s">
        <v>45</v>
      </c>
      <c r="H38" s="27">
        <v>80</v>
      </c>
      <c r="I38" s="27">
        <f>ROUND(H38*1.0, 2)</f>
      </c>
      <c r="J38" s="27">
        <f>ROUND(H38*0.95, 2)</f>
      </c>
      <c r="K38" s="27">
        <f>ROUND(H38*0.95, 2)</f>
      </c>
      <c r="L38" s="27">
        <f>ROUND(H38*1.05, 2)</f>
      </c>
      <c r="M38" s="27">
        <f>ROUND(H38*1.25, 2)</f>
      </c>
      <c r="N38" s="27">
        <f>ROUND(H38*1.55, 2)</f>
      </c>
      <c r="O38" s="27">
        <f>ROUND(H38*1.65, 2)</f>
      </c>
      <c r="P38" s="27">
        <f>SUM(I38:O38)</f>
      </c>
      <c r="Q38" s="27">
        <f>ROUND(H38*1.5, 2)</f>
      </c>
      <c r="R38" s="27">
        <f>ROUND(H38*2.0, 2)</f>
      </c>
      <c r="S38" s="14">
        <f>IF(F38&lt;=R38, "TRIGGER INDENT", "STOCK HEALTHY")</f>
      </c>
      <c r="T38" s="27">
        <f>IF(F38&lt;=R38, ROUND(MAX(H38, (I38+Q38)-F38), 2), 0)</f>
      </c>
    </row>
    <row r="39" ht="20" customHeight="1" spans="1:20" x14ac:dyDescent="0.25">
      <c r="A39" s="12" t="s">
        <v>209</v>
      </c>
      <c r="B39" s="12" t="s">
        <v>210</v>
      </c>
      <c r="C39" s="12" t="s">
        <v>126</v>
      </c>
      <c r="D39" s="12" t="s">
        <v>127</v>
      </c>
      <c r="E39" s="24">
        <v>3.930000066757202</v>
      </c>
      <c r="F39" s="25">
        <v>9504</v>
      </c>
      <c r="G39" s="12" t="s">
        <v>45</v>
      </c>
      <c r="H39" s="25">
        <v>475.2</v>
      </c>
      <c r="I39" s="25">
        <f>ROUND(H39*1.0, 2)</f>
      </c>
      <c r="J39" s="25">
        <f>ROUND(H39*0.95, 2)</f>
      </c>
      <c r="K39" s="25">
        <f>ROUND(H39*0.95, 2)</f>
      </c>
      <c r="L39" s="25">
        <f>ROUND(H39*1.05, 2)</f>
      </c>
      <c r="M39" s="25">
        <f>ROUND(H39*1.25, 2)</f>
      </c>
      <c r="N39" s="25">
        <f>ROUND(H39*1.55, 2)</f>
      </c>
      <c r="O39" s="25">
        <f>ROUND(H39*1.65, 2)</f>
      </c>
      <c r="P39" s="25">
        <f>SUM(I39:O39)</f>
      </c>
      <c r="Q39" s="25">
        <f>ROUND(H39*1.5, 2)</f>
      </c>
      <c r="R39" s="25">
        <f>ROUND(H39*2.0, 2)</f>
      </c>
      <c r="S39" s="12">
        <f>IF(F39&lt;=R39, "TRIGGER INDENT", "STOCK HEALTHY")</f>
      </c>
      <c r="T39" s="25">
        <f>IF(F39&lt;=R39, ROUND(MAX(H39, (I39+Q39)-F39), 2), 0)</f>
      </c>
    </row>
    <row r="40" ht="20" customHeight="1" spans="1:20" x14ac:dyDescent="0.25">
      <c r="A40" s="14" t="s">
        <v>211</v>
      </c>
      <c r="B40" s="14" t="s">
        <v>212</v>
      </c>
      <c r="C40" s="14" t="s">
        <v>126</v>
      </c>
      <c r="D40" s="14" t="s">
        <v>127</v>
      </c>
      <c r="E40" s="26">
        <v>4.5</v>
      </c>
      <c r="F40" s="27">
        <v>3712</v>
      </c>
      <c r="G40" s="14" t="s">
        <v>45</v>
      </c>
      <c r="H40" s="27">
        <v>185.6</v>
      </c>
      <c r="I40" s="27">
        <f>ROUND(H40*1.0, 2)</f>
      </c>
      <c r="J40" s="27">
        <f>ROUND(H40*0.95, 2)</f>
      </c>
      <c r="K40" s="27">
        <f>ROUND(H40*0.95, 2)</f>
      </c>
      <c r="L40" s="27">
        <f>ROUND(H40*1.05, 2)</f>
      </c>
      <c r="M40" s="27">
        <f>ROUND(H40*1.25, 2)</f>
      </c>
      <c r="N40" s="27">
        <f>ROUND(H40*1.55, 2)</f>
      </c>
      <c r="O40" s="27">
        <f>ROUND(H40*1.65, 2)</f>
      </c>
      <c r="P40" s="27">
        <f>SUM(I40:O40)</f>
      </c>
      <c r="Q40" s="27">
        <f>ROUND(H40*1.5, 2)</f>
      </c>
      <c r="R40" s="27">
        <f>ROUND(H40*2.0, 2)</f>
      </c>
      <c r="S40" s="14">
        <f>IF(F40&lt;=R40, "TRIGGER INDENT", "STOCK HEALTHY")</f>
      </c>
      <c r="T40" s="27">
        <f>IF(F40&lt;=R40, ROUND(MAX(H40, (I40+Q40)-F40), 2), 0)</f>
      </c>
    </row>
    <row r="41" ht="20" customHeight="1" spans="1:20" x14ac:dyDescent="0.25">
      <c r="A41" s="12" t="s">
        <v>213</v>
      </c>
      <c r="B41" s="12" t="s">
        <v>214</v>
      </c>
      <c r="C41" s="12" t="s">
        <v>126</v>
      </c>
      <c r="D41" s="12" t="s">
        <v>127</v>
      </c>
      <c r="E41" s="24">
        <v>4</v>
      </c>
      <c r="F41" s="25">
        <v>7200</v>
      </c>
      <c r="G41" s="12" t="s">
        <v>55</v>
      </c>
      <c r="H41" s="25">
        <v>360</v>
      </c>
      <c r="I41" s="25">
        <f>ROUND(H41*1.0, 2)</f>
      </c>
      <c r="J41" s="25">
        <f>ROUND(H41*0.95, 2)</f>
      </c>
      <c r="K41" s="25">
        <f>ROUND(H41*0.95, 2)</f>
      </c>
      <c r="L41" s="25">
        <f>ROUND(H41*1.05, 2)</f>
      </c>
      <c r="M41" s="25">
        <f>ROUND(H41*1.25, 2)</f>
      </c>
      <c r="N41" s="25">
        <f>ROUND(H41*1.55, 2)</f>
      </c>
      <c r="O41" s="25">
        <f>ROUND(H41*1.65, 2)</f>
      </c>
      <c r="P41" s="25">
        <f>SUM(I41:O41)</f>
      </c>
      <c r="Q41" s="25">
        <f>ROUND(H41*1.5, 2)</f>
      </c>
      <c r="R41" s="25">
        <f>ROUND(H41*2.0, 2)</f>
      </c>
      <c r="S41" s="12">
        <f>IF(F41&lt;=R41, "TRIGGER INDENT", "STOCK HEALTHY")</f>
      </c>
      <c r="T41" s="25">
        <f>IF(F41&lt;=R41, ROUND(MAX(H41, (I41+Q41)-F41), 2), 0)</f>
      </c>
    </row>
    <row r="42" ht="20" customHeight="1" spans="1:20" x14ac:dyDescent="0.25">
      <c r="A42" s="14" t="s">
        <v>215</v>
      </c>
      <c r="B42" s="14" t="s">
        <v>216</v>
      </c>
      <c r="C42" s="14" t="s">
        <v>126</v>
      </c>
      <c r="D42" s="14" t="s">
        <v>127</v>
      </c>
      <c r="E42" s="26">
        <v>4.900000095367432</v>
      </c>
      <c r="F42" s="27">
        <v>3600</v>
      </c>
      <c r="G42" s="14" t="s">
        <v>45</v>
      </c>
      <c r="H42" s="27">
        <v>180</v>
      </c>
      <c r="I42" s="27">
        <f>ROUND(H42*1.0, 2)</f>
      </c>
      <c r="J42" s="27">
        <f>ROUND(H42*0.95, 2)</f>
      </c>
      <c r="K42" s="27">
        <f>ROUND(H42*0.95, 2)</f>
      </c>
      <c r="L42" s="27">
        <f>ROUND(H42*1.05, 2)</f>
      </c>
      <c r="M42" s="27">
        <f>ROUND(H42*1.25, 2)</f>
      </c>
      <c r="N42" s="27">
        <f>ROUND(H42*1.55, 2)</f>
      </c>
      <c r="O42" s="27">
        <f>ROUND(H42*1.65, 2)</f>
      </c>
      <c r="P42" s="27">
        <f>SUM(I42:O42)</f>
      </c>
      <c r="Q42" s="27">
        <f>ROUND(H42*1.5, 2)</f>
      </c>
      <c r="R42" s="27">
        <f>ROUND(H42*2.0, 2)</f>
      </c>
      <c r="S42" s="14">
        <f>IF(F42&lt;=R42, "TRIGGER INDENT", "STOCK HEALTHY")</f>
      </c>
      <c r="T42" s="27">
        <f>IF(F42&lt;=R42, ROUND(MAX(H42, (I42+Q42)-F42), 2), 0)</f>
      </c>
    </row>
    <row r="43" ht="20" customHeight="1" spans="1:20" x14ac:dyDescent="0.25">
      <c r="A43" s="12" t="s">
        <v>217</v>
      </c>
      <c r="B43" s="12" t="s">
        <v>218</v>
      </c>
      <c r="C43" s="12" t="s">
        <v>126</v>
      </c>
      <c r="D43" s="12" t="s">
        <v>127</v>
      </c>
      <c r="E43" s="24">
        <v>3.200000047683716</v>
      </c>
      <c r="F43" s="25">
        <v>10400</v>
      </c>
      <c r="G43" s="12" t="s">
        <v>67</v>
      </c>
      <c r="H43" s="25">
        <v>520</v>
      </c>
      <c r="I43" s="25">
        <f>ROUND(H43*1.0, 2)</f>
      </c>
      <c r="J43" s="25">
        <f>ROUND(H43*0.95, 2)</f>
      </c>
      <c r="K43" s="25">
        <f>ROUND(H43*0.95, 2)</f>
      </c>
      <c r="L43" s="25">
        <f>ROUND(H43*1.05, 2)</f>
      </c>
      <c r="M43" s="25">
        <f>ROUND(H43*1.25, 2)</f>
      </c>
      <c r="N43" s="25">
        <f>ROUND(H43*1.55, 2)</f>
      </c>
      <c r="O43" s="25">
        <f>ROUND(H43*1.65, 2)</f>
      </c>
      <c r="P43" s="25">
        <f>SUM(I43:O43)</f>
      </c>
      <c r="Q43" s="25">
        <f>ROUND(H43*1.5, 2)</f>
      </c>
      <c r="R43" s="25">
        <f>ROUND(H43*2.0, 2)</f>
      </c>
      <c r="S43" s="12">
        <f>IF(F43&lt;=R43, "TRIGGER INDENT", "STOCK HEALTHY")</f>
      </c>
      <c r="T43" s="25">
        <f>IF(F43&lt;=R43, ROUND(MAX(H43, (I43+Q43)-F43), 2), 0)</f>
      </c>
    </row>
    <row r="44" ht="20" customHeight="1" spans="1:20" x14ac:dyDescent="0.25">
      <c r="A44" s="14" t="s">
        <v>219</v>
      </c>
      <c r="B44" s="14" t="s">
        <v>220</v>
      </c>
      <c r="C44" s="14" t="s">
        <v>221</v>
      </c>
      <c r="D44" s="14" t="s">
        <v>179</v>
      </c>
      <c r="E44" s="26">
        <v>45.22999954223633</v>
      </c>
      <c r="F44" s="27">
        <v>1.5100002</v>
      </c>
      <c r="G44" s="14" t="s">
        <v>85</v>
      </c>
      <c r="H44" s="27">
        <v>1</v>
      </c>
      <c r="I44" s="27">
        <f>ROUND(H44*1.0, 2)</f>
      </c>
      <c r="J44" s="27">
        <f>ROUND(H44*0.95, 2)</f>
      </c>
      <c r="K44" s="27">
        <f>ROUND(H44*0.95, 2)</f>
      </c>
      <c r="L44" s="27">
        <f>ROUND(H44*1.05, 2)</f>
      </c>
      <c r="M44" s="27">
        <f>ROUND(H44*1.25, 2)</f>
      </c>
      <c r="N44" s="27">
        <f>ROUND(H44*1.55, 2)</f>
      </c>
      <c r="O44" s="27">
        <f>ROUND(H44*1.65, 2)</f>
      </c>
      <c r="P44" s="27">
        <f>SUM(I44:O44)</f>
      </c>
      <c r="Q44" s="27">
        <f>ROUND(H44*1.5, 2)</f>
      </c>
      <c r="R44" s="27">
        <f>ROUND(H44*2.0, 2)</f>
      </c>
      <c r="S44" s="14">
        <f>IF(F44&lt;=R44, "TRIGGER INDENT", "STOCK HEALTHY")</f>
      </c>
      <c r="T44" s="27">
        <f>IF(F44&lt;=R44, ROUND(MAX(H44, (I44+Q44)-F44), 2), 0)</f>
      </c>
    </row>
    <row r="45" ht="20" customHeight="1" spans="1:20" x14ac:dyDescent="0.25">
      <c r="A45" s="12" t="s">
        <v>222</v>
      </c>
      <c r="B45" s="12" t="s">
        <v>223</v>
      </c>
      <c r="C45" s="12" t="s">
        <v>154</v>
      </c>
      <c r="D45" s="12" t="s">
        <v>179</v>
      </c>
      <c r="E45" s="24">
        <v>186.27000427246094</v>
      </c>
      <c r="F45" s="25">
        <v>80</v>
      </c>
      <c r="G45" s="12" t="s">
        <v>61</v>
      </c>
      <c r="H45" s="25">
        <v>9.6</v>
      </c>
      <c r="I45" s="25">
        <f>ROUND(H45*1.0, 2)</f>
      </c>
      <c r="J45" s="25">
        <f>ROUND(H45*0.95, 2)</f>
      </c>
      <c r="K45" s="25">
        <f>ROUND(H45*0.95, 2)</f>
      </c>
      <c r="L45" s="25">
        <f>ROUND(H45*1.05, 2)</f>
      </c>
      <c r="M45" s="25">
        <f>ROUND(H45*1.25, 2)</f>
      </c>
      <c r="N45" s="25">
        <f>ROUND(H45*1.55, 2)</f>
      </c>
      <c r="O45" s="25">
        <f>ROUND(H45*1.65, 2)</f>
      </c>
      <c r="P45" s="25">
        <f>SUM(I45:O45)</f>
      </c>
      <c r="Q45" s="25">
        <f>ROUND(H45*1.5, 2)</f>
      </c>
      <c r="R45" s="25">
        <f>ROUND(H45*2.0, 2)</f>
      </c>
      <c r="S45" s="12">
        <f>IF(F45&lt;=R45, "TRIGGER INDENT", "STOCK HEALTHY")</f>
      </c>
      <c r="T45" s="25">
        <f>IF(F45&lt;=R45, ROUND(MAX(H45, (I45+Q45)-F45), 2), 0)</f>
      </c>
    </row>
    <row r="46" ht="20" customHeight="1" spans="1:20" x14ac:dyDescent="0.25">
      <c r="A46" s="14" t="s">
        <v>224</v>
      </c>
      <c r="B46" s="14" t="s">
        <v>225</v>
      </c>
      <c r="C46" s="14" t="s">
        <v>176</v>
      </c>
      <c r="D46" s="14" t="s">
        <v>139</v>
      </c>
      <c r="E46" s="26">
        <v>28.690000534057617</v>
      </c>
      <c r="F46" s="27">
        <v>792</v>
      </c>
      <c r="G46" s="14" t="s">
        <v>85</v>
      </c>
      <c r="H46" s="27">
        <v>63.36</v>
      </c>
      <c r="I46" s="27">
        <f>ROUND(H46*1.0, 2)</f>
      </c>
      <c r="J46" s="27">
        <f>ROUND(H46*0.95, 2)</f>
      </c>
      <c r="K46" s="27">
        <f>ROUND(H46*0.95, 2)</f>
      </c>
      <c r="L46" s="27">
        <f>ROUND(H46*1.05, 2)</f>
      </c>
      <c r="M46" s="27">
        <f>ROUND(H46*1.25, 2)</f>
      </c>
      <c r="N46" s="27">
        <f>ROUND(H46*1.55, 2)</f>
      </c>
      <c r="O46" s="27">
        <f>ROUND(H46*1.65, 2)</f>
      </c>
      <c r="P46" s="27">
        <f>SUM(I46:O46)</f>
      </c>
      <c r="Q46" s="27">
        <f>ROUND(H46*1.5, 2)</f>
      </c>
      <c r="R46" s="27">
        <f>ROUND(H46*2.0, 2)</f>
      </c>
      <c r="S46" s="14">
        <f>IF(F46&lt;=R46, "TRIGGER INDENT", "STOCK HEALTHY")</f>
      </c>
      <c r="T46" s="27">
        <f>IF(F46&lt;=R46, ROUND(MAX(H46, (I46+Q46)-F46), 2), 0)</f>
      </c>
    </row>
    <row r="47" ht="20" customHeight="1" spans="1:20" x14ac:dyDescent="0.25">
      <c r="A47" s="12" t="s">
        <v>226</v>
      </c>
      <c r="B47" s="12" t="s">
        <v>227</v>
      </c>
      <c r="C47" s="12" t="s">
        <v>154</v>
      </c>
      <c r="D47" s="12" t="s">
        <v>139</v>
      </c>
      <c r="E47" s="24">
        <v>288.5</v>
      </c>
      <c r="F47" s="25">
        <v>168.80002</v>
      </c>
      <c r="G47" s="12" t="s">
        <v>67</v>
      </c>
      <c r="H47" s="25">
        <v>20.26</v>
      </c>
      <c r="I47" s="25">
        <f>ROUND(H47*1.0, 2)</f>
      </c>
      <c r="J47" s="25">
        <f>ROUND(H47*0.95, 2)</f>
      </c>
      <c r="K47" s="25">
        <f>ROUND(H47*0.95, 2)</f>
      </c>
      <c r="L47" s="25">
        <f>ROUND(H47*1.05, 2)</f>
      </c>
      <c r="M47" s="25">
        <f>ROUND(H47*1.25, 2)</f>
      </c>
      <c r="N47" s="25">
        <f>ROUND(H47*1.55, 2)</f>
      </c>
      <c r="O47" s="25">
        <f>ROUND(H47*1.65, 2)</f>
      </c>
      <c r="P47" s="25">
        <f>SUM(I47:O47)</f>
      </c>
      <c r="Q47" s="25">
        <f>ROUND(H47*1.5, 2)</f>
      </c>
      <c r="R47" s="25">
        <f>ROUND(H47*2.0, 2)</f>
      </c>
      <c r="S47" s="12">
        <f>IF(F47&lt;=R47, "TRIGGER INDENT", "STOCK HEALTHY")</f>
      </c>
      <c r="T47" s="25">
        <f>IF(F47&lt;=R47, ROUND(MAX(H47, (I47+Q47)-F47), 2), 0)</f>
      </c>
    </row>
    <row r="48" ht="20" customHeight="1" spans="1:20" x14ac:dyDescent="0.25">
      <c r="A48" s="14" t="s">
        <v>228</v>
      </c>
      <c r="B48" s="14" t="s">
        <v>229</v>
      </c>
      <c r="C48" s="14" t="s">
        <v>221</v>
      </c>
      <c r="D48" s="14" t="s">
        <v>139</v>
      </c>
      <c r="E48" s="26">
        <v>460.010009765625</v>
      </c>
      <c r="F48" s="27">
        <v>14.399998</v>
      </c>
      <c r="G48" s="14" t="s">
        <v>61</v>
      </c>
      <c r="H48" s="27">
        <v>2.88</v>
      </c>
      <c r="I48" s="27">
        <f>ROUND(H48*1.0, 2)</f>
      </c>
      <c r="J48" s="27">
        <f>ROUND(H48*0.95, 2)</f>
      </c>
      <c r="K48" s="27">
        <f>ROUND(H48*0.95, 2)</f>
      </c>
      <c r="L48" s="27">
        <f>ROUND(H48*1.05, 2)</f>
      </c>
      <c r="M48" s="27">
        <f>ROUND(H48*1.25, 2)</f>
      </c>
      <c r="N48" s="27">
        <f>ROUND(H48*1.55, 2)</f>
      </c>
      <c r="O48" s="27">
        <f>ROUND(H48*1.65, 2)</f>
      </c>
      <c r="P48" s="27">
        <f>SUM(I48:O48)</f>
      </c>
      <c r="Q48" s="27">
        <f>ROUND(H48*1.5, 2)</f>
      </c>
      <c r="R48" s="27">
        <f>ROUND(H48*2.0, 2)</f>
      </c>
      <c r="S48" s="14">
        <f>IF(F48&lt;=R48, "TRIGGER INDENT", "STOCK HEALTHY")</f>
      </c>
      <c r="T48" s="27">
        <f>IF(F48&lt;=R48, ROUND(MAX(H48, (I48+Q48)-F48), 2), 0)</f>
      </c>
    </row>
    <row r="49" ht="20" customHeight="1" spans="1:20" x14ac:dyDescent="0.25">
      <c r="A49" s="12" t="s">
        <v>230</v>
      </c>
      <c r="B49" s="12" t="s">
        <v>231</v>
      </c>
      <c r="C49" s="12" t="s">
        <v>126</v>
      </c>
      <c r="D49" s="12" t="s">
        <v>179</v>
      </c>
      <c r="E49" s="24">
        <v>280</v>
      </c>
      <c r="F49" s="25">
        <v>80</v>
      </c>
      <c r="G49" s="12" t="s">
        <v>45</v>
      </c>
      <c r="H49" s="25">
        <v>9.6</v>
      </c>
      <c r="I49" s="25">
        <f>ROUND(H49*1.0, 2)</f>
      </c>
      <c r="J49" s="25">
        <f>ROUND(H49*0.95, 2)</f>
      </c>
      <c r="K49" s="25">
        <f>ROUND(H49*0.95, 2)</f>
      </c>
      <c r="L49" s="25">
        <f>ROUND(H49*1.05, 2)</f>
      </c>
      <c r="M49" s="25">
        <f>ROUND(H49*1.25, 2)</f>
      </c>
      <c r="N49" s="25">
        <f>ROUND(H49*1.55, 2)</f>
      </c>
      <c r="O49" s="25">
        <f>ROUND(H49*1.65, 2)</f>
      </c>
      <c r="P49" s="25">
        <f>SUM(I49:O49)</f>
      </c>
      <c r="Q49" s="25">
        <f>ROUND(H49*1.5, 2)</f>
      </c>
      <c r="R49" s="25">
        <f>ROUND(H49*2.0, 2)</f>
      </c>
      <c r="S49" s="12">
        <f>IF(F49&lt;=R49, "TRIGGER INDENT", "STOCK HEALTHY")</f>
      </c>
      <c r="T49" s="25">
        <f>IF(F49&lt;=R49, ROUND(MAX(H49, (I49+Q49)-F49), 2), 0)</f>
      </c>
    </row>
    <row r="50" ht="20" customHeight="1" spans="1:20" x14ac:dyDescent="0.25">
      <c r="A50" s="14" t="s">
        <v>232</v>
      </c>
      <c r="B50" s="14" t="s">
        <v>233</v>
      </c>
      <c r="C50" s="14" t="s">
        <v>126</v>
      </c>
      <c r="D50" s="14" t="s">
        <v>127</v>
      </c>
      <c r="E50" s="26">
        <v>12.539999961853027</v>
      </c>
      <c r="F50" s="27">
        <v>1.5100002</v>
      </c>
      <c r="G50" s="14" t="s">
        <v>61</v>
      </c>
      <c r="H50" s="27">
        <v>1</v>
      </c>
      <c r="I50" s="27">
        <f>ROUND(H50*1.0, 2)</f>
      </c>
      <c r="J50" s="27">
        <f>ROUND(H50*0.95, 2)</f>
      </c>
      <c r="K50" s="27">
        <f>ROUND(H50*0.95, 2)</f>
      </c>
      <c r="L50" s="27">
        <f>ROUND(H50*1.05, 2)</f>
      </c>
      <c r="M50" s="27">
        <f>ROUND(H50*1.25, 2)</f>
      </c>
      <c r="N50" s="27">
        <f>ROUND(H50*1.55, 2)</f>
      </c>
      <c r="O50" s="27">
        <f>ROUND(H50*1.65, 2)</f>
      </c>
      <c r="P50" s="27">
        <f>SUM(I50:O50)</f>
      </c>
      <c r="Q50" s="27">
        <f>ROUND(H50*1.5, 2)</f>
      </c>
      <c r="R50" s="27">
        <f>ROUND(H50*2.0, 2)</f>
      </c>
      <c r="S50" s="14">
        <f>IF(F50&lt;=R50, "TRIGGER INDENT", "STOCK HEALTHY")</f>
      </c>
      <c r="T50" s="27">
        <f>IF(F50&lt;=R50, ROUND(MAX(H50, (I50+Q50)-F50), 2), 0)</f>
      </c>
    </row>
    <row r="51" ht="20" customHeight="1" spans="1:20" x14ac:dyDescent="0.25">
      <c r="A51" s="12" t="s">
        <v>234</v>
      </c>
      <c r="B51" s="12" t="s">
        <v>235</v>
      </c>
      <c r="C51" s="12" t="s">
        <v>221</v>
      </c>
      <c r="D51" s="12" t="s">
        <v>127</v>
      </c>
      <c r="E51" s="24">
        <v>12.329999923706055</v>
      </c>
      <c r="F51" s="25">
        <v>192</v>
      </c>
      <c r="G51" s="12" t="s">
        <v>61</v>
      </c>
      <c r="H51" s="25">
        <v>23.04</v>
      </c>
      <c r="I51" s="25">
        <f>ROUND(H51*1.0, 2)</f>
      </c>
      <c r="J51" s="25">
        <f>ROUND(H51*0.95, 2)</f>
      </c>
      <c r="K51" s="25">
        <f>ROUND(H51*0.95, 2)</f>
      </c>
      <c r="L51" s="25">
        <f>ROUND(H51*1.05, 2)</f>
      </c>
      <c r="M51" s="25">
        <f>ROUND(H51*1.25, 2)</f>
      </c>
      <c r="N51" s="25">
        <f>ROUND(H51*1.55, 2)</f>
      </c>
      <c r="O51" s="25">
        <f>ROUND(H51*1.65, 2)</f>
      </c>
      <c r="P51" s="25">
        <f>SUM(I51:O51)</f>
      </c>
      <c r="Q51" s="25">
        <f>ROUND(H51*1.5, 2)</f>
      </c>
      <c r="R51" s="25">
        <f>ROUND(H51*2.0, 2)</f>
      </c>
      <c r="S51" s="12">
        <f>IF(F51&lt;=R51, "TRIGGER INDENT", "STOCK HEALTHY")</f>
      </c>
      <c r="T51" s="25">
        <f>IF(F51&lt;=R51, ROUND(MAX(H51, (I51+Q51)-F51), 2), 0)</f>
      </c>
    </row>
    <row r="52" ht="20" customHeight="1" spans="1:20" x14ac:dyDescent="0.25">
      <c r="A52" s="14" t="s">
        <v>236</v>
      </c>
      <c r="B52" s="14" t="s">
        <v>237</v>
      </c>
      <c r="C52" s="14" t="s">
        <v>238</v>
      </c>
      <c r="D52" s="14" t="s">
        <v>127</v>
      </c>
      <c r="E52" s="26">
        <v>276.1000061035156</v>
      </c>
      <c r="F52" s="27">
        <v>656</v>
      </c>
      <c r="G52" s="14" t="s">
        <v>97</v>
      </c>
      <c r="H52" s="27">
        <v>1</v>
      </c>
      <c r="I52" s="27">
        <f>ROUND(H52*1.0, 2)</f>
      </c>
      <c r="J52" s="27">
        <f>ROUND(H52*0.95, 2)</f>
      </c>
      <c r="K52" s="27">
        <f>ROUND(H52*0.95, 2)</f>
      </c>
      <c r="L52" s="27">
        <f>ROUND(H52*1.05, 2)</f>
      </c>
      <c r="M52" s="27">
        <f>ROUND(H52*1.25, 2)</f>
      </c>
      <c r="N52" s="27">
        <f>ROUND(H52*1.55, 2)</f>
      </c>
      <c r="O52" s="27">
        <f>ROUND(H52*1.65, 2)</f>
      </c>
      <c r="P52" s="27">
        <f>SUM(I52:O52)</f>
      </c>
      <c r="Q52" s="27">
        <f>ROUND(H52*1.5, 2)</f>
      </c>
      <c r="R52" s="27">
        <f>ROUND(H52*2.0, 2)</f>
      </c>
      <c r="S52" s="14">
        <f>IF(F52&lt;=R52, "TRIGGER INDENT", "STOCK HEALTHY")</f>
      </c>
      <c r="T52" s="27">
        <f>IF(F52&lt;=R52, ROUND(MAX(H52, (I52+Q52)-F52), 2), 0)</f>
      </c>
    </row>
    <row r="53" ht="20" customHeight="1" spans="1:20" x14ac:dyDescent="0.25">
      <c r="A53" s="12" t="s">
        <v>239</v>
      </c>
      <c r="B53" s="12" t="s">
        <v>240</v>
      </c>
      <c r="C53" s="12" t="s">
        <v>126</v>
      </c>
      <c r="D53" s="12" t="s">
        <v>127</v>
      </c>
      <c r="E53" s="24">
        <v>320</v>
      </c>
      <c r="F53" s="25">
        <v>880</v>
      </c>
      <c r="G53" s="12" t="s">
        <v>97</v>
      </c>
      <c r="H53" s="25">
        <v>70.4</v>
      </c>
      <c r="I53" s="25">
        <f>ROUND(H53*1.0, 2)</f>
      </c>
      <c r="J53" s="25">
        <f>ROUND(H53*0.95, 2)</f>
      </c>
      <c r="K53" s="25">
        <f>ROUND(H53*0.95, 2)</f>
      </c>
      <c r="L53" s="25">
        <f>ROUND(H53*1.05, 2)</f>
      </c>
      <c r="M53" s="25">
        <f>ROUND(H53*1.25, 2)</f>
      </c>
      <c r="N53" s="25">
        <f>ROUND(H53*1.55, 2)</f>
      </c>
      <c r="O53" s="25">
        <f>ROUND(H53*1.65, 2)</f>
      </c>
      <c r="P53" s="25">
        <f>SUM(I53:O53)</f>
      </c>
      <c r="Q53" s="25">
        <f>ROUND(H53*1.5, 2)</f>
      </c>
      <c r="R53" s="25">
        <f>ROUND(H53*2.0, 2)</f>
      </c>
      <c r="S53" s="12">
        <f>IF(F53&lt;=R53, "TRIGGER INDENT", "STOCK HEALTHY")</f>
      </c>
      <c r="T53" s="25">
        <f>IF(F53&lt;=R53, ROUND(MAX(H53, (I53+Q53)-F53), 2), 0)</f>
      </c>
    </row>
    <row r="54" ht="20" customHeight="1" spans="1:20" x14ac:dyDescent="0.25">
      <c r="A54" s="14" t="s">
        <v>241</v>
      </c>
      <c r="B54" s="14" t="s">
        <v>242</v>
      </c>
      <c r="C54" s="14" t="s">
        <v>126</v>
      </c>
      <c r="D54" s="14" t="s">
        <v>179</v>
      </c>
      <c r="E54" s="26">
        <v>95.70999908447266</v>
      </c>
      <c r="F54" s="27">
        <v>48</v>
      </c>
      <c r="G54" s="14" t="s">
        <v>45</v>
      </c>
      <c r="H54" s="27">
        <v>9.6</v>
      </c>
      <c r="I54" s="27">
        <f>ROUND(H54*1.0, 2)</f>
      </c>
      <c r="J54" s="27">
        <f>ROUND(H54*0.95, 2)</f>
      </c>
      <c r="K54" s="27">
        <f>ROUND(H54*0.95, 2)</f>
      </c>
      <c r="L54" s="27">
        <f>ROUND(H54*1.05, 2)</f>
      </c>
      <c r="M54" s="27">
        <f>ROUND(H54*1.25, 2)</f>
      </c>
      <c r="N54" s="27">
        <f>ROUND(H54*1.55, 2)</f>
      </c>
      <c r="O54" s="27">
        <f>ROUND(H54*1.65, 2)</f>
      </c>
      <c r="P54" s="27">
        <f>SUM(I54:O54)</f>
      </c>
      <c r="Q54" s="27">
        <f>ROUND(H54*1.5, 2)</f>
      </c>
      <c r="R54" s="27">
        <f>ROUND(H54*2.0, 2)</f>
      </c>
      <c r="S54" s="14">
        <f>IF(F54&lt;=R54, "TRIGGER INDENT", "STOCK HEALTHY")</f>
      </c>
      <c r="T54" s="27">
        <f>IF(F54&lt;=R54, ROUND(MAX(H54, (I54+Q54)-F54), 2), 0)</f>
      </c>
    </row>
    <row r="55" ht="20" customHeight="1" spans="1:20" x14ac:dyDescent="0.25">
      <c r="A55" s="12" t="s">
        <v>243</v>
      </c>
      <c r="B55" s="12" t="s">
        <v>244</v>
      </c>
      <c r="C55" s="12" t="s">
        <v>245</v>
      </c>
      <c r="D55" s="12" t="s">
        <v>246</v>
      </c>
      <c r="E55" s="24">
        <v>516.8699951171875</v>
      </c>
      <c r="F55" s="25">
        <v>32</v>
      </c>
      <c r="G55" s="12" t="s">
        <v>61</v>
      </c>
      <c r="H55" s="25">
        <v>6.4</v>
      </c>
      <c r="I55" s="25">
        <f>ROUND(H55*1.0, 2)</f>
      </c>
      <c r="J55" s="25">
        <f>ROUND(H55*0.95, 2)</f>
      </c>
      <c r="K55" s="25">
        <f>ROUND(H55*0.95, 2)</f>
      </c>
      <c r="L55" s="25">
        <f>ROUND(H55*1.05, 2)</f>
      </c>
      <c r="M55" s="25">
        <f>ROUND(H55*1.25, 2)</f>
      </c>
      <c r="N55" s="25">
        <f>ROUND(H55*1.55, 2)</f>
      </c>
      <c r="O55" s="25">
        <f>ROUND(H55*1.65, 2)</f>
      </c>
      <c r="P55" s="25">
        <f>SUM(I55:O55)</f>
      </c>
      <c r="Q55" s="25">
        <f>ROUND(H55*1.5, 2)</f>
      </c>
      <c r="R55" s="25">
        <f>ROUND(H55*2.0, 2)</f>
      </c>
      <c r="S55" s="12">
        <f>IF(F55&lt;=R55, "TRIGGER INDENT", "STOCK HEALTHY")</f>
      </c>
      <c r="T55" s="25">
        <f>IF(F55&lt;=R55, ROUND(MAX(H55, (I55+Q55)-F55), 2), 0)</f>
      </c>
    </row>
    <row r="56" ht="20" customHeight="1" spans="1:20" x14ac:dyDescent="0.25">
      <c r="A56" s="14" t="s">
        <v>247</v>
      </c>
      <c r="B56" s="14" t="s">
        <v>248</v>
      </c>
      <c r="C56" s="14" t="s">
        <v>134</v>
      </c>
      <c r="D56" s="14" t="s">
        <v>135</v>
      </c>
      <c r="E56" s="26">
        <v>190</v>
      </c>
      <c r="F56" s="27">
        <v>1.5100002</v>
      </c>
      <c r="G56" s="14" t="s">
        <v>85</v>
      </c>
      <c r="H56" s="27">
        <v>1</v>
      </c>
      <c r="I56" s="27">
        <f>ROUND(H56*1.0, 2)</f>
      </c>
      <c r="J56" s="27">
        <f>ROUND(H56*0.95, 2)</f>
      </c>
      <c r="K56" s="27">
        <f>ROUND(H56*0.95, 2)</f>
      </c>
      <c r="L56" s="27">
        <f>ROUND(H56*1.05, 2)</f>
      </c>
      <c r="M56" s="27">
        <f>ROUND(H56*1.25, 2)</f>
      </c>
      <c r="N56" s="27">
        <f>ROUND(H56*1.55, 2)</f>
      </c>
      <c r="O56" s="27">
        <f>ROUND(H56*1.65, 2)</f>
      </c>
      <c r="P56" s="27">
        <f>SUM(I56:O56)</f>
      </c>
      <c r="Q56" s="27">
        <f>ROUND(H56*1.5, 2)</f>
      </c>
      <c r="R56" s="27">
        <f>ROUND(H56*2.0, 2)</f>
      </c>
      <c r="S56" s="14">
        <f>IF(F56&lt;=R56, "TRIGGER INDENT", "STOCK HEALTHY")</f>
      </c>
      <c r="T56" s="27">
        <f>IF(F56&lt;=R56, ROUND(MAX(H56, (I56+Q56)-F56), 2), 0)</f>
      </c>
    </row>
    <row r="57" ht="20" customHeight="1" spans="1:20" x14ac:dyDescent="0.25">
      <c r="A57" s="12" t="s">
        <v>249</v>
      </c>
      <c r="B57" s="12" t="s">
        <v>250</v>
      </c>
      <c r="C57" s="12" t="s">
        <v>126</v>
      </c>
      <c r="D57" s="12" t="s">
        <v>179</v>
      </c>
      <c r="E57" s="24">
        <v>80</v>
      </c>
      <c r="F57" s="25">
        <v>272</v>
      </c>
      <c r="G57" s="12" t="s">
        <v>97</v>
      </c>
      <c r="H57" s="25">
        <v>21.76</v>
      </c>
      <c r="I57" s="25">
        <f>ROUND(H57*1.0, 2)</f>
      </c>
      <c r="J57" s="25">
        <f>ROUND(H57*0.95, 2)</f>
      </c>
      <c r="K57" s="25">
        <f>ROUND(H57*0.95, 2)</f>
      </c>
      <c r="L57" s="25">
        <f>ROUND(H57*1.05, 2)</f>
      </c>
      <c r="M57" s="25">
        <f>ROUND(H57*1.25, 2)</f>
      </c>
      <c r="N57" s="25">
        <f>ROUND(H57*1.55, 2)</f>
      </c>
      <c r="O57" s="25">
        <f>ROUND(H57*1.65, 2)</f>
      </c>
      <c r="P57" s="25">
        <f>SUM(I57:O57)</f>
      </c>
      <c r="Q57" s="25">
        <f>ROUND(H57*1.5, 2)</f>
      </c>
      <c r="R57" s="25">
        <f>ROUND(H57*2.0, 2)</f>
      </c>
      <c r="S57" s="12">
        <f>IF(F57&lt;=R57, "TRIGGER INDENT", "STOCK HEALTHY")</f>
      </c>
      <c r="T57" s="25">
        <f>IF(F57&lt;=R57, ROUND(MAX(H57, (I57+Q57)-F57), 2), 0)</f>
      </c>
    </row>
    <row r="58" ht="20" customHeight="1" spans="1:20" x14ac:dyDescent="0.25">
      <c r="A58" s="14" t="s">
        <v>251</v>
      </c>
      <c r="B58" s="14" t="s">
        <v>252</v>
      </c>
      <c r="C58" s="14" t="s">
        <v>134</v>
      </c>
      <c r="D58" s="14" t="s">
        <v>135</v>
      </c>
      <c r="E58" s="26">
        <v>300</v>
      </c>
      <c r="F58" s="27">
        <v>1.5100002</v>
      </c>
      <c r="G58" s="14" t="s">
        <v>61</v>
      </c>
      <c r="H58" s="27">
        <v>1</v>
      </c>
      <c r="I58" s="27">
        <f>ROUND(H58*1.0, 2)</f>
      </c>
      <c r="J58" s="27">
        <f>ROUND(H58*0.95, 2)</f>
      </c>
      <c r="K58" s="27">
        <f>ROUND(H58*0.95, 2)</f>
      </c>
      <c r="L58" s="27">
        <f>ROUND(H58*1.05, 2)</f>
      </c>
      <c r="M58" s="27">
        <f>ROUND(H58*1.25, 2)</f>
      </c>
      <c r="N58" s="27">
        <f>ROUND(H58*1.55, 2)</f>
      </c>
      <c r="O58" s="27">
        <f>ROUND(H58*1.65, 2)</f>
      </c>
      <c r="P58" s="27">
        <f>SUM(I58:O58)</f>
      </c>
      <c r="Q58" s="27">
        <f>ROUND(H58*1.5, 2)</f>
      </c>
      <c r="R58" s="27">
        <f>ROUND(H58*2.0, 2)</f>
      </c>
      <c r="S58" s="14">
        <f>IF(F58&lt;=R58, "TRIGGER INDENT", "STOCK HEALTHY")</f>
      </c>
      <c r="T58" s="27">
        <f>IF(F58&lt;=R58, ROUND(MAX(H58, (I58+Q58)-F58), 2), 0)</f>
      </c>
    </row>
    <row r="59" ht="20" customHeight="1" spans="1:20" x14ac:dyDescent="0.25">
      <c r="A59" s="12" t="s">
        <v>253</v>
      </c>
      <c r="B59" s="12" t="s">
        <v>254</v>
      </c>
      <c r="C59" s="12" t="s">
        <v>126</v>
      </c>
      <c r="D59" s="12" t="s">
        <v>139</v>
      </c>
      <c r="E59" s="24">
        <v>621.760009765625</v>
      </c>
      <c r="F59" s="25">
        <v>176</v>
      </c>
      <c r="G59" s="12" t="s">
        <v>45</v>
      </c>
      <c r="H59" s="25">
        <v>21.12</v>
      </c>
      <c r="I59" s="25">
        <f>ROUND(H59*1.0, 2)</f>
      </c>
      <c r="J59" s="25">
        <f>ROUND(H59*0.95, 2)</f>
      </c>
      <c r="K59" s="25">
        <f>ROUND(H59*0.95, 2)</f>
      </c>
      <c r="L59" s="25">
        <f>ROUND(H59*1.05, 2)</f>
      </c>
      <c r="M59" s="25">
        <f>ROUND(H59*1.25, 2)</f>
      </c>
      <c r="N59" s="25">
        <f>ROUND(H59*1.55, 2)</f>
      </c>
      <c r="O59" s="25">
        <f>ROUND(H59*1.65, 2)</f>
      </c>
      <c r="P59" s="25">
        <f>SUM(I59:O59)</f>
      </c>
      <c r="Q59" s="25">
        <f>ROUND(H59*1.5, 2)</f>
      </c>
      <c r="R59" s="25">
        <f>ROUND(H59*2.0, 2)</f>
      </c>
      <c r="S59" s="12">
        <f>IF(F59&lt;=R59, "TRIGGER INDENT", "STOCK HEALTHY")</f>
      </c>
      <c r="T59" s="25">
        <f>IF(F59&lt;=R59, ROUND(MAX(H59, (I59+Q59)-F59), 2), 0)</f>
      </c>
    </row>
    <row r="60" ht="20" customHeight="1" spans="1:20" x14ac:dyDescent="0.25">
      <c r="A60" s="14" t="s">
        <v>255</v>
      </c>
      <c r="B60" s="14" t="s">
        <v>256</v>
      </c>
      <c r="C60" s="14" t="s">
        <v>151</v>
      </c>
      <c r="D60" s="14" t="s">
        <v>139</v>
      </c>
      <c r="E60" s="26">
        <v>83.06999969482422</v>
      </c>
      <c r="F60" s="27">
        <v>1008</v>
      </c>
      <c r="G60" s="14" t="s">
        <v>97</v>
      </c>
      <c r="H60" s="27">
        <v>50.4</v>
      </c>
      <c r="I60" s="27">
        <f>ROUND(H60*1.0, 2)</f>
      </c>
      <c r="J60" s="27">
        <f>ROUND(H60*0.95, 2)</f>
      </c>
      <c r="K60" s="27">
        <f>ROUND(H60*0.95, 2)</f>
      </c>
      <c r="L60" s="27">
        <f>ROUND(H60*1.05, 2)</f>
      </c>
      <c r="M60" s="27">
        <f>ROUND(H60*1.25, 2)</f>
      </c>
      <c r="N60" s="27">
        <f>ROUND(H60*1.55, 2)</f>
      </c>
      <c r="O60" s="27">
        <f>ROUND(H60*1.65, 2)</f>
      </c>
      <c r="P60" s="27">
        <f>SUM(I60:O60)</f>
      </c>
      <c r="Q60" s="27">
        <f>ROUND(H60*1.5, 2)</f>
      </c>
      <c r="R60" s="27">
        <f>ROUND(H60*2.0, 2)</f>
      </c>
      <c r="S60" s="14">
        <f>IF(F60&lt;=R60, "TRIGGER INDENT", "STOCK HEALTHY")</f>
      </c>
      <c r="T60" s="27">
        <f>IF(F60&lt;=R60, ROUND(MAX(H60, (I60+Q60)-F60), 2), 0)</f>
      </c>
    </row>
    <row r="61" ht="20" customHeight="1" spans="1:20" x14ac:dyDescent="0.25">
      <c r="A61" s="12" t="s">
        <v>257</v>
      </c>
      <c r="B61" s="12" t="s">
        <v>258</v>
      </c>
      <c r="C61" s="12" t="s">
        <v>192</v>
      </c>
      <c r="D61" s="12" t="s">
        <v>139</v>
      </c>
      <c r="E61" s="24">
        <v>71.81999969482422</v>
      </c>
      <c r="F61" s="25">
        <v>923.20013</v>
      </c>
      <c r="G61" s="12" t="s">
        <v>97</v>
      </c>
      <c r="H61" s="25">
        <v>2</v>
      </c>
      <c r="I61" s="25">
        <f>ROUND(H61*1.0, 2)</f>
      </c>
      <c r="J61" s="25">
        <f>ROUND(H61*0.95, 2)</f>
      </c>
      <c r="K61" s="25">
        <f>ROUND(H61*0.95, 2)</f>
      </c>
      <c r="L61" s="25">
        <f>ROUND(H61*1.05, 2)</f>
      </c>
      <c r="M61" s="25">
        <f>ROUND(H61*1.25, 2)</f>
      </c>
      <c r="N61" s="25">
        <f>ROUND(H61*1.55, 2)</f>
      </c>
      <c r="O61" s="25">
        <f>ROUND(H61*1.65, 2)</f>
      </c>
      <c r="P61" s="25">
        <f>SUM(I61:O61)</f>
      </c>
      <c r="Q61" s="25">
        <f>ROUND(H61*1.5, 2)</f>
      </c>
      <c r="R61" s="25">
        <f>ROUND(H61*2.0, 2)</f>
      </c>
      <c r="S61" s="12">
        <f>IF(F61&lt;=R61, "TRIGGER INDENT", "STOCK HEALTHY")</f>
      </c>
      <c r="T61" s="25">
        <f>IF(F61&lt;=R61, ROUND(MAX(H61, (I61+Q61)-F61), 2), 0)</f>
      </c>
    </row>
    <row r="62" ht="20" customHeight="1" spans="1:20" x14ac:dyDescent="0.25">
      <c r="A62" s="14" t="s">
        <v>259</v>
      </c>
      <c r="B62" s="14" t="s">
        <v>260</v>
      </c>
      <c r="C62" s="14" t="s">
        <v>138</v>
      </c>
      <c r="D62" s="14" t="s">
        <v>139</v>
      </c>
      <c r="E62" s="26">
        <v>590</v>
      </c>
      <c r="F62" s="27">
        <v>48</v>
      </c>
      <c r="G62" s="14" t="s">
        <v>67</v>
      </c>
      <c r="H62" s="27">
        <v>9.6</v>
      </c>
      <c r="I62" s="27">
        <f>ROUND(H62*1.0, 2)</f>
      </c>
      <c r="J62" s="27">
        <f>ROUND(H62*0.95, 2)</f>
      </c>
      <c r="K62" s="27">
        <f>ROUND(H62*0.95, 2)</f>
      </c>
      <c r="L62" s="27">
        <f>ROUND(H62*1.05, 2)</f>
      </c>
      <c r="M62" s="27">
        <f>ROUND(H62*1.25, 2)</f>
      </c>
      <c r="N62" s="27">
        <f>ROUND(H62*1.55, 2)</f>
      </c>
      <c r="O62" s="27">
        <f>ROUND(H62*1.65, 2)</f>
      </c>
      <c r="P62" s="27">
        <f>SUM(I62:O62)</f>
      </c>
      <c r="Q62" s="27">
        <f>ROUND(H62*1.5, 2)</f>
      </c>
      <c r="R62" s="27">
        <f>ROUND(H62*2.0, 2)</f>
      </c>
      <c r="S62" s="14">
        <f>IF(F62&lt;=R62, "TRIGGER INDENT", "STOCK HEALTHY")</f>
      </c>
      <c r="T62" s="27">
        <f>IF(F62&lt;=R62, ROUND(MAX(H62, (I62+Q62)-F62), 2), 0)</f>
      </c>
    </row>
    <row r="63" ht="20" customHeight="1" spans="1:20" x14ac:dyDescent="0.25">
      <c r="A63" s="12" t="s">
        <v>261</v>
      </c>
      <c r="B63" s="12" t="s">
        <v>262</v>
      </c>
      <c r="C63" s="12" t="s">
        <v>238</v>
      </c>
      <c r="D63" s="12" t="s">
        <v>246</v>
      </c>
      <c r="E63" s="24">
        <v>306.17999267578125</v>
      </c>
      <c r="F63" s="25">
        <v>96</v>
      </c>
      <c r="G63" s="12" t="s">
        <v>45</v>
      </c>
      <c r="H63" s="25">
        <v>11.52</v>
      </c>
      <c r="I63" s="25">
        <f>ROUND(H63*1.0, 2)</f>
      </c>
      <c r="J63" s="25">
        <f>ROUND(H63*0.95, 2)</f>
      </c>
      <c r="K63" s="25">
        <f>ROUND(H63*0.95, 2)</f>
      </c>
      <c r="L63" s="25">
        <f>ROUND(H63*1.05, 2)</f>
      </c>
      <c r="M63" s="25">
        <f>ROUND(H63*1.25, 2)</f>
      </c>
      <c r="N63" s="25">
        <f>ROUND(H63*1.55, 2)</f>
      </c>
      <c r="O63" s="25">
        <f>ROUND(H63*1.65, 2)</f>
      </c>
      <c r="P63" s="25">
        <f>SUM(I63:O63)</f>
      </c>
      <c r="Q63" s="25">
        <f>ROUND(H63*1.5, 2)</f>
      </c>
      <c r="R63" s="25">
        <f>ROUND(H63*2.0, 2)</f>
      </c>
      <c r="S63" s="12">
        <f>IF(F63&lt;=R63, "TRIGGER INDENT", "STOCK HEALTHY")</f>
      </c>
      <c r="T63" s="25">
        <f>IF(F63&lt;=R63, ROUND(MAX(H63, (I63+Q63)-F63), 2), 0)</f>
      </c>
    </row>
    <row r="64" ht="20" customHeight="1" spans="1:20" x14ac:dyDescent="0.25">
      <c r="A64" s="14" t="s">
        <v>263</v>
      </c>
      <c r="B64" s="14" t="s">
        <v>264</v>
      </c>
      <c r="C64" s="14" t="s">
        <v>238</v>
      </c>
      <c r="D64" s="14" t="s">
        <v>179</v>
      </c>
      <c r="E64" s="26">
        <v>343.2699890136719</v>
      </c>
      <c r="F64" s="27">
        <v>96</v>
      </c>
      <c r="G64" s="14" t="s">
        <v>61</v>
      </c>
      <c r="H64" s="27">
        <v>11.52</v>
      </c>
      <c r="I64" s="27">
        <f>ROUND(H64*1.0, 2)</f>
      </c>
      <c r="J64" s="27">
        <f>ROUND(H64*0.95, 2)</f>
      </c>
      <c r="K64" s="27">
        <f>ROUND(H64*0.95, 2)</f>
      </c>
      <c r="L64" s="27">
        <f>ROUND(H64*1.05, 2)</f>
      </c>
      <c r="M64" s="27">
        <f>ROUND(H64*1.25, 2)</f>
      </c>
      <c r="N64" s="27">
        <f>ROUND(H64*1.55, 2)</f>
      </c>
      <c r="O64" s="27">
        <f>ROUND(H64*1.65, 2)</f>
      </c>
      <c r="P64" s="27">
        <f>SUM(I64:O64)</f>
      </c>
      <c r="Q64" s="27">
        <f>ROUND(H64*1.5, 2)</f>
      </c>
      <c r="R64" s="27">
        <f>ROUND(H64*2.0, 2)</f>
      </c>
      <c r="S64" s="14">
        <f>IF(F64&lt;=R64, "TRIGGER INDENT", "STOCK HEALTHY")</f>
      </c>
      <c r="T64" s="27">
        <f>IF(F64&lt;=R64, ROUND(MAX(H64, (I64+Q64)-F64), 2), 0)</f>
      </c>
    </row>
    <row r="65" ht="20" customHeight="1" spans="1:20" x14ac:dyDescent="0.25">
      <c r="A65" s="12" t="s">
        <v>265</v>
      </c>
      <c r="B65" s="12" t="s">
        <v>266</v>
      </c>
      <c r="C65" s="12" t="s">
        <v>160</v>
      </c>
      <c r="D65" s="12" t="s">
        <v>139</v>
      </c>
      <c r="E65" s="24">
        <v>267.6000061035156</v>
      </c>
      <c r="F65" s="25">
        <v>1.5100002</v>
      </c>
      <c r="G65" s="12" t="s">
        <v>73</v>
      </c>
      <c r="H65" s="25">
        <v>1</v>
      </c>
      <c r="I65" s="25">
        <f>ROUND(H65*1.0, 2)</f>
      </c>
      <c r="J65" s="25">
        <f>ROUND(H65*0.95, 2)</f>
      </c>
      <c r="K65" s="25">
        <f>ROUND(H65*0.95, 2)</f>
      </c>
      <c r="L65" s="25">
        <f>ROUND(H65*1.05, 2)</f>
      </c>
      <c r="M65" s="25">
        <f>ROUND(H65*1.25, 2)</f>
      </c>
      <c r="N65" s="25">
        <f>ROUND(H65*1.55, 2)</f>
      </c>
      <c r="O65" s="25">
        <f>ROUND(H65*1.65, 2)</f>
      </c>
      <c r="P65" s="25">
        <f>SUM(I65:O65)</f>
      </c>
      <c r="Q65" s="25">
        <f>ROUND(H65*1.5, 2)</f>
      </c>
      <c r="R65" s="25">
        <f>ROUND(H65*2.0, 2)</f>
      </c>
      <c r="S65" s="12">
        <f>IF(F65&lt;=R65, "TRIGGER INDENT", "STOCK HEALTHY")</f>
      </c>
      <c r="T65" s="25">
        <f>IF(F65&lt;=R65, ROUND(MAX(H65, (I65+Q65)-F65), 2), 0)</f>
      </c>
    </row>
    <row r="66" ht="20" customHeight="1" spans="1:20" x14ac:dyDescent="0.25">
      <c r="A66" s="14" t="s">
        <v>267</v>
      </c>
      <c r="B66" s="14" t="s">
        <v>268</v>
      </c>
      <c r="C66" s="14" t="s">
        <v>269</v>
      </c>
      <c r="D66" s="14" t="s">
        <v>139</v>
      </c>
      <c r="E66" s="26">
        <v>232.13999938964844</v>
      </c>
      <c r="F66" s="27">
        <v>174.39998</v>
      </c>
      <c r="G66" s="14" t="s">
        <v>67</v>
      </c>
      <c r="H66" s="27">
        <v>20.93</v>
      </c>
      <c r="I66" s="27">
        <f>ROUND(H66*1.0, 2)</f>
      </c>
      <c r="J66" s="27">
        <f>ROUND(H66*0.95, 2)</f>
      </c>
      <c r="K66" s="27">
        <f>ROUND(H66*0.95, 2)</f>
      </c>
      <c r="L66" s="27">
        <f>ROUND(H66*1.05, 2)</f>
      </c>
      <c r="M66" s="27">
        <f>ROUND(H66*1.25, 2)</f>
      </c>
      <c r="N66" s="27">
        <f>ROUND(H66*1.55, 2)</f>
      </c>
      <c r="O66" s="27">
        <f>ROUND(H66*1.65, 2)</f>
      </c>
      <c r="P66" s="27">
        <f>SUM(I66:O66)</f>
      </c>
      <c r="Q66" s="27">
        <f>ROUND(H66*1.5, 2)</f>
      </c>
      <c r="R66" s="27">
        <f>ROUND(H66*2.0, 2)</f>
      </c>
      <c r="S66" s="14">
        <f>IF(F66&lt;=R66, "TRIGGER INDENT", "STOCK HEALTHY")</f>
      </c>
      <c r="T66" s="27">
        <f>IF(F66&lt;=R66, ROUND(MAX(H66, (I66+Q66)-F66), 2), 0)</f>
      </c>
    </row>
    <row r="67" ht="20" customHeight="1" spans="1:20" x14ac:dyDescent="0.25">
      <c r="A67" s="12" t="s">
        <v>270</v>
      </c>
      <c r="B67" s="12" t="s">
        <v>271</v>
      </c>
      <c r="C67" s="12" t="s">
        <v>269</v>
      </c>
      <c r="D67" s="12" t="s">
        <v>139</v>
      </c>
      <c r="E67" s="24">
        <v>232.24000549316406</v>
      </c>
      <c r="F67" s="25">
        <v>358.39993</v>
      </c>
      <c r="G67" s="12" t="s">
        <v>67</v>
      </c>
      <c r="H67" s="25">
        <v>8</v>
      </c>
      <c r="I67" s="25">
        <f>ROUND(H67*1.0, 2)</f>
      </c>
      <c r="J67" s="25">
        <f>ROUND(H67*0.95, 2)</f>
      </c>
      <c r="K67" s="25">
        <f>ROUND(H67*0.95, 2)</f>
      </c>
      <c r="L67" s="25">
        <f>ROUND(H67*1.05, 2)</f>
      </c>
      <c r="M67" s="25">
        <f>ROUND(H67*1.25, 2)</f>
      </c>
      <c r="N67" s="25">
        <f>ROUND(H67*1.55, 2)</f>
      </c>
      <c r="O67" s="25">
        <f>ROUND(H67*1.65, 2)</f>
      </c>
      <c r="P67" s="25">
        <f>SUM(I67:O67)</f>
      </c>
      <c r="Q67" s="25">
        <f>ROUND(H67*1.5, 2)</f>
      </c>
      <c r="R67" s="25">
        <f>ROUND(H67*2.0, 2)</f>
      </c>
      <c r="S67" s="12">
        <f>IF(F67&lt;=R67, "TRIGGER INDENT", "STOCK HEALTHY")</f>
      </c>
      <c r="T67" s="25">
        <f>IF(F67&lt;=R67, ROUND(MAX(H67, (I67+Q67)-F67), 2), 0)</f>
      </c>
    </row>
    <row r="68" ht="20" customHeight="1" spans="1:20" x14ac:dyDescent="0.25">
      <c r="A68" s="14" t="s">
        <v>272</v>
      </c>
      <c r="B68" s="14" t="s">
        <v>273</v>
      </c>
      <c r="C68" s="14" t="s">
        <v>269</v>
      </c>
      <c r="D68" s="14" t="s">
        <v>139</v>
      </c>
      <c r="E68" s="26">
        <v>235.25</v>
      </c>
      <c r="F68" s="27">
        <v>100</v>
      </c>
      <c r="G68" s="14" t="s">
        <v>91</v>
      </c>
      <c r="H68" s="27">
        <v>12</v>
      </c>
      <c r="I68" s="27">
        <f>ROUND(H68*1.0, 2)</f>
      </c>
      <c r="J68" s="27">
        <f>ROUND(H68*0.95, 2)</f>
      </c>
      <c r="K68" s="27">
        <f>ROUND(H68*0.95, 2)</f>
      </c>
      <c r="L68" s="27">
        <f>ROUND(H68*1.05, 2)</f>
      </c>
      <c r="M68" s="27">
        <f>ROUND(H68*1.25, 2)</f>
      </c>
      <c r="N68" s="27">
        <f>ROUND(H68*1.55, 2)</f>
      </c>
      <c r="O68" s="27">
        <f>ROUND(H68*1.65, 2)</f>
      </c>
      <c r="P68" s="27">
        <f>SUM(I68:O68)</f>
      </c>
      <c r="Q68" s="27">
        <f>ROUND(H68*1.5, 2)</f>
      </c>
      <c r="R68" s="27">
        <f>ROUND(H68*2.0, 2)</f>
      </c>
      <c r="S68" s="14">
        <f>IF(F68&lt;=R68, "TRIGGER INDENT", "STOCK HEALTHY")</f>
      </c>
      <c r="T68" s="27">
        <f>IF(F68&lt;=R68, ROUND(MAX(H68, (I68+Q68)-F68), 2), 0)</f>
      </c>
    </row>
    <row r="69" ht="20" customHeight="1" spans="1:20" x14ac:dyDescent="0.25">
      <c r="A69" s="12" t="s">
        <v>274</v>
      </c>
      <c r="B69" s="12" t="s">
        <v>275</v>
      </c>
      <c r="C69" s="12" t="s">
        <v>138</v>
      </c>
      <c r="D69" s="12" t="s">
        <v>139</v>
      </c>
      <c r="E69" s="24">
        <v>380</v>
      </c>
      <c r="F69" s="25">
        <v>13</v>
      </c>
      <c r="G69" s="12" t="s">
        <v>61</v>
      </c>
      <c r="H69" s="25">
        <v>3</v>
      </c>
      <c r="I69" s="25">
        <f>ROUND(H69*1.0, 2)</f>
      </c>
      <c r="J69" s="25">
        <f>ROUND(H69*0.95, 2)</f>
      </c>
      <c r="K69" s="25">
        <f>ROUND(H69*0.95, 2)</f>
      </c>
      <c r="L69" s="25">
        <f>ROUND(H69*1.05, 2)</f>
      </c>
      <c r="M69" s="25">
        <f>ROUND(H69*1.25, 2)</f>
      </c>
      <c r="N69" s="25">
        <f>ROUND(H69*1.55, 2)</f>
      </c>
      <c r="O69" s="25">
        <f>ROUND(H69*1.65, 2)</f>
      </c>
      <c r="P69" s="25">
        <f>SUM(I69:O69)</f>
      </c>
      <c r="Q69" s="25">
        <f>ROUND(H69*1.5, 2)</f>
      </c>
      <c r="R69" s="25">
        <f>ROUND(H69*2.0, 2)</f>
      </c>
      <c r="S69" s="12">
        <f>IF(F69&lt;=R69, "TRIGGER INDENT", "STOCK HEALTHY")</f>
      </c>
      <c r="T69" s="25">
        <f>IF(F69&lt;=R69, ROUND(MAX(H69, (I69+Q69)-F69), 2), 0)</f>
      </c>
    </row>
    <row r="70" ht="20" customHeight="1" spans="1:20" x14ac:dyDescent="0.25">
      <c r="A70" s="14" t="s">
        <v>276</v>
      </c>
      <c r="B70" s="14" t="s">
        <v>277</v>
      </c>
      <c r="C70" s="14" t="s">
        <v>138</v>
      </c>
      <c r="D70" s="14" t="s">
        <v>179</v>
      </c>
      <c r="E70" s="26">
        <v>1.600000023841858</v>
      </c>
      <c r="F70" s="27">
        <v>1.5100002</v>
      </c>
      <c r="G70" s="14" t="s">
        <v>85</v>
      </c>
      <c r="H70" s="27">
        <v>1</v>
      </c>
      <c r="I70" s="27">
        <f>ROUND(H70*1.0, 2)</f>
      </c>
      <c r="J70" s="27">
        <f>ROUND(H70*0.95, 2)</f>
      </c>
      <c r="K70" s="27">
        <f>ROUND(H70*0.95, 2)</f>
      </c>
      <c r="L70" s="27">
        <f>ROUND(H70*1.05, 2)</f>
      </c>
      <c r="M70" s="27">
        <f>ROUND(H70*1.25, 2)</f>
      </c>
      <c r="N70" s="27">
        <f>ROUND(H70*1.55, 2)</f>
      </c>
      <c r="O70" s="27">
        <f>ROUND(H70*1.65, 2)</f>
      </c>
      <c r="P70" s="27">
        <f>SUM(I70:O70)</f>
      </c>
      <c r="Q70" s="27">
        <f>ROUND(H70*1.5, 2)</f>
      </c>
      <c r="R70" s="27">
        <f>ROUND(H70*2.0, 2)</f>
      </c>
      <c r="S70" s="14">
        <f>IF(F70&lt;=R70, "TRIGGER INDENT", "STOCK HEALTHY")</f>
      </c>
      <c r="T70" s="27">
        <f>IF(F70&lt;=R70, ROUND(MAX(H70, (I70+Q70)-F70), 2), 0)</f>
      </c>
    </row>
    <row r="71" ht="20" customHeight="1" spans="1:20" x14ac:dyDescent="0.25">
      <c r="A71" s="12" t="s">
        <v>278</v>
      </c>
      <c r="B71" s="12" t="s">
        <v>279</v>
      </c>
      <c r="C71" s="12" t="s">
        <v>138</v>
      </c>
      <c r="D71" s="12" t="s">
        <v>139</v>
      </c>
      <c r="E71" s="24">
        <v>238.3699951171875</v>
      </c>
      <c r="F71" s="25">
        <v>1637.5997</v>
      </c>
      <c r="G71" s="12" t="s">
        <v>67</v>
      </c>
      <c r="H71" s="25">
        <v>4</v>
      </c>
      <c r="I71" s="25">
        <f>ROUND(H71*1.0, 2)</f>
      </c>
      <c r="J71" s="25">
        <f>ROUND(H71*0.95, 2)</f>
      </c>
      <c r="K71" s="25">
        <f>ROUND(H71*0.95, 2)</f>
      </c>
      <c r="L71" s="25">
        <f>ROUND(H71*1.05, 2)</f>
      </c>
      <c r="M71" s="25">
        <f>ROUND(H71*1.25, 2)</f>
      </c>
      <c r="N71" s="25">
        <f>ROUND(H71*1.55, 2)</f>
      </c>
      <c r="O71" s="25">
        <f>ROUND(H71*1.65, 2)</f>
      </c>
      <c r="P71" s="25">
        <f>SUM(I71:O71)</f>
      </c>
      <c r="Q71" s="25">
        <f>ROUND(H71*1.5, 2)</f>
      </c>
      <c r="R71" s="25">
        <f>ROUND(H71*2.0, 2)</f>
      </c>
      <c r="S71" s="12">
        <f>IF(F71&lt;=R71, "TRIGGER INDENT", "STOCK HEALTHY")</f>
      </c>
      <c r="T71" s="25">
        <f>IF(F71&lt;=R71, ROUND(MAX(H71, (I71+Q71)-F71), 2), 0)</f>
      </c>
    </row>
    <row r="72" ht="20" customHeight="1" spans="1:20" x14ac:dyDescent="0.25">
      <c r="A72" s="14" t="s">
        <v>280</v>
      </c>
      <c r="B72" s="14" t="s">
        <v>281</v>
      </c>
      <c r="C72" s="14" t="s">
        <v>126</v>
      </c>
      <c r="D72" s="14" t="s">
        <v>127</v>
      </c>
      <c r="E72" s="26">
        <v>6.599999904632568</v>
      </c>
      <c r="F72" s="27">
        <v>60779</v>
      </c>
      <c r="G72" s="14" t="s">
        <v>67</v>
      </c>
      <c r="H72" s="27">
        <v>21</v>
      </c>
      <c r="I72" s="27">
        <f>ROUND(H72*1.0, 2)</f>
      </c>
      <c r="J72" s="27">
        <f>ROUND(H72*0.95, 2)</f>
      </c>
      <c r="K72" s="27">
        <f>ROUND(H72*0.95, 2)</f>
      </c>
      <c r="L72" s="27">
        <f>ROUND(H72*1.05, 2)</f>
      </c>
      <c r="M72" s="27">
        <f>ROUND(H72*1.25, 2)</f>
      </c>
      <c r="N72" s="27">
        <f>ROUND(H72*1.55, 2)</f>
      </c>
      <c r="O72" s="27">
        <f>ROUND(H72*1.65, 2)</f>
      </c>
      <c r="P72" s="27">
        <f>SUM(I72:O72)</f>
      </c>
      <c r="Q72" s="27">
        <f>ROUND(H72*1.5, 2)</f>
      </c>
      <c r="R72" s="27">
        <f>ROUND(H72*2.0, 2)</f>
      </c>
      <c r="S72" s="14">
        <f>IF(F72&lt;=R72, "TRIGGER INDENT", "STOCK HEALTHY")</f>
      </c>
      <c r="T72" s="27">
        <f>IF(F72&lt;=R72, ROUND(MAX(H72, (I72+Q72)-F72), 2), 0)</f>
      </c>
    </row>
    <row r="73" ht="20" customHeight="1" spans="1:20" x14ac:dyDescent="0.25">
      <c r="A73" s="12" t="s">
        <v>282</v>
      </c>
      <c r="B73" s="12" t="s">
        <v>283</v>
      </c>
      <c r="C73" s="12" t="s">
        <v>126</v>
      </c>
      <c r="D73" s="12" t="s">
        <v>127</v>
      </c>
      <c r="E73" s="24">
        <v>4</v>
      </c>
      <c r="F73" s="25">
        <v>36743</v>
      </c>
      <c r="G73" s="12" t="s">
        <v>55</v>
      </c>
      <c r="H73" s="25">
        <v>11.4</v>
      </c>
      <c r="I73" s="25">
        <f>ROUND(H73*1.0, 2)</f>
      </c>
      <c r="J73" s="25">
        <f>ROUND(H73*0.95, 2)</f>
      </c>
      <c r="K73" s="25">
        <f>ROUND(H73*0.95, 2)</f>
      </c>
      <c r="L73" s="25">
        <f>ROUND(H73*1.05, 2)</f>
      </c>
      <c r="M73" s="25">
        <f>ROUND(H73*1.25, 2)</f>
      </c>
      <c r="N73" s="25">
        <f>ROUND(H73*1.55, 2)</f>
      </c>
      <c r="O73" s="25">
        <f>ROUND(H73*1.65, 2)</f>
      </c>
      <c r="P73" s="25">
        <f>SUM(I73:O73)</f>
      </c>
      <c r="Q73" s="25">
        <f>ROUND(H73*1.5, 2)</f>
      </c>
      <c r="R73" s="25">
        <f>ROUND(H73*2.0, 2)</f>
      </c>
      <c r="S73" s="12">
        <f>IF(F73&lt;=R73, "TRIGGER INDENT", "STOCK HEALTHY")</f>
      </c>
      <c r="T73" s="25">
        <f>IF(F73&lt;=R73, ROUND(MAX(H73, (I73+Q73)-F73), 2), 0)</f>
      </c>
    </row>
    <row r="74" ht="20" customHeight="1" spans="1:20" x14ac:dyDescent="0.25">
      <c r="A74" s="14" t="s">
        <v>284</v>
      </c>
      <c r="B74" s="14" t="s">
        <v>285</v>
      </c>
      <c r="C74" s="14" t="s">
        <v>126</v>
      </c>
      <c r="D74" s="14" t="s">
        <v>127</v>
      </c>
      <c r="E74" s="26">
        <v>12.430000305175781</v>
      </c>
      <c r="F74" s="27">
        <v>17577</v>
      </c>
      <c r="G74" s="14" t="s">
        <v>55</v>
      </c>
      <c r="H74" s="27">
        <v>4.6</v>
      </c>
      <c r="I74" s="27">
        <f>ROUND(H74*1.0, 2)</f>
      </c>
      <c r="J74" s="27">
        <f>ROUND(H74*0.95, 2)</f>
      </c>
      <c r="K74" s="27">
        <f>ROUND(H74*0.95, 2)</f>
      </c>
      <c r="L74" s="27">
        <f>ROUND(H74*1.05, 2)</f>
      </c>
      <c r="M74" s="27">
        <f>ROUND(H74*1.25, 2)</f>
      </c>
      <c r="N74" s="27">
        <f>ROUND(H74*1.55, 2)</f>
      </c>
      <c r="O74" s="27">
        <f>ROUND(H74*1.65, 2)</f>
      </c>
      <c r="P74" s="27">
        <f>SUM(I74:O74)</f>
      </c>
      <c r="Q74" s="27">
        <f>ROUND(H74*1.5, 2)</f>
      </c>
      <c r="R74" s="27">
        <f>ROUND(H74*2.0, 2)</f>
      </c>
      <c r="S74" s="14">
        <f>IF(F74&lt;=R74, "TRIGGER INDENT", "STOCK HEALTHY")</f>
      </c>
      <c r="T74" s="27">
        <f>IF(F74&lt;=R74, ROUND(MAX(H74, (I74+Q74)-F74), 2), 0)</f>
      </c>
    </row>
    <row r="75" ht="20" customHeight="1" spans="1:20" x14ac:dyDescent="0.25">
      <c r="A75" s="12" t="s">
        <v>286</v>
      </c>
      <c r="B75" s="12" t="s">
        <v>287</v>
      </c>
      <c r="C75" s="12" t="s">
        <v>245</v>
      </c>
      <c r="D75" s="12" t="s">
        <v>246</v>
      </c>
      <c r="E75" s="24">
        <v>548.260009765625</v>
      </c>
      <c r="F75" s="25">
        <v>13</v>
      </c>
      <c r="G75" s="12" t="s">
        <v>61</v>
      </c>
      <c r="H75" s="25">
        <v>3</v>
      </c>
      <c r="I75" s="25">
        <f>ROUND(H75*1.0, 2)</f>
      </c>
      <c r="J75" s="25">
        <f>ROUND(H75*0.95, 2)</f>
      </c>
      <c r="K75" s="25">
        <f>ROUND(H75*0.95, 2)</f>
      </c>
      <c r="L75" s="25">
        <f>ROUND(H75*1.05, 2)</f>
      </c>
      <c r="M75" s="25">
        <f>ROUND(H75*1.25, 2)</f>
      </c>
      <c r="N75" s="25">
        <f>ROUND(H75*1.55, 2)</f>
      </c>
      <c r="O75" s="25">
        <f>ROUND(H75*1.65, 2)</f>
      </c>
      <c r="P75" s="25">
        <f>SUM(I75:O75)</f>
      </c>
      <c r="Q75" s="25">
        <f>ROUND(H75*1.5, 2)</f>
      </c>
      <c r="R75" s="25">
        <f>ROUND(H75*2.0, 2)</f>
      </c>
      <c r="S75" s="12">
        <f>IF(F75&lt;=R75, "TRIGGER INDENT", "STOCK HEALTHY")</f>
      </c>
      <c r="T75" s="25">
        <f>IF(F75&lt;=R75, ROUND(MAX(H75, (I75+Q75)-F75), 2), 0)</f>
      </c>
    </row>
    <row r="76" ht="20" customHeight="1" spans="1:20" x14ac:dyDescent="0.25">
      <c r="A76" s="14" t="s">
        <v>288</v>
      </c>
      <c r="B76" s="14" t="s">
        <v>289</v>
      </c>
      <c r="C76" s="14" t="s">
        <v>134</v>
      </c>
      <c r="D76" s="14" t="s">
        <v>135</v>
      </c>
      <c r="E76" s="26">
        <v>253.75</v>
      </c>
      <c r="F76" s="27">
        <v>3</v>
      </c>
      <c r="G76" s="14" t="s">
        <v>61</v>
      </c>
      <c r="H76" s="27">
        <v>2.6</v>
      </c>
      <c r="I76" s="27">
        <f>ROUND(H76*1.0, 2)</f>
      </c>
      <c r="J76" s="27">
        <f>ROUND(H76*0.95, 2)</f>
      </c>
      <c r="K76" s="27">
        <f>ROUND(H76*0.95, 2)</f>
      </c>
      <c r="L76" s="27">
        <f>ROUND(H76*1.05, 2)</f>
      </c>
      <c r="M76" s="27">
        <f>ROUND(H76*1.25, 2)</f>
      </c>
      <c r="N76" s="27">
        <f>ROUND(H76*1.55, 2)</f>
      </c>
      <c r="O76" s="27">
        <f>ROUND(H76*1.65, 2)</f>
      </c>
      <c r="P76" s="27">
        <f>SUM(I76:O76)</f>
      </c>
      <c r="Q76" s="27">
        <f>ROUND(H76*1.5, 2)</f>
      </c>
      <c r="R76" s="27">
        <f>ROUND(H76*2.0, 2)</f>
      </c>
      <c r="S76" s="14">
        <f>IF(F76&lt;=R76, "TRIGGER INDENT", "STOCK HEALTHY")</f>
      </c>
      <c r="T76" s="27">
        <f>IF(F76&lt;=R76, ROUND(MAX(H76, (I76+Q76)-F76), 2), 0)</f>
      </c>
    </row>
    <row r="77" ht="20" customHeight="1" spans="1:20" x14ac:dyDescent="0.25">
      <c r="A77" s="12" t="s">
        <v>290</v>
      </c>
      <c r="B77" s="12" t="s">
        <v>291</v>
      </c>
      <c r="C77" s="12" t="s">
        <v>138</v>
      </c>
      <c r="D77" s="12" t="s">
        <v>139</v>
      </c>
      <c r="E77" s="24">
        <v>625</v>
      </c>
      <c r="F77" s="25">
        <v>54.080013</v>
      </c>
      <c r="G77" s="12" t="s">
        <v>45</v>
      </c>
      <c r="H77" s="25">
        <v>6.49</v>
      </c>
      <c r="I77" s="25">
        <f>ROUND(H77*1.0, 2)</f>
      </c>
      <c r="J77" s="25">
        <f>ROUND(H77*0.95, 2)</f>
      </c>
      <c r="K77" s="25">
        <f>ROUND(H77*0.95, 2)</f>
      </c>
      <c r="L77" s="25">
        <f>ROUND(H77*1.05, 2)</f>
      </c>
      <c r="M77" s="25">
        <f>ROUND(H77*1.25, 2)</f>
      </c>
      <c r="N77" s="25">
        <f>ROUND(H77*1.55, 2)</f>
      </c>
      <c r="O77" s="25">
        <f>ROUND(H77*1.65, 2)</f>
      </c>
      <c r="P77" s="25">
        <f>SUM(I77:O77)</f>
      </c>
      <c r="Q77" s="25">
        <f>ROUND(H77*1.5, 2)</f>
      </c>
      <c r="R77" s="25">
        <f>ROUND(H77*2.0, 2)</f>
      </c>
      <c r="S77" s="12">
        <f>IF(F77&lt;=R77, "TRIGGER INDENT", "STOCK HEALTHY")</f>
      </c>
      <c r="T77" s="25">
        <f>IF(F77&lt;=R77, ROUND(MAX(H77, (I77+Q77)-F77), 2), 0)</f>
      </c>
    </row>
    <row r="78" ht="20" customHeight="1" spans="1:20" x14ac:dyDescent="0.25">
      <c r="A78" s="14" t="s">
        <v>292</v>
      </c>
      <c r="B78" s="14" t="s">
        <v>293</v>
      </c>
      <c r="C78" s="14" t="s">
        <v>126</v>
      </c>
      <c r="D78" s="14" t="s">
        <v>127</v>
      </c>
      <c r="E78" s="26">
        <v>130</v>
      </c>
      <c r="F78" s="27">
        <v>144</v>
      </c>
      <c r="G78" s="14" t="s">
        <v>45</v>
      </c>
      <c r="H78" s="27">
        <v>17.28</v>
      </c>
      <c r="I78" s="27">
        <f>ROUND(H78*1.0, 2)</f>
      </c>
      <c r="J78" s="27">
        <f>ROUND(H78*0.95, 2)</f>
      </c>
      <c r="K78" s="27">
        <f>ROUND(H78*0.95, 2)</f>
      </c>
      <c r="L78" s="27">
        <f>ROUND(H78*1.05, 2)</f>
      </c>
      <c r="M78" s="27">
        <f>ROUND(H78*1.25, 2)</f>
      </c>
      <c r="N78" s="27">
        <f>ROUND(H78*1.55, 2)</f>
      </c>
      <c r="O78" s="27">
        <f>ROUND(H78*1.65, 2)</f>
      </c>
      <c r="P78" s="27">
        <f>SUM(I78:O78)</f>
      </c>
      <c r="Q78" s="27">
        <f>ROUND(H78*1.5, 2)</f>
      </c>
      <c r="R78" s="27">
        <f>ROUND(H78*2.0, 2)</f>
      </c>
      <c r="S78" s="14">
        <f>IF(F78&lt;=R78, "TRIGGER INDENT", "STOCK HEALTHY")</f>
      </c>
      <c r="T78" s="27">
        <f>IF(F78&lt;=R78, ROUND(MAX(H78, (I78+Q78)-F78), 2), 0)</f>
      </c>
    </row>
    <row r="79" ht="20" customHeight="1" spans="1:20" x14ac:dyDescent="0.25">
      <c r="A79" s="12" t="s">
        <v>294</v>
      </c>
      <c r="B79" s="12" t="s">
        <v>295</v>
      </c>
      <c r="C79" s="12" t="s">
        <v>126</v>
      </c>
      <c r="D79" s="12" t="s">
        <v>127</v>
      </c>
      <c r="E79" s="24">
        <v>30</v>
      </c>
      <c r="F79" s="25">
        <v>608</v>
      </c>
      <c r="G79" s="12" t="s">
        <v>73</v>
      </c>
      <c r="H79" s="25">
        <v>48.64</v>
      </c>
      <c r="I79" s="25">
        <f>ROUND(H79*1.0, 2)</f>
      </c>
      <c r="J79" s="25">
        <f>ROUND(H79*0.95, 2)</f>
      </c>
      <c r="K79" s="25">
        <f>ROUND(H79*0.95, 2)</f>
      </c>
      <c r="L79" s="25">
        <f>ROUND(H79*1.05, 2)</f>
      </c>
      <c r="M79" s="25">
        <f>ROUND(H79*1.25, 2)</f>
      </c>
      <c r="N79" s="25">
        <f>ROUND(H79*1.55, 2)</f>
      </c>
      <c r="O79" s="25">
        <f>ROUND(H79*1.65, 2)</f>
      </c>
      <c r="P79" s="25">
        <f>SUM(I79:O79)</f>
      </c>
      <c r="Q79" s="25">
        <f>ROUND(H79*1.5, 2)</f>
      </c>
      <c r="R79" s="25">
        <f>ROUND(H79*2.0, 2)</f>
      </c>
      <c r="S79" s="12">
        <f>IF(F79&lt;=R79, "TRIGGER INDENT", "STOCK HEALTHY")</f>
      </c>
      <c r="T79" s="25">
        <f>IF(F79&lt;=R79, ROUND(MAX(H79, (I79+Q79)-F79), 2), 0)</f>
      </c>
    </row>
    <row r="80" ht="20" customHeight="1" spans="1:20" x14ac:dyDescent="0.25">
      <c r="A80" s="14" t="s">
        <v>296</v>
      </c>
      <c r="B80" s="14" t="s">
        <v>297</v>
      </c>
      <c r="C80" s="14" t="s">
        <v>171</v>
      </c>
      <c r="D80" s="14" t="s">
        <v>139</v>
      </c>
      <c r="E80" s="26">
        <v>40</v>
      </c>
      <c r="F80" s="27">
        <v>2896</v>
      </c>
      <c r="G80" s="14" t="s">
        <v>67</v>
      </c>
      <c r="H80" s="27">
        <v>144.8</v>
      </c>
      <c r="I80" s="27">
        <f>ROUND(H80*1.0, 2)</f>
      </c>
      <c r="J80" s="27">
        <f>ROUND(H80*0.95, 2)</f>
      </c>
      <c r="K80" s="27">
        <f>ROUND(H80*0.95, 2)</f>
      </c>
      <c r="L80" s="27">
        <f>ROUND(H80*1.05, 2)</f>
      </c>
      <c r="M80" s="27">
        <f>ROUND(H80*1.25, 2)</f>
      </c>
      <c r="N80" s="27">
        <f>ROUND(H80*1.55, 2)</f>
      </c>
      <c r="O80" s="27">
        <f>ROUND(H80*1.65, 2)</f>
      </c>
      <c r="P80" s="27">
        <f>SUM(I80:O80)</f>
      </c>
      <c r="Q80" s="27">
        <f>ROUND(H80*1.5, 2)</f>
      </c>
      <c r="R80" s="27">
        <f>ROUND(H80*2.0, 2)</f>
      </c>
      <c r="S80" s="14">
        <f>IF(F80&lt;=R80, "TRIGGER INDENT", "STOCK HEALTHY")</f>
      </c>
      <c r="T80" s="27">
        <f>IF(F80&lt;=R80, ROUND(MAX(H80, (I80+Q80)-F80), 2), 0)</f>
      </c>
    </row>
    <row r="81" ht="20" customHeight="1" spans="1:20" x14ac:dyDescent="0.25">
      <c r="A81" s="12" t="s">
        <v>298</v>
      </c>
      <c r="B81" s="12" t="s">
        <v>299</v>
      </c>
      <c r="C81" s="12" t="s">
        <v>154</v>
      </c>
      <c r="D81" s="12" t="s">
        <v>127</v>
      </c>
      <c r="E81" s="24">
        <v>34.380001068115234</v>
      </c>
      <c r="F81" s="25">
        <v>1072</v>
      </c>
      <c r="G81" s="12" t="s">
        <v>97</v>
      </c>
      <c r="H81" s="25">
        <v>20</v>
      </c>
      <c r="I81" s="25">
        <f>ROUND(H81*1.0, 2)</f>
      </c>
      <c r="J81" s="25">
        <f>ROUND(H81*0.95, 2)</f>
      </c>
      <c r="K81" s="25">
        <f>ROUND(H81*0.95, 2)</f>
      </c>
      <c r="L81" s="25">
        <f>ROUND(H81*1.05, 2)</f>
      </c>
      <c r="M81" s="25">
        <f>ROUND(H81*1.25, 2)</f>
      </c>
      <c r="N81" s="25">
        <f>ROUND(H81*1.55, 2)</f>
      </c>
      <c r="O81" s="25">
        <f>ROUND(H81*1.65, 2)</f>
      </c>
      <c r="P81" s="25">
        <f>SUM(I81:O81)</f>
      </c>
      <c r="Q81" s="25">
        <f>ROUND(H81*1.5, 2)</f>
      </c>
      <c r="R81" s="25">
        <f>ROUND(H81*2.0, 2)</f>
      </c>
      <c r="S81" s="12">
        <f>IF(F81&lt;=R81, "TRIGGER INDENT", "STOCK HEALTHY")</f>
      </c>
      <c r="T81" s="25">
        <f>IF(F81&lt;=R81, ROUND(MAX(H81, (I81+Q81)-F81), 2), 0)</f>
      </c>
    </row>
    <row r="82" ht="20" customHeight="1" spans="1:20" x14ac:dyDescent="0.25">
      <c r="A82" s="14" t="s">
        <v>300</v>
      </c>
      <c r="B82" s="14" t="s">
        <v>301</v>
      </c>
      <c r="C82" s="14" t="s">
        <v>126</v>
      </c>
      <c r="D82" s="14" t="s">
        <v>127</v>
      </c>
      <c r="E82" s="26">
        <v>45.709999084472656</v>
      </c>
      <c r="F82" s="27">
        <v>208</v>
      </c>
      <c r="G82" s="14" t="s">
        <v>45</v>
      </c>
      <c r="H82" s="27">
        <v>16.64</v>
      </c>
      <c r="I82" s="27">
        <f>ROUND(H82*1.0, 2)</f>
      </c>
      <c r="J82" s="27">
        <f>ROUND(H82*0.95, 2)</f>
      </c>
      <c r="K82" s="27">
        <f>ROUND(H82*0.95, 2)</f>
      </c>
      <c r="L82" s="27">
        <f>ROUND(H82*1.05, 2)</f>
      </c>
      <c r="M82" s="27">
        <f>ROUND(H82*1.25, 2)</f>
      </c>
      <c r="N82" s="27">
        <f>ROUND(H82*1.55, 2)</f>
      </c>
      <c r="O82" s="27">
        <f>ROUND(H82*1.65, 2)</f>
      </c>
      <c r="P82" s="27">
        <f>SUM(I82:O82)</f>
      </c>
      <c r="Q82" s="27">
        <f>ROUND(H82*1.5, 2)</f>
      </c>
      <c r="R82" s="27">
        <f>ROUND(H82*2.0, 2)</f>
      </c>
      <c r="S82" s="14">
        <f>IF(F82&lt;=R82, "TRIGGER INDENT", "STOCK HEALTHY")</f>
      </c>
      <c r="T82" s="27">
        <f>IF(F82&lt;=R82, ROUND(MAX(H82, (I82+Q82)-F82), 2), 0)</f>
      </c>
    </row>
    <row r="83" ht="20" customHeight="1" spans="1:20" x14ac:dyDescent="0.25">
      <c r="A83" s="12" t="s">
        <v>302</v>
      </c>
      <c r="B83" s="12" t="s">
        <v>303</v>
      </c>
      <c r="C83" s="12" t="s">
        <v>304</v>
      </c>
      <c r="D83" s="12" t="s">
        <v>305</v>
      </c>
      <c r="E83" s="24">
        <v>840</v>
      </c>
      <c r="F83" s="25">
        <v>16</v>
      </c>
      <c r="G83" s="12" t="s">
        <v>85</v>
      </c>
      <c r="H83" s="25">
        <v>3.2</v>
      </c>
      <c r="I83" s="25">
        <f>ROUND(H83*1.0, 2)</f>
      </c>
      <c r="J83" s="25">
        <f>ROUND(H83*0.95, 2)</f>
      </c>
      <c r="K83" s="25">
        <f>ROUND(H83*0.95, 2)</f>
      </c>
      <c r="L83" s="25">
        <f>ROUND(H83*1.05, 2)</f>
      </c>
      <c r="M83" s="25">
        <f>ROUND(H83*1.25, 2)</f>
      </c>
      <c r="N83" s="25">
        <f>ROUND(H83*1.55, 2)</f>
      </c>
      <c r="O83" s="25">
        <f>ROUND(H83*1.65, 2)</f>
      </c>
      <c r="P83" s="25">
        <f>SUM(I83:O83)</f>
      </c>
      <c r="Q83" s="25">
        <f>ROUND(H83*1.5, 2)</f>
      </c>
      <c r="R83" s="25">
        <f>ROUND(H83*2.0, 2)</f>
      </c>
      <c r="S83" s="12">
        <f>IF(F83&lt;=R83, "TRIGGER INDENT", "STOCK HEALTHY")</f>
      </c>
      <c r="T83" s="25">
        <f>IF(F83&lt;=R83, ROUND(MAX(H83, (I83+Q83)-F83), 2), 0)</f>
      </c>
    </row>
    <row r="84" ht="20" customHeight="1" spans="1:20" x14ac:dyDescent="0.25">
      <c r="A84" s="14" t="s">
        <v>306</v>
      </c>
      <c r="B84" s="14" t="s">
        <v>307</v>
      </c>
      <c r="C84" s="14" t="s">
        <v>154</v>
      </c>
      <c r="D84" s="14" t="s">
        <v>139</v>
      </c>
      <c r="E84" s="26">
        <v>388.42999267578125</v>
      </c>
      <c r="F84" s="27">
        <v>80</v>
      </c>
      <c r="G84" s="14" t="s">
        <v>97</v>
      </c>
      <c r="H84" s="27">
        <v>0.5</v>
      </c>
      <c r="I84" s="27">
        <f>ROUND(H84*1.0, 2)</f>
      </c>
      <c r="J84" s="27">
        <f>ROUND(H84*0.95, 2)</f>
      </c>
      <c r="K84" s="27">
        <f>ROUND(H84*0.95, 2)</f>
      </c>
      <c r="L84" s="27">
        <f>ROUND(H84*1.05, 2)</f>
      </c>
      <c r="M84" s="27">
        <f>ROUND(H84*1.25, 2)</f>
      </c>
      <c r="N84" s="27">
        <f>ROUND(H84*1.55, 2)</f>
      </c>
      <c r="O84" s="27">
        <f>ROUND(H84*1.65, 2)</f>
      </c>
      <c r="P84" s="27">
        <f>SUM(I84:O84)</f>
      </c>
      <c r="Q84" s="27">
        <f>ROUND(H84*1.5, 2)</f>
      </c>
      <c r="R84" s="27">
        <f>ROUND(H84*2.0, 2)</f>
      </c>
      <c r="S84" s="14">
        <f>IF(F84&lt;=R84, "TRIGGER INDENT", "STOCK HEALTHY")</f>
      </c>
      <c r="T84" s="27">
        <f>IF(F84&lt;=R84, ROUND(MAX(H84, (I84+Q84)-F84), 2), 0)</f>
      </c>
    </row>
    <row r="85" ht="20" customHeight="1" spans="1:20" x14ac:dyDescent="0.25">
      <c r="A85" s="12" t="s">
        <v>308</v>
      </c>
      <c r="B85" s="12" t="s">
        <v>309</v>
      </c>
      <c r="C85" s="12" t="s">
        <v>154</v>
      </c>
      <c r="D85" s="12" t="s">
        <v>179</v>
      </c>
      <c r="E85" s="24">
        <v>145.60000610351562</v>
      </c>
      <c r="F85" s="25">
        <v>80</v>
      </c>
      <c r="G85" s="12" t="s">
        <v>61</v>
      </c>
      <c r="H85" s="25">
        <v>9.6</v>
      </c>
      <c r="I85" s="25">
        <f>ROUND(H85*1.0, 2)</f>
      </c>
      <c r="J85" s="25">
        <f>ROUND(H85*0.95, 2)</f>
      </c>
      <c r="K85" s="25">
        <f>ROUND(H85*0.95, 2)</f>
      </c>
      <c r="L85" s="25">
        <f>ROUND(H85*1.05, 2)</f>
      </c>
      <c r="M85" s="25">
        <f>ROUND(H85*1.25, 2)</f>
      </c>
      <c r="N85" s="25">
        <f>ROUND(H85*1.55, 2)</f>
      </c>
      <c r="O85" s="25">
        <f>ROUND(H85*1.65, 2)</f>
      </c>
      <c r="P85" s="25">
        <f>SUM(I85:O85)</f>
      </c>
      <c r="Q85" s="25">
        <f>ROUND(H85*1.5, 2)</f>
      </c>
      <c r="R85" s="25">
        <f>ROUND(H85*2.0, 2)</f>
      </c>
      <c r="S85" s="12">
        <f>IF(F85&lt;=R85, "TRIGGER INDENT", "STOCK HEALTHY")</f>
      </c>
      <c r="T85" s="25">
        <f>IF(F85&lt;=R85, ROUND(MAX(H85, (I85+Q85)-F85), 2), 0)</f>
      </c>
    </row>
    <row r="86" ht="20" customHeight="1" spans="1:20" x14ac:dyDescent="0.25">
      <c r="A86" s="14" t="s">
        <v>310</v>
      </c>
      <c r="B86" s="14" t="s">
        <v>311</v>
      </c>
      <c r="C86" s="14" t="s">
        <v>154</v>
      </c>
      <c r="D86" s="14" t="s">
        <v>139</v>
      </c>
      <c r="E86" s="26">
        <v>817.4299926757812</v>
      </c>
      <c r="F86" s="27">
        <v>73.59999</v>
      </c>
      <c r="G86" s="14" t="s">
        <v>97</v>
      </c>
      <c r="H86" s="27">
        <v>8.83</v>
      </c>
      <c r="I86" s="27">
        <f>ROUND(H86*1.0, 2)</f>
      </c>
      <c r="J86" s="27">
        <f>ROUND(H86*0.95, 2)</f>
      </c>
      <c r="K86" s="27">
        <f>ROUND(H86*0.95, 2)</f>
      </c>
      <c r="L86" s="27">
        <f>ROUND(H86*1.05, 2)</f>
      </c>
      <c r="M86" s="27">
        <f>ROUND(H86*1.25, 2)</f>
      </c>
      <c r="N86" s="27">
        <f>ROUND(H86*1.55, 2)</f>
      </c>
      <c r="O86" s="27">
        <f>ROUND(H86*1.65, 2)</f>
      </c>
      <c r="P86" s="27">
        <f>SUM(I86:O86)</f>
      </c>
      <c r="Q86" s="27">
        <f>ROUND(H86*1.5, 2)</f>
      </c>
      <c r="R86" s="27">
        <f>ROUND(H86*2.0, 2)</f>
      </c>
      <c r="S86" s="14">
        <f>IF(F86&lt;=R86, "TRIGGER INDENT", "STOCK HEALTHY")</f>
      </c>
      <c r="T86" s="27">
        <f>IF(F86&lt;=R86, ROUND(MAX(H86, (I86+Q86)-F86), 2), 0)</f>
      </c>
    </row>
    <row r="87" ht="20" customHeight="1" spans="1:20" x14ac:dyDescent="0.25">
      <c r="A87" s="12" t="s">
        <v>312</v>
      </c>
      <c r="B87" s="12" t="s">
        <v>313</v>
      </c>
      <c r="C87" s="12" t="s">
        <v>314</v>
      </c>
      <c r="D87" s="12" t="s">
        <v>135</v>
      </c>
      <c r="E87" s="24">
        <v>18.899999618530273</v>
      </c>
      <c r="F87" s="25">
        <v>6384</v>
      </c>
      <c r="G87" s="12" t="s">
        <v>85</v>
      </c>
      <c r="H87" s="25">
        <v>319.2</v>
      </c>
      <c r="I87" s="25">
        <f>ROUND(H87*1.0, 2)</f>
      </c>
      <c r="J87" s="25">
        <f>ROUND(H87*0.95, 2)</f>
      </c>
      <c r="K87" s="25">
        <f>ROUND(H87*0.95, 2)</f>
      </c>
      <c r="L87" s="25">
        <f>ROUND(H87*1.05, 2)</f>
      </c>
      <c r="M87" s="25">
        <f>ROUND(H87*1.25, 2)</f>
      </c>
      <c r="N87" s="25">
        <f>ROUND(H87*1.55, 2)</f>
      </c>
      <c r="O87" s="25">
        <f>ROUND(H87*1.65, 2)</f>
      </c>
      <c r="P87" s="25">
        <f>SUM(I87:O87)</f>
      </c>
      <c r="Q87" s="25">
        <f>ROUND(H87*1.5, 2)</f>
      </c>
      <c r="R87" s="25">
        <f>ROUND(H87*2.0, 2)</f>
      </c>
      <c r="S87" s="12">
        <f>IF(F87&lt;=R87, "TRIGGER INDENT", "STOCK HEALTHY")</f>
      </c>
      <c r="T87" s="25">
        <f>IF(F87&lt;=R87, ROUND(MAX(H87, (I87+Q87)-F87), 2), 0)</f>
      </c>
    </row>
    <row r="88" ht="20" customHeight="1" spans="1:20" x14ac:dyDescent="0.25">
      <c r="A88" s="14" t="s">
        <v>315</v>
      </c>
      <c r="B88" s="14" t="s">
        <v>316</v>
      </c>
      <c r="C88" s="14" t="s">
        <v>126</v>
      </c>
      <c r="D88" s="14" t="s">
        <v>127</v>
      </c>
      <c r="E88" s="26">
        <v>0.009999999776482582</v>
      </c>
      <c r="F88" s="27">
        <v>25584</v>
      </c>
      <c r="G88" s="14" t="s">
        <v>45</v>
      </c>
      <c r="H88" s="27">
        <v>1279.2</v>
      </c>
      <c r="I88" s="27">
        <f>ROUND(H88*1.0, 2)</f>
      </c>
      <c r="J88" s="27">
        <f>ROUND(H88*0.95, 2)</f>
      </c>
      <c r="K88" s="27">
        <f>ROUND(H88*0.95, 2)</f>
      </c>
      <c r="L88" s="27">
        <f>ROUND(H88*1.05, 2)</f>
      </c>
      <c r="M88" s="27">
        <f>ROUND(H88*1.25, 2)</f>
      </c>
      <c r="N88" s="27">
        <f>ROUND(H88*1.55, 2)</f>
      </c>
      <c r="O88" s="27">
        <f>ROUND(H88*1.65, 2)</f>
      </c>
      <c r="P88" s="27">
        <f>SUM(I88:O88)</f>
      </c>
      <c r="Q88" s="27">
        <f>ROUND(H88*1.5, 2)</f>
      </c>
      <c r="R88" s="27">
        <f>ROUND(H88*2.0, 2)</f>
      </c>
      <c r="S88" s="14">
        <f>IF(F88&lt;=R88, "TRIGGER INDENT", "STOCK HEALTHY")</f>
      </c>
      <c r="T88" s="27">
        <f>IF(F88&lt;=R88, ROUND(MAX(H88, (I88+Q88)-F88), 2), 0)</f>
      </c>
    </row>
    <row r="89" ht="20" customHeight="1" spans="1:20" x14ac:dyDescent="0.25">
      <c r="A89" s="12" t="s">
        <v>317</v>
      </c>
      <c r="B89" s="12" t="s">
        <v>318</v>
      </c>
      <c r="C89" s="12" t="s">
        <v>126</v>
      </c>
      <c r="D89" s="12" t="s">
        <v>139</v>
      </c>
      <c r="E89" s="24">
        <v>280.2099914550781</v>
      </c>
      <c r="F89" s="25">
        <v>1.5100002</v>
      </c>
      <c r="G89" s="12" t="s">
        <v>97</v>
      </c>
      <c r="H89" s="25">
        <v>1</v>
      </c>
      <c r="I89" s="25">
        <f>ROUND(H89*1.0, 2)</f>
      </c>
      <c r="J89" s="25">
        <f>ROUND(H89*0.95, 2)</f>
      </c>
      <c r="K89" s="25">
        <f>ROUND(H89*0.95, 2)</f>
      </c>
      <c r="L89" s="25">
        <f>ROUND(H89*1.05, 2)</f>
      </c>
      <c r="M89" s="25">
        <f>ROUND(H89*1.25, 2)</f>
      </c>
      <c r="N89" s="25">
        <f>ROUND(H89*1.55, 2)</f>
      </c>
      <c r="O89" s="25">
        <f>ROUND(H89*1.65, 2)</f>
      </c>
      <c r="P89" s="25">
        <f>SUM(I89:O89)</f>
      </c>
      <c r="Q89" s="25">
        <f>ROUND(H89*1.5, 2)</f>
      </c>
      <c r="R89" s="25">
        <f>ROUND(H89*2.0, 2)</f>
      </c>
      <c r="S89" s="12">
        <f>IF(F89&lt;=R89, "TRIGGER INDENT", "STOCK HEALTHY")</f>
      </c>
      <c r="T89" s="25">
        <f>IF(F89&lt;=R89, ROUND(MAX(H89, (I89+Q89)-F89), 2), 0)</f>
      </c>
    </row>
    <row r="90" ht="20" customHeight="1" spans="1:20" x14ac:dyDescent="0.25">
      <c r="A90" s="14" t="s">
        <v>319</v>
      </c>
      <c r="B90" s="14" t="s">
        <v>320</v>
      </c>
      <c r="C90" s="14" t="s">
        <v>126</v>
      </c>
      <c r="D90" s="14" t="s">
        <v>139</v>
      </c>
      <c r="E90" s="26">
        <v>932.260009765625</v>
      </c>
      <c r="F90" s="27">
        <v>384</v>
      </c>
      <c r="G90" s="14" t="s">
        <v>97</v>
      </c>
      <c r="H90" s="27">
        <v>30.72</v>
      </c>
      <c r="I90" s="27">
        <f>ROUND(H90*1.0, 2)</f>
      </c>
      <c r="J90" s="27">
        <f>ROUND(H90*0.95, 2)</f>
      </c>
      <c r="K90" s="27">
        <f>ROUND(H90*0.95, 2)</f>
      </c>
      <c r="L90" s="27">
        <f>ROUND(H90*1.05, 2)</f>
      </c>
      <c r="M90" s="27">
        <f>ROUND(H90*1.25, 2)</f>
      </c>
      <c r="N90" s="27">
        <f>ROUND(H90*1.55, 2)</f>
      </c>
      <c r="O90" s="27">
        <f>ROUND(H90*1.65, 2)</f>
      </c>
      <c r="P90" s="27">
        <f>SUM(I90:O90)</f>
      </c>
      <c r="Q90" s="27">
        <f>ROUND(H90*1.5, 2)</f>
      </c>
      <c r="R90" s="27">
        <f>ROUND(H90*2.0, 2)</f>
      </c>
      <c r="S90" s="14">
        <f>IF(F90&lt;=R90, "TRIGGER INDENT", "STOCK HEALTHY")</f>
      </c>
      <c r="T90" s="27">
        <f>IF(F90&lt;=R90, ROUND(MAX(H90, (I90+Q90)-F90), 2), 0)</f>
      </c>
    </row>
    <row r="91" ht="20" customHeight="1" spans="1:20" x14ac:dyDescent="0.25">
      <c r="A91" s="12" t="s">
        <v>321</v>
      </c>
      <c r="B91" s="12" t="s">
        <v>322</v>
      </c>
      <c r="C91" s="12" t="s">
        <v>154</v>
      </c>
      <c r="D91" s="12" t="s">
        <v>139</v>
      </c>
      <c r="E91" s="24">
        <v>353.25</v>
      </c>
      <c r="F91" s="25">
        <v>16</v>
      </c>
      <c r="G91" s="12" t="s">
        <v>79</v>
      </c>
      <c r="H91" s="25">
        <v>3.2</v>
      </c>
      <c r="I91" s="25">
        <f>ROUND(H91*1.0, 2)</f>
      </c>
      <c r="J91" s="25">
        <f>ROUND(H91*0.95, 2)</f>
      </c>
      <c r="K91" s="25">
        <f>ROUND(H91*0.95, 2)</f>
      </c>
      <c r="L91" s="25">
        <f>ROUND(H91*1.05, 2)</f>
      </c>
      <c r="M91" s="25">
        <f>ROUND(H91*1.25, 2)</f>
      </c>
      <c r="N91" s="25">
        <f>ROUND(H91*1.55, 2)</f>
      </c>
      <c r="O91" s="25">
        <f>ROUND(H91*1.65, 2)</f>
      </c>
      <c r="P91" s="25">
        <f>SUM(I91:O91)</f>
      </c>
      <c r="Q91" s="25">
        <f>ROUND(H91*1.5, 2)</f>
      </c>
      <c r="R91" s="25">
        <f>ROUND(H91*2.0, 2)</f>
      </c>
      <c r="S91" s="12">
        <f>IF(F91&lt;=R91, "TRIGGER INDENT", "STOCK HEALTHY")</f>
      </c>
      <c r="T91" s="25">
        <f>IF(F91&lt;=R91, ROUND(MAX(H91, (I91+Q91)-F91), 2), 0)</f>
      </c>
    </row>
    <row r="92" ht="20" customHeight="1" spans="1:20" x14ac:dyDescent="0.25">
      <c r="A92" s="14" t="s">
        <v>323</v>
      </c>
      <c r="B92" s="14" t="s">
        <v>324</v>
      </c>
      <c r="C92" s="14" t="s">
        <v>151</v>
      </c>
      <c r="D92" s="14" t="s">
        <v>139</v>
      </c>
      <c r="E92" s="26">
        <v>29.8700008392334</v>
      </c>
      <c r="F92" s="27">
        <v>320</v>
      </c>
      <c r="G92" s="14" t="s">
        <v>55</v>
      </c>
      <c r="H92" s="27">
        <v>0.25</v>
      </c>
      <c r="I92" s="27">
        <f>ROUND(H92*1.0, 2)</f>
      </c>
      <c r="J92" s="27">
        <f>ROUND(H92*0.95, 2)</f>
      </c>
      <c r="K92" s="27">
        <f>ROUND(H92*0.95, 2)</f>
      </c>
      <c r="L92" s="27">
        <f>ROUND(H92*1.05, 2)</f>
      </c>
      <c r="M92" s="27">
        <f>ROUND(H92*1.25, 2)</f>
      </c>
      <c r="N92" s="27">
        <f>ROUND(H92*1.55, 2)</f>
      </c>
      <c r="O92" s="27">
        <f>ROUND(H92*1.65, 2)</f>
      </c>
      <c r="P92" s="27">
        <f>SUM(I92:O92)</f>
      </c>
      <c r="Q92" s="27">
        <f>ROUND(H92*1.5, 2)</f>
      </c>
      <c r="R92" s="27">
        <f>ROUND(H92*2.0, 2)</f>
      </c>
      <c r="S92" s="14">
        <f>IF(F92&lt;=R92, "TRIGGER INDENT", "STOCK HEALTHY")</f>
      </c>
      <c r="T92" s="27">
        <f>IF(F92&lt;=R92, ROUND(MAX(H92, (I92+Q92)-F92), 2), 0)</f>
      </c>
    </row>
    <row r="93" ht="20" customHeight="1" spans="1:20" x14ac:dyDescent="0.25">
      <c r="A93" s="12" t="s">
        <v>325</v>
      </c>
      <c r="B93" s="12" t="s">
        <v>326</v>
      </c>
      <c r="C93" s="12" t="s">
        <v>238</v>
      </c>
      <c r="D93" s="12" t="s">
        <v>127</v>
      </c>
      <c r="E93" s="24">
        <v>167.22000122070312</v>
      </c>
      <c r="F93" s="25">
        <v>304</v>
      </c>
      <c r="G93" s="12" t="s">
        <v>67</v>
      </c>
      <c r="H93" s="25">
        <v>24.32</v>
      </c>
      <c r="I93" s="25">
        <f>ROUND(H93*1.0, 2)</f>
      </c>
      <c r="J93" s="25">
        <f>ROUND(H93*0.95, 2)</f>
      </c>
      <c r="K93" s="25">
        <f>ROUND(H93*0.95, 2)</f>
      </c>
      <c r="L93" s="25">
        <f>ROUND(H93*1.05, 2)</f>
      </c>
      <c r="M93" s="25">
        <f>ROUND(H93*1.25, 2)</f>
      </c>
      <c r="N93" s="25">
        <f>ROUND(H93*1.55, 2)</f>
      </c>
      <c r="O93" s="25">
        <f>ROUND(H93*1.65, 2)</f>
      </c>
      <c r="P93" s="25">
        <f>SUM(I93:O93)</f>
      </c>
      <c r="Q93" s="25">
        <f>ROUND(H93*1.5, 2)</f>
      </c>
      <c r="R93" s="25">
        <f>ROUND(H93*2.0, 2)</f>
      </c>
      <c r="S93" s="12">
        <f>IF(F93&lt;=R93, "TRIGGER INDENT", "STOCK HEALTHY")</f>
      </c>
      <c r="T93" s="25">
        <f>IF(F93&lt;=R93, ROUND(MAX(H93, (I93+Q93)-F93), 2), 0)</f>
      </c>
    </row>
    <row r="94" ht="20" customHeight="1" spans="1:20" x14ac:dyDescent="0.25">
      <c r="A94" s="14" t="s">
        <v>327</v>
      </c>
      <c r="B94" s="14" t="s">
        <v>328</v>
      </c>
      <c r="C94" s="14" t="s">
        <v>238</v>
      </c>
      <c r="D94" s="14" t="s">
        <v>139</v>
      </c>
      <c r="E94" s="26">
        <v>65.5</v>
      </c>
      <c r="F94" s="27">
        <v>656</v>
      </c>
      <c r="G94" s="14" t="s">
        <v>55</v>
      </c>
      <c r="H94" s="27">
        <v>10</v>
      </c>
      <c r="I94" s="27">
        <f>ROUND(H94*1.0, 2)</f>
      </c>
      <c r="J94" s="27">
        <f>ROUND(H94*0.95, 2)</f>
      </c>
      <c r="K94" s="27">
        <f>ROUND(H94*0.95, 2)</f>
      </c>
      <c r="L94" s="27">
        <f>ROUND(H94*1.05, 2)</f>
      </c>
      <c r="M94" s="27">
        <f>ROUND(H94*1.25, 2)</f>
      </c>
      <c r="N94" s="27">
        <f>ROUND(H94*1.55, 2)</f>
      </c>
      <c r="O94" s="27">
        <f>ROUND(H94*1.65, 2)</f>
      </c>
      <c r="P94" s="27">
        <f>SUM(I94:O94)</f>
      </c>
      <c r="Q94" s="27">
        <f>ROUND(H94*1.5, 2)</f>
      </c>
      <c r="R94" s="27">
        <f>ROUND(H94*2.0, 2)</f>
      </c>
      <c r="S94" s="14">
        <f>IF(F94&lt;=R94, "TRIGGER INDENT", "STOCK HEALTHY")</f>
      </c>
      <c r="T94" s="27">
        <f>IF(F94&lt;=R94, ROUND(MAX(H94, (I94+Q94)-F94), 2), 0)</f>
      </c>
    </row>
    <row r="95" ht="20" customHeight="1" spans="1:20" x14ac:dyDescent="0.25">
      <c r="A95" s="12" t="s">
        <v>329</v>
      </c>
      <c r="B95" s="12" t="s">
        <v>330</v>
      </c>
      <c r="C95" s="12" t="s">
        <v>238</v>
      </c>
      <c r="D95" s="12" t="s">
        <v>127</v>
      </c>
      <c r="E95" s="24">
        <v>9.369999885559082</v>
      </c>
      <c r="F95" s="25">
        <v>5760</v>
      </c>
      <c r="G95" s="12" t="s">
        <v>85</v>
      </c>
      <c r="H95" s="25">
        <v>288</v>
      </c>
      <c r="I95" s="25">
        <f>ROUND(H95*1.0, 2)</f>
      </c>
      <c r="J95" s="25">
        <f>ROUND(H95*0.95, 2)</f>
      </c>
      <c r="K95" s="25">
        <f>ROUND(H95*0.95, 2)</f>
      </c>
      <c r="L95" s="25">
        <f>ROUND(H95*1.05, 2)</f>
      </c>
      <c r="M95" s="25">
        <f>ROUND(H95*1.25, 2)</f>
      </c>
      <c r="N95" s="25">
        <f>ROUND(H95*1.55, 2)</f>
      </c>
      <c r="O95" s="25">
        <f>ROUND(H95*1.65, 2)</f>
      </c>
      <c r="P95" s="25">
        <f>SUM(I95:O95)</f>
      </c>
      <c r="Q95" s="25">
        <f>ROUND(H95*1.5, 2)</f>
      </c>
      <c r="R95" s="25">
        <f>ROUND(H95*2.0, 2)</f>
      </c>
      <c r="S95" s="12">
        <f>IF(F95&lt;=R95, "TRIGGER INDENT", "STOCK HEALTHY")</f>
      </c>
      <c r="T95" s="25">
        <f>IF(F95&lt;=R95, ROUND(MAX(H95, (I95+Q95)-F95), 2), 0)</f>
      </c>
    </row>
    <row r="96" ht="20" customHeight="1" spans="1:20" x14ac:dyDescent="0.25">
      <c r="A96" s="14" t="s">
        <v>331</v>
      </c>
      <c r="B96" s="14" t="s">
        <v>332</v>
      </c>
      <c r="C96" s="14" t="s">
        <v>154</v>
      </c>
      <c r="D96" s="14" t="s">
        <v>139</v>
      </c>
      <c r="E96" s="26">
        <v>122.86000061035156</v>
      </c>
      <c r="F96" s="27">
        <v>16</v>
      </c>
      <c r="G96" s="14" t="s">
        <v>55</v>
      </c>
      <c r="H96" s="27">
        <v>3.2</v>
      </c>
      <c r="I96" s="27">
        <f>ROUND(H96*1.0, 2)</f>
      </c>
      <c r="J96" s="27">
        <f>ROUND(H96*0.95, 2)</f>
      </c>
      <c r="K96" s="27">
        <f>ROUND(H96*0.95, 2)</f>
      </c>
      <c r="L96" s="27">
        <f>ROUND(H96*1.05, 2)</f>
      </c>
      <c r="M96" s="27">
        <f>ROUND(H96*1.25, 2)</f>
      </c>
      <c r="N96" s="27">
        <f>ROUND(H96*1.55, 2)</f>
      </c>
      <c r="O96" s="27">
        <f>ROUND(H96*1.65, 2)</f>
      </c>
      <c r="P96" s="27">
        <f>SUM(I96:O96)</f>
      </c>
      <c r="Q96" s="27">
        <f>ROUND(H96*1.5, 2)</f>
      </c>
      <c r="R96" s="27">
        <f>ROUND(H96*2.0, 2)</f>
      </c>
      <c r="S96" s="14">
        <f>IF(F96&lt;=R96, "TRIGGER INDENT", "STOCK HEALTHY")</f>
      </c>
      <c r="T96" s="27">
        <f>IF(F96&lt;=R96, ROUND(MAX(H96, (I96+Q96)-F96), 2), 0)</f>
      </c>
    </row>
    <row r="97" ht="20" customHeight="1" spans="1:20" x14ac:dyDescent="0.25">
      <c r="A97" s="12" t="s">
        <v>333</v>
      </c>
      <c r="B97" s="12" t="s">
        <v>334</v>
      </c>
      <c r="C97" s="12" t="s">
        <v>154</v>
      </c>
      <c r="D97" s="12" t="s">
        <v>139</v>
      </c>
      <c r="E97" s="24">
        <v>152.86000061035156</v>
      </c>
      <c r="F97" s="25">
        <v>1.5100002</v>
      </c>
      <c r="G97" s="12" t="s">
        <v>45</v>
      </c>
      <c r="H97" s="25">
        <v>1</v>
      </c>
      <c r="I97" s="25">
        <f>ROUND(H97*1.0, 2)</f>
      </c>
      <c r="J97" s="25">
        <f>ROUND(H97*0.95, 2)</f>
      </c>
      <c r="K97" s="25">
        <f>ROUND(H97*0.95, 2)</f>
      </c>
      <c r="L97" s="25">
        <f>ROUND(H97*1.05, 2)</f>
      </c>
      <c r="M97" s="25">
        <f>ROUND(H97*1.25, 2)</f>
      </c>
      <c r="N97" s="25">
        <f>ROUND(H97*1.55, 2)</f>
      </c>
      <c r="O97" s="25">
        <f>ROUND(H97*1.65, 2)</f>
      </c>
      <c r="P97" s="25">
        <f>SUM(I97:O97)</f>
      </c>
      <c r="Q97" s="25">
        <f>ROUND(H97*1.5, 2)</f>
      </c>
      <c r="R97" s="25">
        <f>ROUND(H97*2.0, 2)</f>
      </c>
      <c r="S97" s="12">
        <f>IF(F97&lt;=R97, "TRIGGER INDENT", "STOCK HEALTHY")</f>
      </c>
      <c r="T97" s="25">
        <f>IF(F97&lt;=R97, ROUND(MAX(H97, (I97+Q97)-F97), 2), 0)</f>
      </c>
    </row>
    <row r="98" ht="20" customHeight="1" spans="1:20" x14ac:dyDescent="0.25">
      <c r="A98" s="14" t="s">
        <v>335</v>
      </c>
      <c r="B98" s="14" t="s">
        <v>336</v>
      </c>
      <c r="C98" s="14" t="s">
        <v>138</v>
      </c>
      <c r="D98" s="14" t="s">
        <v>139</v>
      </c>
      <c r="E98" s="26">
        <v>304.6700134277344</v>
      </c>
      <c r="F98" s="27">
        <v>40</v>
      </c>
      <c r="G98" s="14" t="s">
        <v>67</v>
      </c>
      <c r="H98" s="27">
        <v>0.5</v>
      </c>
      <c r="I98" s="27">
        <f>ROUND(H98*1.0, 2)</f>
      </c>
      <c r="J98" s="27">
        <f>ROUND(H98*0.95, 2)</f>
      </c>
      <c r="K98" s="27">
        <f>ROUND(H98*0.95, 2)</f>
      </c>
      <c r="L98" s="27">
        <f>ROUND(H98*1.05, 2)</f>
      </c>
      <c r="M98" s="27">
        <f>ROUND(H98*1.25, 2)</f>
      </c>
      <c r="N98" s="27">
        <f>ROUND(H98*1.55, 2)</f>
      </c>
      <c r="O98" s="27">
        <f>ROUND(H98*1.65, 2)</f>
      </c>
      <c r="P98" s="27">
        <f>SUM(I98:O98)</f>
      </c>
      <c r="Q98" s="27">
        <f>ROUND(H98*1.5, 2)</f>
      </c>
      <c r="R98" s="27">
        <f>ROUND(H98*2.0, 2)</f>
      </c>
      <c r="S98" s="14">
        <f>IF(F98&lt;=R98, "TRIGGER INDENT", "STOCK HEALTHY")</f>
      </c>
      <c r="T98" s="27">
        <f>IF(F98&lt;=R98, ROUND(MAX(H98, (I98+Q98)-F98), 2), 0)</f>
      </c>
    </row>
    <row r="99" ht="20" customHeight="1" spans="1:20" x14ac:dyDescent="0.25">
      <c r="A99" s="12" t="s">
        <v>337</v>
      </c>
      <c r="B99" s="12" t="s">
        <v>338</v>
      </c>
      <c r="C99" s="12" t="s">
        <v>304</v>
      </c>
      <c r="D99" s="12" t="s">
        <v>139</v>
      </c>
      <c r="E99" s="24">
        <v>185.52000427246094</v>
      </c>
      <c r="F99" s="25">
        <v>32</v>
      </c>
      <c r="G99" s="12" t="s">
        <v>67</v>
      </c>
      <c r="H99" s="25">
        <v>6.4</v>
      </c>
      <c r="I99" s="25">
        <f>ROUND(H99*1.0, 2)</f>
      </c>
      <c r="J99" s="25">
        <f>ROUND(H99*0.95, 2)</f>
      </c>
      <c r="K99" s="25">
        <f>ROUND(H99*0.95, 2)</f>
      </c>
      <c r="L99" s="25">
        <f>ROUND(H99*1.05, 2)</f>
      </c>
      <c r="M99" s="25">
        <f>ROUND(H99*1.25, 2)</f>
      </c>
      <c r="N99" s="25">
        <f>ROUND(H99*1.55, 2)</f>
      </c>
      <c r="O99" s="25">
        <f>ROUND(H99*1.65, 2)</f>
      </c>
      <c r="P99" s="25">
        <f>SUM(I99:O99)</f>
      </c>
      <c r="Q99" s="25">
        <f>ROUND(H99*1.5, 2)</f>
      </c>
      <c r="R99" s="25">
        <f>ROUND(H99*2.0, 2)</f>
      </c>
      <c r="S99" s="12">
        <f>IF(F99&lt;=R99, "TRIGGER INDENT", "STOCK HEALTHY")</f>
      </c>
      <c r="T99" s="25">
        <f>IF(F99&lt;=R99, ROUND(MAX(H99, (I99+Q99)-F99), 2), 0)</f>
      </c>
    </row>
    <row r="100" ht="20" customHeight="1" spans="1:20" x14ac:dyDescent="0.25">
      <c r="A100" s="14" t="s">
        <v>339</v>
      </c>
      <c r="B100" s="14" t="s">
        <v>340</v>
      </c>
      <c r="C100" s="14" t="s">
        <v>154</v>
      </c>
      <c r="D100" s="14" t="s">
        <v>139</v>
      </c>
      <c r="E100" s="26">
        <v>250</v>
      </c>
      <c r="F100" s="27">
        <v>1.5100002</v>
      </c>
      <c r="G100" s="14" t="s">
        <v>85</v>
      </c>
      <c r="H100" s="27">
        <v>1</v>
      </c>
      <c r="I100" s="27">
        <f>ROUND(H100*1.0, 2)</f>
      </c>
      <c r="J100" s="27">
        <f>ROUND(H100*0.95, 2)</f>
      </c>
      <c r="K100" s="27">
        <f>ROUND(H100*0.95, 2)</f>
      </c>
      <c r="L100" s="27">
        <f>ROUND(H100*1.05, 2)</f>
      </c>
      <c r="M100" s="27">
        <f>ROUND(H100*1.25, 2)</f>
      </c>
      <c r="N100" s="27">
        <f>ROUND(H100*1.55, 2)</f>
      </c>
      <c r="O100" s="27">
        <f>ROUND(H100*1.65, 2)</f>
      </c>
      <c r="P100" s="27">
        <f>SUM(I100:O100)</f>
      </c>
      <c r="Q100" s="27">
        <f>ROUND(H100*1.5, 2)</f>
      </c>
      <c r="R100" s="27">
        <f>ROUND(H100*2.0, 2)</f>
      </c>
      <c r="S100" s="14">
        <f>IF(F100&lt;=R100, "TRIGGER INDENT", "STOCK HEALTHY")</f>
      </c>
      <c r="T100" s="27">
        <f>IF(F100&lt;=R100, ROUND(MAX(H100, (I100+Q100)-F100), 2), 0)</f>
      </c>
    </row>
    <row r="101" ht="20" customHeight="1" spans="1:20" x14ac:dyDescent="0.25">
      <c r="A101" s="12" t="s">
        <v>341</v>
      </c>
      <c r="B101" s="12" t="s">
        <v>342</v>
      </c>
      <c r="C101" s="12" t="s">
        <v>245</v>
      </c>
      <c r="D101" s="12" t="s">
        <v>246</v>
      </c>
      <c r="E101" s="24">
        <v>849.0900268554688</v>
      </c>
      <c r="F101" s="25">
        <v>1.5100002</v>
      </c>
      <c r="G101" s="12" t="s">
        <v>61</v>
      </c>
      <c r="H101" s="25">
        <v>1</v>
      </c>
      <c r="I101" s="25">
        <f>ROUND(H101*1.0, 2)</f>
      </c>
      <c r="J101" s="25">
        <f>ROUND(H101*0.95, 2)</f>
      </c>
      <c r="K101" s="25">
        <f>ROUND(H101*0.95, 2)</f>
      </c>
      <c r="L101" s="25">
        <f>ROUND(H101*1.05, 2)</f>
      </c>
      <c r="M101" s="25">
        <f>ROUND(H101*1.25, 2)</f>
      </c>
      <c r="N101" s="25">
        <f>ROUND(H101*1.55, 2)</f>
      </c>
      <c r="O101" s="25">
        <f>ROUND(H101*1.65, 2)</f>
      </c>
      <c r="P101" s="25">
        <f>SUM(I101:O101)</f>
      </c>
      <c r="Q101" s="25">
        <f>ROUND(H101*1.5, 2)</f>
      </c>
      <c r="R101" s="25">
        <f>ROUND(H101*2.0, 2)</f>
      </c>
      <c r="S101" s="12">
        <f>IF(F101&lt;=R101, "TRIGGER INDENT", "STOCK HEALTHY")</f>
      </c>
      <c r="T101" s="25">
        <f>IF(F101&lt;=R101, ROUND(MAX(H101, (I101+Q101)-F101), 2), 0)</f>
      </c>
    </row>
    <row r="102" ht="20" customHeight="1" spans="1:20" x14ac:dyDescent="0.25">
      <c r="A102" s="14" t="s">
        <v>343</v>
      </c>
      <c r="B102" s="14" t="s">
        <v>344</v>
      </c>
      <c r="C102" s="14" t="s">
        <v>126</v>
      </c>
      <c r="D102" s="14" t="s">
        <v>127</v>
      </c>
      <c r="E102" s="26">
        <v>12.5</v>
      </c>
      <c r="F102" s="27">
        <v>36144</v>
      </c>
      <c r="G102" s="14" t="s">
        <v>79</v>
      </c>
      <c r="H102" s="27">
        <v>1807.2</v>
      </c>
      <c r="I102" s="27">
        <f>ROUND(H102*1.0, 2)</f>
      </c>
      <c r="J102" s="27">
        <f>ROUND(H102*0.95, 2)</f>
      </c>
      <c r="K102" s="27">
        <f>ROUND(H102*0.95, 2)</f>
      </c>
      <c r="L102" s="27">
        <f>ROUND(H102*1.05, 2)</f>
      </c>
      <c r="M102" s="27">
        <f>ROUND(H102*1.25, 2)</f>
      </c>
      <c r="N102" s="27">
        <f>ROUND(H102*1.55, 2)</f>
      </c>
      <c r="O102" s="27">
        <f>ROUND(H102*1.65, 2)</f>
      </c>
      <c r="P102" s="27">
        <f>SUM(I102:O102)</f>
      </c>
      <c r="Q102" s="27">
        <f>ROUND(H102*1.5, 2)</f>
      </c>
      <c r="R102" s="27">
        <f>ROUND(H102*2.0, 2)</f>
      </c>
      <c r="S102" s="14">
        <f>IF(F102&lt;=R102, "TRIGGER INDENT", "STOCK HEALTHY")</f>
      </c>
      <c r="T102" s="27">
        <f>IF(F102&lt;=R102, ROUND(MAX(H102, (I102+Q102)-F102), 2), 0)</f>
      </c>
    </row>
    <row r="103" ht="20" customHeight="1" spans="1:20" x14ac:dyDescent="0.25">
      <c r="A103" s="12" t="s">
        <v>345</v>
      </c>
      <c r="B103" s="12" t="s">
        <v>346</v>
      </c>
      <c r="C103" s="12" t="s">
        <v>138</v>
      </c>
      <c r="D103" s="12" t="s">
        <v>139</v>
      </c>
      <c r="E103" s="24">
        <v>152.6699981689453</v>
      </c>
      <c r="F103" s="25">
        <v>283.19998</v>
      </c>
      <c r="G103" s="12" t="s">
        <v>91</v>
      </c>
      <c r="H103" s="25">
        <v>3</v>
      </c>
      <c r="I103" s="25">
        <f>ROUND(H103*1.0, 2)</f>
      </c>
      <c r="J103" s="25">
        <f>ROUND(H103*0.95, 2)</f>
      </c>
      <c r="K103" s="25">
        <f>ROUND(H103*0.95, 2)</f>
      </c>
      <c r="L103" s="25">
        <f>ROUND(H103*1.05, 2)</f>
      </c>
      <c r="M103" s="25">
        <f>ROUND(H103*1.25, 2)</f>
      </c>
      <c r="N103" s="25">
        <f>ROUND(H103*1.55, 2)</f>
      </c>
      <c r="O103" s="25">
        <f>ROUND(H103*1.65, 2)</f>
      </c>
      <c r="P103" s="25">
        <f>SUM(I103:O103)</f>
      </c>
      <c r="Q103" s="25">
        <f>ROUND(H103*1.5, 2)</f>
      </c>
      <c r="R103" s="25">
        <f>ROUND(H103*2.0, 2)</f>
      </c>
      <c r="S103" s="12">
        <f>IF(F103&lt;=R103, "TRIGGER INDENT", "STOCK HEALTHY")</f>
      </c>
      <c r="T103" s="25">
        <f>IF(F103&lt;=R103, ROUND(MAX(H103, (I103+Q103)-F103), 2), 0)</f>
      </c>
    </row>
    <row r="104" ht="20" customHeight="1" spans="1:20" x14ac:dyDescent="0.25">
      <c r="A104" s="14" t="s">
        <v>347</v>
      </c>
      <c r="B104" s="14" t="s">
        <v>348</v>
      </c>
      <c r="C104" s="14" t="s">
        <v>138</v>
      </c>
      <c r="D104" s="14" t="s">
        <v>139</v>
      </c>
      <c r="E104" s="26">
        <v>186.4499969482422</v>
      </c>
      <c r="F104" s="27">
        <v>123.19998</v>
      </c>
      <c r="G104" s="14" t="s">
        <v>91</v>
      </c>
      <c r="H104" s="27">
        <v>300</v>
      </c>
      <c r="I104" s="27">
        <f>ROUND(H104*1.0, 2)</f>
      </c>
      <c r="J104" s="27">
        <f>ROUND(H104*0.95, 2)</f>
      </c>
      <c r="K104" s="27">
        <f>ROUND(H104*0.95, 2)</f>
      </c>
      <c r="L104" s="27">
        <f>ROUND(H104*1.05, 2)</f>
      </c>
      <c r="M104" s="27">
        <f>ROUND(H104*1.25, 2)</f>
      </c>
      <c r="N104" s="27">
        <f>ROUND(H104*1.55, 2)</f>
      </c>
      <c r="O104" s="27">
        <f>ROUND(H104*1.65, 2)</f>
      </c>
      <c r="P104" s="27">
        <f>SUM(I104:O104)</f>
      </c>
      <c r="Q104" s="27">
        <f>ROUND(H104*1.5, 2)</f>
      </c>
      <c r="R104" s="27">
        <f>ROUND(H104*2.0, 2)</f>
      </c>
      <c r="S104" s="14">
        <f>IF(F104&lt;=R104, "TRIGGER INDENT", "STOCK HEALTHY")</f>
      </c>
      <c r="T104" s="27">
        <f>IF(F104&lt;=R104, ROUND(MAX(H104, (I104+Q104)-F104), 2), 0)</f>
      </c>
    </row>
    <row r="105" ht="20" customHeight="1" spans="1:20" x14ac:dyDescent="0.25">
      <c r="A105" s="12" t="s">
        <v>349</v>
      </c>
      <c r="B105" s="12" t="s">
        <v>350</v>
      </c>
      <c r="C105" s="12" t="s">
        <v>126</v>
      </c>
      <c r="D105" s="12" t="s">
        <v>127</v>
      </c>
      <c r="E105" s="24">
        <v>3.5</v>
      </c>
      <c r="F105" s="25">
        <v>1.5100002</v>
      </c>
      <c r="G105" s="12" t="s">
        <v>97</v>
      </c>
      <c r="H105" s="25">
        <v>1</v>
      </c>
      <c r="I105" s="25">
        <f>ROUND(H105*1.0, 2)</f>
      </c>
      <c r="J105" s="25">
        <f>ROUND(H105*0.95, 2)</f>
      </c>
      <c r="K105" s="25">
        <f>ROUND(H105*0.95, 2)</f>
      </c>
      <c r="L105" s="25">
        <f>ROUND(H105*1.05, 2)</f>
      </c>
      <c r="M105" s="25">
        <f>ROUND(H105*1.25, 2)</f>
      </c>
      <c r="N105" s="25">
        <f>ROUND(H105*1.55, 2)</f>
      </c>
      <c r="O105" s="25">
        <f>ROUND(H105*1.65, 2)</f>
      </c>
      <c r="P105" s="25">
        <f>SUM(I105:O105)</f>
      </c>
      <c r="Q105" s="25">
        <f>ROUND(H105*1.5, 2)</f>
      </c>
      <c r="R105" s="25">
        <f>ROUND(H105*2.0, 2)</f>
      </c>
      <c r="S105" s="12">
        <f>IF(F105&lt;=R105, "TRIGGER INDENT", "STOCK HEALTHY")</f>
      </c>
      <c r="T105" s="25">
        <f>IF(F105&lt;=R105, ROUND(MAX(H105, (I105+Q105)-F105), 2), 0)</f>
      </c>
    </row>
    <row r="106" ht="20" customHeight="1" spans="1:20" x14ac:dyDescent="0.25">
      <c r="A106" s="14" t="s">
        <v>351</v>
      </c>
      <c r="B106" s="14" t="s">
        <v>352</v>
      </c>
      <c r="C106" s="14" t="s">
        <v>126</v>
      </c>
      <c r="D106" s="14" t="s">
        <v>127</v>
      </c>
      <c r="E106" s="26">
        <v>60</v>
      </c>
      <c r="F106" s="27">
        <v>16</v>
      </c>
      <c r="G106" s="14" t="s">
        <v>45</v>
      </c>
      <c r="H106" s="27">
        <v>3.2</v>
      </c>
      <c r="I106" s="27">
        <f>ROUND(H106*1.0, 2)</f>
      </c>
      <c r="J106" s="27">
        <f>ROUND(H106*0.95, 2)</f>
      </c>
      <c r="K106" s="27">
        <f>ROUND(H106*0.95, 2)</f>
      </c>
      <c r="L106" s="27">
        <f>ROUND(H106*1.05, 2)</f>
      </c>
      <c r="M106" s="27">
        <f>ROUND(H106*1.25, 2)</f>
      </c>
      <c r="N106" s="27">
        <f>ROUND(H106*1.55, 2)</f>
      </c>
      <c r="O106" s="27">
        <f>ROUND(H106*1.65, 2)</f>
      </c>
      <c r="P106" s="27">
        <f>SUM(I106:O106)</f>
      </c>
      <c r="Q106" s="27">
        <f>ROUND(H106*1.5, 2)</f>
      </c>
      <c r="R106" s="27">
        <f>ROUND(H106*2.0, 2)</f>
      </c>
      <c r="S106" s="14">
        <f>IF(F106&lt;=R106, "TRIGGER INDENT", "STOCK HEALTHY")</f>
      </c>
      <c r="T106" s="27">
        <f>IF(F106&lt;=R106, ROUND(MAX(H106, (I106+Q106)-F106), 2), 0)</f>
      </c>
    </row>
    <row r="107" ht="20" customHeight="1" spans="1:20" x14ac:dyDescent="0.25">
      <c r="A107" s="12" t="s">
        <v>353</v>
      </c>
      <c r="B107" s="12" t="s">
        <v>354</v>
      </c>
      <c r="C107" s="12" t="s">
        <v>151</v>
      </c>
      <c r="D107" s="12" t="s">
        <v>139</v>
      </c>
      <c r="E107" s="24">
        <v>35</v>
      </c>
      <c r="F107" s="25">
        <v>466.2401</v>
      </c>
      <c r="G107" s="12" t="s">
        <v>91</v>
      </c>
      <c r="H107" s="25">
        <v>37.3</v>
      </c>
      <c r="I107" s="25">
        <f>ROUND(H107*1.0, 2)</f>
      </c>
      <c r="J107" s="25">
        <f>ROUND(H107*0.95, 2)</f>
      </c>
      <c r="K107" s="25">
        <f>ROUND(H107*0.95, 2)</f>
      </c>
      <c r="L107" s="25">
        <f>ROUND(H107*1.05, 2)</f>
      </c>
      <c r="M107" s="25">
        <f>ROUND(H107*1.25, 2)</f>
      </c>
      <c r="N107" s="25">
        <f>ROUND(H107*1.55, 2)</f>
      </c>
      <c r="O107" s="25">
        <f>ROUND(H107*1.65, 2)</f>
      </c>
      <c r="P107" s="25">
        <f>SUM(I107:O107)</f>
      </c>
      <c r="Q107" s="25">
        <f>ROUND(H107*1.5, 2)</f>
      </c>
      <c r="R107" s="25">
        <f>ROUND(H107*2.0, 2)</f>
      </c>
      <c r="S107" s="12">
        <f>IF(F107&lt;=R107, "TRIGGER INDENT", "STOCK HEALTHY")</f>
      </c>
      <c r="T107" s="25">
        <f>IF(F107&lt;=R107, ROUND(MAX(H107, (I107+Q107)-F107), 2), 0)</f>
      </c>
    </row>
    <row r="108" ht="20" customHeight="1" spans="1:20" x14ac:dyDescent="0.25">
      <c r="A108" s="14" t="s">
        <v>355</v>
      </c>
      <c r="B108" s="14" t="s">
        <v>356</v>
      </c>
      <c r="C108" s="14" t="s">
        <v>176</v>
      </c>
      <c r="D108" s="14" t="s">
        <v>139</v>
      </c>
      <c r="E108" s="26">
        <v>28.110000610351562</v>
      </c>
      <c r="F108" s="27">
        <v>524</v>
      </c>
      <c r="G108" s="14" t="s">
        <v>85</v>
      </c>
      <c r="H108" s="27">
        <v>20</v>
      </c>
      <c r="I108" s="27">
        <f>ROUND(H108*1.0, 2)</f>
      </c>
      <c r="J108" s="27">
        <f>ROUND(H108*0.95, 2)</f>
      </c>
      <c r="K108" s="27">
        <f>ROUND(H108*0.95, 2)</f>
      </c>
      <c r="L108" s="27">
        <f>ROUND(H108*1.05, 2)</f>
      </c>
      <c r="M108" s="27">
        <f>ROUND(H108*1.25, 2)</f>
      </c>
      <c r="N108" s="27">
        <f>ROUND(H108*1.55, 2)</f>
      </c>
      <c r="O108" s="27">
        <f>ROUND(H108*1.65, 2)</f>
      </c>
      <c r="P108" s="27">
        <f>SUM(I108:O108)</f>
      </c>
      <c r="Q108" s="27">
        <f>ROUND(H108*1.5, 2)</f>
      </c>
      <c r="R108" s="27">
        <f>ROUND(H108*2.0, 2)</f>
      </c>
      <c r="S108" s="14">
        <f>IF(F108&lt;=R108, "TRIGGER INDENT", "STOCK HEALTHY")</f>
      </c>
      <c r="T108" s="27">
        <f>IF(F108&lt;=R108, ROUND(MAX(H108, (I108+Q108)-F108), 2), 0)</f>
      </c>
    </row>
    <row r="109" ht="20" customHeight="1" spans="1:20" x14ac:dyDescent="0.25">
      <c r="A109" s="12" t="s">
        <v>357</v>
      </c>
      <c r="B109" s="12" t="s">
        <v>358</v>
      </c>
      <c r="C109" s="12" t="s">
        <v>154</v>
      </c>
      <c r="D109" s="12" t="s">
        <v>139</v>
      </c>
      <c r="E109" s="24">
        <v>47.470001220703125</v>
      </c>
      <c r="F109" s="25">
        <v>32</v>
      </c>
      <c r="G109" s="12" t="s">
        <v>85</v>
      </c>
      <c r="H109" s="25">
        <v>3.2</v>
      </c>
      <c r="I109" s="25">
        <f>ROUND(H109*1.0, 2)</f>
      </c>
      <c r="J109" s="25">
        <f>ROUND(H109*0.95, 2)</f>
      </c>
      <c r="K109" s="25">
        <f>ROUND(H109*0.95, 2)</f>
      </c>
      <c r="L109" s="25">
        <f>ROUND(H109*1.05, 2)</f>
      </c>
      <c r="M109" s="25">
        <f>ROUND(H109*1.25, 2)</f>
      </c>
      <c r="N109" s="25">
        <f>ROUND(H109*1.55, 2)</f>
      </c>
      <c r="O109" s="25">
        <f>ROUND(H109*1.65, 2)</f>
      </c>
      <c r="P109" s="25">
        <f>SUM(I109:O109)</f>
      </c>
      <c r="Q109" s="25">
        <f>ROUND(H109*1.5, 2)</f>
      </c>
      <c r="R109" s="25">
        <f>ROUND(H109*2.0, 2)</f>
      </c>
      <c r="S109" s="12">
        <f>IF(F109&lt;=R109, "TRIGGER INDENT", "STOCK HEALTHY")</f>
      </c>
      <c r="T109" s="25">
        <f>IF(F109&lt;=R109, ROUND(MAX(H109, (I109+Q109)-F109), 2), 0)</f>
      </c>
    </row>
    <row r="110" ht="20" customHeight="1" spans="1:20" x14ac:dyDescent="0.25">
      <c r="A110" s="14" t="s">
        <v>359</v>
      </c>
      <c r="B110" s="14" t="s">
        <v>360</v>
      </c>
      <c r="C110" s="14" t="s">
        <v>154</v>
      </c>
      <c r="D110" s="14" t="s">
        <v>139</v>
      </c>
      <c r="E110" s="26">
        <v>379.3599853515625</v>
      </c>
      <c r="F110" s="27">
        <v>343</v>
      </c>
      <c r="G110" s="14" t="s">
        <v>67</v>
      </c>
      <c r="H110" s="27">
        <v>0.85</v>
      </c>
      <c r="I110" s="27">
        <f>ROUND(H110*1.0, 2)</f>
      </c>
      <c r="J110" s="27">
        <f>ROUND(H110*0.95, 2)</f>
      </c>
      <c r="K110" s="27">
        <f>ROUND(H110*0.95, 2)</f>
      </c>
      <c r="L110" s="27">
        <f>ROUND(H110*1.05, 2)</f>
      </c>
      <c r="M110" s="27">
        <f>ROUND(H110*1.25, 2)</f>
      </c>
      <c r="N110" s="27">
        <f>ROUND(H110*1.55, 2)</f>
      </c>
      <c r="O110" s="27">
        <f>ROUND(H110*1.65, 2)</f>
      </c>
      <c r="P110" s="27">
        <f>SUM(I110:O110)</f>
      </c>
      <c r="Q110" s="27">
        <f>ROUND(H110*1.5, 2)</f>
      </c>
      <c r="R110" s="27">
        <f>ROUND(H110*2.0, 2)</f>
      </c>
      <c r="S110" s="14">
        <f>IF(F110&lt;=R110, "TRIGGER INDENT", "STOCK HEALTHY")</f>
      </c>
      <c r="T110" s="27">
        <f>IF(F110&lt;=R110, ROUND(MAX(H110, (I110+Q110)-F110), 2), 0)</f>
      </c>
    </row>
    <row r="111" ht="20" customHeight="1" spans="1:20" x14ac:dyDescent="0.25">
      <c r="A111" s="12" t="s">
        <v>361</v>
      </c>
      <c r="B111" s="12" t="s">
        <v>362</v>
      </c>
      <c r="C111" s="12" t="s">
        <v>221</v>
      </c>
      <c r="D111" s="12" t="s">
        <v>179</v>
      </c>
      <c r="E111" s="24">
        <v>207.11000061035156</v>
      </c>
      <c r="F111" s="25">
        <v>0</v>
      </c>
      <c r="G111" s="12" t="s">
        <v>61</v>
      </c>
      <c r="H111" s="25">
        <v>0.17</v>
      </c>
      <c r="I111" s="25">
        <f>ROUND(H111*1.0, 2)</f>
      </c>
      <c r="J111" s="25">
        <f>ROUND(H111*0.95, 2)</f>
      </c>
      <c r="K111" s="25">
        <f>ROUND(H111*0.95, 2)</f>
      </c>
      <c r="L111" s="25">
        <f>ROUND(H111*1.05, 2)</f>
      </c>
      <c r="M111" s="25">
        <f>ROUND(H111*1.25, 2)</f>
      </c>
      <c r="N111" s="25">
        <f>ROUND(H111*1.55, 2)</f>
      </c>
      <c r="O111" s="25">
        <f>ROUND(H111*1.65, 2)</f>
      </c>
      <c r="P111" s="25">
        <f>SUM(I111:O111)</f>
      </c>
      <c r="Q111" s="25">
        <f>ROUND(H111*1.5, 2)</f>
      </c>
      <c r="R111" s="25">
        <f>ROUND(H111*2.0, 2)</f>
      </c>
      <c r="S111" s="12">
        <f>IF(F111&lt;=R111, "TRIGGER INDENT", "STOCK HEALTHY")</f>
      </c>
      <c r="T111" s="25">
        <f>IF(F111&lt;=R111, ROUND(MAX(H111, (I111+Q111)-F111), 2), 0)</f>
      </c>
    </row>
    <row r="112" ht="20" customHeight="1" spans="1:20" x14ac:dyDescent="0.25">
      <c r="A112" s="14" t="s">
        <v>363</v>
      </c>
      <c r="B112" s="14" t="s">
        <v>364</v>
      </c>
      <c r="C112" s="14" t="s">
        <v>126</v>
      </c>
      <c r="D112" s="14" t="s">
        <v>179</v>
      </c>
      <c r="E112" s="26">
        <v>60</v>
      </c>
      <c r="F112" s="27">
        <v>244</v>
      </c>
      <c r="G112" s="14" t="s">
        <v>79</v>
      </c>
      <c r="H112" s="27">
        <v>12</v>
      </c>
      <c r="I112" s="27">
        <f>ROUND(H112*1.0, 2)</f>
      </c>
      <c r="J112" s="27">
        <f>ROUND(H112*0.95, 2)</f>
      </c>
      <c r="K112" s="27">
        <f>ROUND(H112*0.95, 2)</f>
      </c>
      <c r="L112" s="27">
        <f>ROUND(H112*1.05, 2)</f>
      </c>
      <c r="M112" s="27">
        <f>ROUND(H112*1.25, 2)</f>
      </c>
      <c r="N112" s="27">
        <f>ROUND(H112*1.55, 2)</f>
      </c>
      <c r="O112" s="27">
        <f>ROUND(H112*1.65, 2)</f>
      </c>
      <c r="P112" s="27">
        <f>SUM(I112:O112)</f>
      </c>
      <c r="Q112" s="27">
        <f>ROUND(H112*1.5, 2)</f>
      </c>
      <c r="R112" s="27">
        <f>ROUND(H112*2.0, 2)</f>
      </c>
      <c r="S112" s="14">
        <f>IF(F112&lt;=R112, "TRIGGER INDENT", "STOCK HEALTHY")</f>
      </c>
      <c r="T112" s="27">
        <f>IF(F112&lt;=R112, ROUND(MAX(H112, (I112+Q112)-F112), 2), 0)</f>
      </c>
    </row>
    <row r="113" ht="20" customHeight="1" spans="1:20" x14ac:dyDescent="0.25">
      <c r="A113" s="12" t="s">
        <v>365</v>
      </c>
      <c r="B113" s="12" t="s">
        <v>366</v>
      </c>
      <c r="C113" s="12" t="s">
        <v>126</v>
      </c>
      <c r="D113" s="12" t="s">
        <v>127</v>
      </c>
      <c r="E113" s="24">
        <v>50</v>
      </c>
      <c r="F113" s="25">
        <v>47</v>
      </c>
      <c r="G113" s="12" t="s">
        <v>45</v>
      </c>
      <c r="H113" s="25">
        <v>1</v>
      </c>
      <c r="I113" s="25">
        <f>ROUND(H113*1.0, 2)</f>
      </c>
      <c r="J113" s="25">
        <f>ROUND(H113*0.95, 2)</f>
      </c>
      <c r="K113" s="25">
        <f>ROUND(H113*0.95, 2)</f>
      </c>
      <c r="L113" s="25">
        <f>ROUND(H113*1.05, 2)</f>
      </c>
      <c r="M113" s="25">
        <f>ROUND(H113*1.25, 2)</f>
      </c>
      <c r="N113" s="25">
        <f>ROUND(H113*1.55, 2)</f>
      </c>
      <c r="O113" s="25">
        <f>ROUND(H113*1.65, 2)</f>
      </c>
      <c r="P113" s="25">
        <f>SUM(I113:O113)</f>
      </c>
      <c r="Q113" s="25">
        <f>ROUND(H113*1.5, 2)</f>
      </c>
      <c r="R113" s="25">
        <f>ROUND(H113*2.0, 2)</f>
      </c>
      <c r="S113" s="12">
        <f>IF(F113&lt;=R113, "TRIGGER INDENT", "STOCK HEALTHY")</f>
      </c>
      <c r="T113" s="25">
        <f>IF(F113&lt;=R113, ROUND(MAX(H113, (I113+Q113)-F113), 2), 0)</f>
      </c>
    </row>
    <row r="114" ht="20" customHeight="1" spans="1:20" x14ac:dyDescent="0.25">
      <c r="A114" s="14" t="s">
        <v>367</v>
      </c>
      <c r="B114" s="14" t="s">
        <v>368</v>
      </c>
      <c r="C114" s="14" t="s">
        <v>154</v>
      </c>
      <c r="D114" s="14" t="s">
        <v>139</v>
      </c>
      <c r="E114" s="26">
        <v>82</v>
      </c>
      <c r="F114" s="27">
        <v>2.2300003</v>
      </c>
      <c r="G114" s="14" t="s">
        <v>85</v>
      </c>
      <c r="H114" s="27">
        <v>0.16</v>
      </c>
      <c r="I114" s="27">
        <f>ROUND(H114*1.0, 2)</f>
      </c>
      <c r="J114" s="27">
        <f>ROUND(H114*0.95, 2)</f>
      </c>
      <c r="K114" s="27">
        <f>ROUND(H114*0.95, 2)</f>
      </c>
      <c r="L114" s="27">
        <f>ROUND(H114*1.05, 2)</f>
      </c>
      <c r="M114" s="27">
        <f>ROUND(H114*1.25, 2)</f>
      </c>
      <c r="N114" s="27">
        <f>ROUND(H114*1.55, 2)</f>
      </c>
      <c r="O114" s="27">
        <f>ROUND(H114*1.65, 2)</f>
      </c>
      <c r="P114" s="27">
        <f>SUM(I114:O114)</f>
      </c>
      <c r="Q114" s="27">
        <f>ROUND(H114*1.5, 2)</f>
      </c>
      <c r="R114" s="27">
        <f>ROUND(H114*2.0, 2)</f>
      </c>
      <c r="S114" s="14">
        <f>IF(F114&lt;=R114, "TRIGGER INDENT", "STOCK HEALTHY")</f>
      </c>
      <c r="T114" s="27">
        <f>IF(F114&lt;=R114, ROUND(MAX(H114, (I114+Q114)-F114), 2), 0)</f>
      </c>
    </row>
    <row r="115" ht="20" customHeight="1" spans="1:20" x14ac:dyDescent="0.25">
      <c r="A115" s="12" t="s">
        <v>369</v>
      </c>
      <c r="B115" s="12" t="s">
        <v>370</v>
      </c>
      <c r="C115" s="12" t="s">
        <v>154</v>
      </c>
      <c r="D115" s="12" t="s">
        <v>127</v>
      </c>
      <c r="E115" s="24">
        <v>5.619999885559082</v>
      </c>
      <c r="F115" s="25">
        <v>6010</v>
      </c>
      <c r="G115" s="12" t="s">
        <v>91</v>
      </c>
      <c r="H115" s="25">
        <v>46</v>
      </c>
      <c r="I115" s="25">
        <f>ROUND(H115*1.0, 2)</f>
      </c>
      <c r="J115" s="25">
        <f>ROUND(H115*0.95, 2)</f>
      </c>
      <c r="K115" s="25">
        <f>ROUND(H115*0.95, 2)</f>
      </c>
      <c r="L115" s="25">
        <f>ROUND(H115*1.05, 2)</f>
      </c>
      <c r="M115" s="25">
        <f>ROUND(H115*1.25, 2)</f>
      </c>
      <c r="N115" s="25">
        <f>ROUND(H115*1.55, 2)</f>
      </c>
      <c r="O115" s="25">
        <f>ROUND(H115*1.65, 2)</f>
      </c>
      <c r="P115" s="25">
        <f>SUM(I115:O115)</f>
      </c>
      <c r="Q115" s="25">
        <f>ROUND(H115*1.5, 2)</f>
      </c>
      <c r="R115" s="25">
        <f>ROUND(H115*2.0, 2)</f>
      </c>
      <c r="S115" s="12">
        <f>IF(F115&lt;=R115, "TRIGGER INDENT", "STOCK HEALTHY")</f>
      </c>
      <c r="T115" s="25">
        <f>IF(F115&lt;=R115, ROUND(MAX(H115, (I115+Q115)-F115), 2), 0)</f>
      </c>
    </row>
    <row r="116" ht="20" customHeight="1" spans="1:20" x14ac:dyDescent="0.25">
      <c r="A116" s="14" t="s">
        <v>371</v>
      </c>
      <c r="B116" s="14" t="s">
        <v>372</v>
      </c>
      <c r="C116" s="14" t="s">
        <v>138</v>
      </c>
      <c r="D116" s="14" t="s">
        <v>139</v>
      </c>
      <c r="E116" s="26">
        <v>2961.760009765625</v>
      </c>
      <c r="F116" s="27">
        <v>73.05</v>
      </c>
      <c r="G116" s="14" t="s">
        <v>67</v>
      </c>
      <c r="H116" s="27">
        <v>0.4</v>
      </c>
      <c r="I116" s="27">
        <f>ROUND(H116*1.0, 2)</f>
      </c>
      <c r="J116" s="27">
        <f>ROUND(H116*0.95, 2)</f>
      </c>
      <c r="K116" s="27">
        <f>ROUND(H116*0.95, 2)</f>
      </c>
      <c r="L116" s="27">
        <f>ROUND(H116*1.05, 2)</f>
      </c>
      <c r="M116" s="27">
        <f>ROUND(H116*1.25, 2)</f>
      </c>
      <c r="N116" s="27">
        <f>ROUND(H116*1.55, 2)</f>
      </c>
      <c r="O116" s="27">
        <f>ROUND(H116*1.65, 2)</f>
      </c>
      <c r="P116" s="27">
        <f>SUM(I116:O116)</f>
      </c>
      <c r="Q116" s="27">
        <f>ROUND(H116*1.5, 2)</f>
      </c>
      <c r="R116" s="27">
        <f>ROUND(H116*2.0, 2)</f>
      </c>
      <c r="S116" s="14">
        <f>IF(F116&lt;=R116, "TRIGGER INDENT", "STOCK HEALTHY")</f>
      </c>
      <c r="T116" s="27">
        <f>IF(F116&lt;=R116, ROUND(MAX(H116, (I116+Q116)-F116), 2), 0)</f>
      </c>
    </row>
    <row r="117" ht="20" customHeight="1" spans="1:20" x14ac:dyDescent="0.25">
      <c r="A117" s="12" t="s">
        <v>373</v>
      </c>
      <c r="B117" s="12" t="s">
        <v>374</v>
      </c>
      <c r="C117" s="12" t="s">
        <v>126</v>
      </c>
      <c r="D117" s="12" t="s">
        <v>179</v>
      </c>
      <c r="E117" s="24">
        <v>4.159999847412109</v>
      </c>
      <c r="F117" s="25">
        <v>3900</v>
      </c>
      <c r="G117" s="12" t="s">
        <v>73</v>
      </c>
      <c r="H117" s="25">
        <v>900</v>
      </c>
      <c r="I117" s="25">
        <f>ROUND(H117*1.0, 2)</f>
      </c>
      <c r="J117" s="25">
        <f>ROUND(H117*0.95, 2)</f>
      </c>
      <c r="K117" s="25">
        <f>ROUND(H117*0.95, 2)</f>
      </c>
      <c r="L117" s="25">
        <f>ROUND(H117*1.05, 2)</f>
      </c>
      <c r="M117" s="25">
        <f>ROUND(H117*1.25, 2)</f>
      </c>
      <c r="N117" s="25">
        <f>ROUND(H117*1.55, 2)</f>
      </c>
      <c r="O117" s="25">
        <f>ROUND(H117*1.65, 2)</f>
      </c>
      <c r="P117" s="25">
        <f>SUM(I117:O117)</f>
      </c>
      <c r="Q117" s="25">
        <f>ROUND(H117*1.5, 2)</f>
      </c>
      <c r="R117" s="25">
        <f>ROUND(H117*2.0, 2)</f>
      </c>
      <c r="S117" s="12">
        <f>IF(F117&lt;=R117, "TRIGGER INDENT", "STOCK HEALTHY")</f>
      </c>
      <c r="T117" s="25">
        <f>IF(F117&lt;=R117, ROUND(MAX(H117, (I117+Q117)-F117), 2), 0)</f>
      </c>
    </row>
    <row r="118" ht="20" customHeight="1" spans="1:20" x14ac:dyDescent="0.25">
      <c r="A118" s="14" t="s">
        <v>375</v>
      </c>
      <c r="B118" s="14" t="s">
        <v>376</v>
      </c>
      <c r="C118" s="14" t="s">
        <v>269</v>
      </c>
      <c r="D118" s="14" t="s">
        <v>139</v>
      </c>
      <c r="E118" s="26">
        <v>331.9700012207031</v>
      </c>
      <c r="F118" s="27">
        <v>62.5</v>
      </c>
      <c r="G118" s="14" t="s">
        <v>67</v>
      </c>
      <c r="H118" s="27">
        <v>1.5</v>
      </c>
      <c r="I118" s="27">
        <f>ROUND(H118*1.0, 2)</f>
      </c>
      <c r="J118" s="27">
        <f>ROUND(H118*0.95, 2)</f>
      </c>
      <c r="K118" s="27">
        <f>ROUND(H118*0.95, 2)</f>
      </c>
      <c r="L118" s="27">
        <f>ROUND(H118*1.05, 2)</f>
      </c>
      <c r="M118" s="27">
        <f>ROUND(H118*1.25, 2)</f>
      </c>
      <c r="N118" s="27">
        <f>ROUND(H118*1.55, 2)</f>
      </c>
      <c r="O118" s="27">
        <f>ROUND(H118*1.65, 2)</f>
      </c>
      <c r="P118" s="27">
        <f>SUM(I118:O118)</f>
      </c>
      <c r="Q118" s="27">
        <f>ROUND(H118*1.5, 2)</f>
      </c>
      <c r="R118" s="27">
        <f>ROUND(H118*2.0, 2)</f>
      </c>
      <c r="S118" s="14">
        <f>IF(F118&lt;=R118, "TRIGGER INDENT", "STOCK HEALTHY")</f>
      </c>
      <c r="T118" s="27">
        <f>IF(F118&lt;=R118, ROUND(MAX(H118, (I118+Q118)-F118), 2), 0)</f>
      </c>
    </row>
    <row r="119" ht="20" customHeight="1" spans="1:20" x14ac:dyDescent="0.25">
      <c r="A119" s="12" t="s">
        <v>377</v>
      </c>
      <c r="B119" s="12" t="s">
        <v>378</v>
      </c>
      <c r="C119" s="12" t="s">
        <v>379</v>
      </c>
      <c r="D119" s="12" t="s">
        <v>305</v>
      </c>
      <c r="E119" s="24">
        <v>50</v>
      </c>
      <c r="F119" s="25">
        <v>59.5</v>
      </c>
      <c r="G119" s="12" t="s">
        <v>73</v>
      </c>
      <c r="H119" s="25">
        <v>4.1</v>
      </c>
      <c r="I119" s="25">
        <f>ROUND(H119*1.0, 2)</f>
      </c>
      <c r="J119" s="25">
        <f>ROUND(H119*0.95, 2)</f>
      </c>
      <c r="K119" s="25">
        <f>ROUND(H119*0.95, 2)</f>
      </c>
      <c r="L119" s="25">
        <f>ROUND(H119*1.05, 2)</f>
      </c>
      <c r="M119" s="25">
        <f>ROUND(H119*1.25, 2)</f>
      </c>
      <c r="N119" s="25">
        <f>ROUND(H119*1.55, 2)</f>
      </c>
      <c r="O119" s="25">
        <f>ROUND(H119*1.65, 2)</f>
      </c>
      <c r="P119" s="25">
        <f>SUM(I119:O119)</f>
      </c>
      <c r="Q119" s="25">
        <f>ROUND(H119*1.5, 2)</f>
      </c>
      <c r="R119" s="25">
        <f>ROUND(H119*2.0, 2)</f>
      </c>
      <c r="S119" s="12">
        <f>IF(F119&lt;=R119, "TRIGGER INDENT", "STOCK HEALTHY")</f>
      </c>
      <c r="T119" s="25">
        <f>IF(F119&lt;=R119, ROUND(MAX(H119, (I119+Q119)-F119), 2), 0)</f>
      </c>
    </row>
    <row r="120" ht="20" customHeight="1" spans="1:20" x14ac:dyDescent="0.25">
      <c r="A120" s="14" t="s">
        <v>380</v>
      </c>
      <c r="B120" s="14" t="s">
        <v>381</v>
      </c>
      <c r="C120" s="14" t="s">
        <v>382</v>
      </c>
      <c r="D120" s="14" t="s">
        <v>179</v>
      </c>
      <c r="E120" s="26">
        <v>270.7900085449219</v>
      </c>
      <c r="F120" s="27">
        <v>87</v>
      </c>
      <c r="G120" s="14" t="s">
        <v>61</v>
      </c>
      <c r="H120" s="27">
        <v>1.8</v>
      </c>
      <c r="I120" s="27">
        <f>ROUND(H120*1.0, 2)</f>
      </c>
      <c r="J120" s="27">
        <f>ROUND(H120*0.95, 2)</f>
      </c>
      <c r="K120" s="27">
        <f>ROUND(H120*0.95, 2)</f>
      </c>
      <c r="L120" s="27">
        <f>ROUND(H120*1.05, 2)</f>
      </c>
      <c r="M120" s="27">
        <f>ROUND(H120*1.25, 2)</f>
      </c>
      <c r="N120" s="27">
        <f>ROUND(H120*1.55, 2)</f>
      </c>
      <c r="O120" s="27">
        <f>ROUND(H120*1.65, 2)</f>
      </c>
      <c r="P120" s="27">
        <f>SUM(I120:O120)</f>
      </c>
      <c r="Q120" s="27">
        <f>ROUND(H120*1.5, 2)</f>
      </c>
      <c r="R120" s="27">
        <f>ROUND(H120*2.0, 2)</f>
      </c>
      <c r="S120" s="14">
        <f>IF(F120&lt;=R120, "TRIGGER INDENT", "STOCK HEALTHY")</f>
      </c>
      <c r="T120" s="27">
        <f>IF(F120&lt;=R120, ROUND(MAX(H120, (I120+Q120)-F120), 2), 0)</f>
      </c>
    </row>
    <row r="121" ht="20" customHeight="1" spans="1:20" x14ac:dyDescent="0.25">
      <c r="A121" s="12" t="s">
        <v>383</v>
      </c>
      <c r="B121" s="12" t="s">
        <v>384</v>
      </c>
      <c r="C121" s="12" t="s">
        <v>382</v>
      </c>
      <c r="D121" s="12" t="s">
        <v>139</v>
      </c>
      <c r="E121" s="24">
        <v>110.87999725341797</v>
      </c>
      <c r="F121" s="25">
        <v>144</v>
      </c>
      <c r="G121" s="12" t="s">
        <v>67</v>
      </c>
      <c r="H121" s="25">
        <v>17.28</v>
      </c>
      <c r="I121" s="25">
        <f>ROUND(H121*1.0, 2)</f>
      </c>
      <c r="J121" s="25">
        <f>ROUND(H121*0.95, 2)</f>
      </c>
      <c r="K121" s="25">
        <f>ROUND(H121*0.95, 2)</f>
      </c>
      <c r="L121" s="25">
        <f>ROUND(H121*1.05, 2)</f>
      </c>
      <c r="M121" s="25">
        <f>ROUND(H121*1.25, 2)</f>
      </c>
      <c r="N121" s="25">
        <f>ROUND(H121*1.55, 2)</f>
      </c>
      <c r="O121" s="25">
        <f>ROUND(H121*1.65, 2)</f>
      </c>
      <c r="P121" s="25">
        <f>SUM(I121:O121)</f>
      </c>
      <c r="Q121" s="25">
        <f>ROUND(H121*1.5, 2)</f>
      </c>
      <c r="R121" s="25">
        <f>ROUND(H121*2.0, 2)</f>
      </c>
      <c r="S121" s="12">
        <f>IF(F121&lt;=R121, "TRIGGER INDENT", "STOCK HEALTHY")</f>
      </c>
      <c r="T121" s="25">
        <f>IF(F121&lt;=R121, ROUND(MAX(H121, (I121+Q121)-F121), 2), 0)</f>
      </c>
    </row>
    <row r="122" ht="20" customHeight="1" spans="1:20" x14ac:dyDescent="0.25">
      <c r="A122" s="14" t="s">
        <v>385</v>
      </c>
      <c r="B122" s="14" t="s">
        <v>386</v>
      </c>
      <c r="C122" s="14" t="s">
        <v>154</v>
      </c>
      <c r="D122" s="14" t="s">
        <v>157</v>
      </c>
      <c r="E122" s="26">
        <v>240</v>
      </c>
      <c r="F122" s="27">
        <v>80</v>
      </c>
      <c r="G122" s="14" t="s">
        <v>61</v>
      </c>
      <c r="H122" s="27">
        <v>9.6</v>
      </c>
      <c r="I122" s="27">
        <f>ROUND(H122*1.0, 2)</f>
      </c>
      <c r="J122" s="27">
        <f>ROUND(H122*0.95, 2)</f>
      </c>
      <c r="K122" s="27">
        <f>ROUND(H122*0.95, 2)</f>
      </c>
      <c r="L122" s="27">
        <f>ROUND(H122*1.05, 2)</f>
      </c>
      <c r="M122" s="27">
        <f>ROUND(H122*1.25, 2)</f>
      </c>
      <c r="N122" s="27">
        <f>ROUND(H122*1.55, 2)</f>
      </c>
      <c r="O122" s="27">
        <f>ROUND(H122*1.65, 2)</f>
      </c>
      <c r="P122" s="27">
        <f>SUM(I122:O122)</f>
      </c>
      <c r="Q122" s="27">
        <f>ROUND(H122*1.5, 2)</f>
      </c>
      <c r="R122" s="27">
        <f>ROUND(H122*2.0, 2)</f>
      </c>
      <c r="S122" s="14">
        <f>IF(F122&lt;=R122, "TRIGGER INDENT", "STOCK HEALTHY")</f>
      </c>
      <c r="T122" s="27">
        <f>IF(F122&lt;=R122, ROUND(MAX(H122, (I122+Q122)-F122), 2), 0)</f>
      </c>
    </row>
    <row r="123" ht="20" customHeight="1" spans="1:20" x14ac:dyDescent="0.25">
      <c r="A123" s="12" t="s">
        <v>387</v>
      </c>
      <c r="B123" s="12" t="s">
        <v>388</v>
      </c>
      <c r="C123" s="12" t="s">
        <v>171</v>
      </c>
      <c r="D123" s="12" t="s">
        <v>127</v>
      </c>
      <c r="E123" s="24">
        <v>20</v>
      </c>
      <c r="F123" s="25">
        <v>64</v>
      </c>
      <c r="G123" s="12" t="s">
        <v>85</v>
      </c>
      <c r="H123" s="25">
        <v>7.68</v>
      </c>
      <c r="I123" s="25">
        <f>ROUND(H123*1.0, 2)</f>
      </c>
      <c r="J123" s="25">
        <f>ROUND(H123*0.95, 2)</f>
      </c>
      <c r="K123" s="25">
        <f>ROUND(H123*0.95, 2)</f>
      </c>
      <c r="L123" s="25">
        <f>ROUND(H123*1.05, 2)</f>
      </c>
      <c r="M123" s="25">
        <f>ROUND(H123*1.25, 2)</f>
      </c>
      <c r="N123" s="25">
        <f>ROUND(H123*1.55, 2)</f>
      </c>
      <c r="O123" s="25">
        <f>ROUND(H123*1.65, 2)</f>
      </c>
      <c r="P123" s="25">
        <f>SUM(I123:O123)</f>
      </c>
      <c r="Q123" s="25">
        <f>ROUND(H123*1.5, 2)</f>
      </c>
      <c r="R123" s="25">
        <f>ROUND(H123*2.0, 2)</f>
      </c>
      <c r="S123" s="12">
        <f>IF(F123&lt;=R123, "TRIGGER INDENT", "STOCK HEALTHY")</f>
      </c>
      <c r="T123" s="25">
        <f>IF(F123&lt;=R123, ROUND(MAX(H123, (I123+Q123)-F123), 2), 0)</f>
      </c>
    </row>
    <row r="124" ht="20" customHeight="1" spans="1:20" x14ac:dyDescent="0.25">
      <c r="A124" s="14" t="s">
        <v>389</v>
      </c>
      <c r="B124" s="14" t="s">
        <v>390</v>
      </c>
      <c r="C124" s="14" t="s">
        <v>138</v>
      </c>
      <c r="D124" s="14" t="s">
        <v>179</v>
      </c>
      <c r="E124" s="26">
        <v>495</v>
      </c>
      <c r="F124" s="27">
        <v>24</v>
      </c>
      <c r="G124" s="14" t="s">
        <v>45</v>
      </c>
      <c r="H124" s="27">
        <v>4.8</v>
      </c>
      <c r="I124" s="27">
        <f>ROUND(H124*1.0, 2)</f>
      </c>
      <c r="J124" s="27">
        <f>ROUND(H124*0.95, 2)</f>
      </c>
      <c r="K124" s="27">
        <f>ROUND(H124*0.95, 2)</f>
      </c>
      <c r="L124" s="27">
        <f>ROUND(H124*1.05, 2)</f>
      </c>
      <c r="M124" s="27">
        <f>ROUND(H124*1.25, 2)</f>
      </c>
      <c r="N124" s="27">
        <f>ROUND(H124*1.55, 2)</f>
      </c>
      <c r="O124" s="27">
        <f>ROUND(H124*1.65, 2)</f>
      </c>
      <c r="P124" s="27">
        <f>SUM(I124:O124)</f>
      </c>
      <c r="Q124" s="27">
        <f>ROUND(H124*1.5, 2)</f>
      </c>
      <c r="R124" s="27">
        <f>ROUND(H124*2.0, 2)</f>
      </c>
      <c r="S124" s="14">
        <f>IF(F124&lt;=R124, "TRIGGER INDENT", "STOCK HEALTHY")</f>
      </c>
      <c r="T124" s="27">
        <f>IF(F124&lt;=R124, ROUND(MAX(H124, (I124+Q124)-F124), 2), 0)</f>
      </c>
    </row>
    <row r="125" ht="20" customHeight="1" spans="1:20" x14ac:dyDescent="0.25">
      <c r="A125" s="12" t="s">
        <v>391</v>
      </c>
      <c r="B125" s="12" t="s">
        <v>392</v>
      </c>
      <c r="C125" s="12" t="s">
        <v>126</v>
      </c>
      <c r="D125" s="12" t="s">
        <v>139</v>
      </c>
      <c r="E125" s="24">
        <v>75</v>
      </c>
      <c r="F125" s="25">
        <v>464</v>
      </c>
      <c r="G125" s="12" t="s">
        <v>97</v>
      </c>
      <c r="H125" s="25">
        <v>37.12</v>
      </c>
      <c r="I125" s="25">
        <f>ROUND(H125*1.0, 2)</f>
      </c>
      <c r="J125" s="25">
        <f>ROUND(H125*0.95, 2)</f>
      </c>
      <c r="K125" s="25">
        <f>ROUND(H125*0.95, 2)</f>
      </c>
      <c r="L125" s="25">
        <f>ROUND(H125*1.05, 2)</f>
      </c>
      <c r="M125" s="25">
        <f>ROUND(H125*1.25, 2)</f>
      </c>
      <c r="N125" s="25">
        <f>ROUND(H125*1.55, 2)</f>
      </c>
      <c r="O125" s="25">
        <f>ROUND(H125*1.65, 2)</f>
      </c>
      <c r="P125" s="25">
        <f>SUM(I125:O125)</f>
      </c>
      <c r="Q125" s="25">
        <f>ROUND(H125*1.5, 2)</f>
      </c>
      <c r="R125" s="25">
        <f>ROUND(H125*2.0, 2)</f>
      </c>
      <c r="S125" s="12">
        <f>IF(F125&lt;=R125, "TRIGGER INDENT", "STOCK HEALTHY")</f>
      </c>
      <c r="T125" s="25">
        <f>IF(F125&lt;=R125, ROUND(MAX(H125, (I125+Q125)-F125), 2), 0)</f>
      </c>
    </row>
    <row r="126" ht="20" customHeight="1" spans="1:20" x14ac:dyDescent="0.25">
      <c r="A126" s="14" t="s">
        <v>393</v>
      </c>
      <c r="B126" s="14" t="s">
        <v>394</v>
      </c>
      <c r="C126" s="14" t="s">
        <v>395</v>
      </c>
      <c r="D126" s="14" t="s">
        <v>139</v>
      </c>
      <c r="E126" s="26">
        <v>116.61000061035156</v>
      </c>
      <c r="F126" s="27">
        <v>360</v>
      </c>
      <c r="G126" s="14" t="s">
        <v>55</v>
      </c>
      <c r="H126" s="27">
        <v>0.5</v>
      </c>
      <c r="I126" s="27">
        <f>ROUND(H126*1.0, 2)</f>
      </c>
      <c r="J126" s="27">
        <f>ROUND(H126*0.95, 2)</f>
      </c>
      <c r="K126" s="27">
        <f>ROUND(H126*0.95, 2)</f>
      </c>
      <c r="L126" s="27">
        <f>ROUND(H126*1.05, 2)</f>
      </c>
      <c r="M126" s="27">
        <f>ROUND(H126*1.25, 2)</f>
      </c>
      <c r="N126" s="27">
        <f>ROUND(H126*1.55, 2)</f>
      </c>
      <c r="O126" s="27">
        <f>ROUND(H126*1.65, 2)</f>
      </c>
      <c r="P126" s="27">
        <f>SUM(I126:O126)</f>
      </c>
      <c r="Q126" s="27">
        <f>ROUND(H126*1.5, 2)</f>
      </c>
      <c r="R126" s="27">
        <f>ROUND(H126*2.0, 2)</f>
      </c>
      <c r="S126" s="14">
        <f>IF(F126&lt;=R126, "TRIGGER INDENT", "STOCK HEALTHY")</f>
      </c>
      <c r="T126" s="27">
        <f>IF(F126&lt;=R126, ROUND(MAX(H126, (I126+Q126)-F126), 2), 0)</f>
      </c>
    </row>
    <row r="127" ht="20" customHeight="1" spans="1:20" x14ac:dyDescent="0.25">
      <c r="A127" s="12" t="s">
        <v>396</v>
      </c>
      <c r="B127" s="12" t="s">
        <v>397</v>
      </c>
      <c r="C127" s="12" t="s">
        <v>221</v>
      </c>
      <c r="D127" s="12" t="s">
        <v>127</v>
      </c>
      <c r="E127" s="24">
        <v>32.619998931884766</v>
      </c>
      <c r="F127" s="25">
        <v>96</v>
      </c>
      <c r="G127" s="12" t="s">
        <v>61</v>
      </c>
      <c r="H127" s="25">
        <v>11.52</v>
      </c>
      <c r="I127" s="25">
        <f>ROUND(H127*1.0, 2)</f>
      </c>
      <c r="J127" s="25">
        <f>ROUND(H127*0.95, 2)</f>
      </c>
      <c r="K127" s="25">
        <f>ROUND(H127*0.95, 2)</f>
      </c>
      <c r="L127" s="25">
        <f>ROUND(H127*1.05, 2)</f>
      </c>
      <c r="M127" s="25">
        <f>ROUND(H127*1.25, 2)</f>
      </c>
      <c r="N127" s="25">
        <f>ROUND(H127*1.55, 2)</f>
      </c>
      <c r="O127" s="25">
        <f>ROUND(H127*1.65, 2)</f>
      </c>
      <c r="P127" s="25">
        <f>SUM(I127:O127)</f>
      </c>
      <c r="Q127" s="25">
        <f>ROUND(H127*1.5, 2)</f>
      </c>
      <c r="R127" s="25">
        <f>ROUND(H127*2.0, 2)</f>
      </c>
      <c r="S127" s="12">
        <f>IF(F127&lt;=R127, "TRIGGER INDENT", "STOCK HEALTHY")</f>
      </c>
      <c r="T127" s="25">
        <f>IF(F127&lt;=R127, ROUND(MAX(H127, (I127+Q127)-F127), 2), 0)</f>
      </c>
    </row>
    <row r="128" ht="20" customHeight="1" spans="1:20" x14ac:dyDescent="0.25">
      <c r="A128" s="14" t="s">
        <v>398</v>
      </c>
      <c r="B128" s="14" t="s">
        <v>399</v>
      </c>
      <c r="C128" s="14" t="s">
        <v>304</v>
      </c>
      <c r="D128" s="14" t="s">
        <v>139</v>
      </c>
      <c r="E128" s="26">
        <v>718.1900024414062</v>
      </c>
      <c r="F128" s="27">
        <v>180</v>
      </c>
      <c r="G128" s="14" t="s">
        <v>67</v>
      </c>
      <c r="H128" s="27">
        <v>0.5</v>
      </c>
      <c r="I128" s="27">
        <f>ROUND(H128*1.0, 2)</f>
      </c>
      <c r="J128" s="27">
        <f>ROUND(H128*0.95, 2)</f>
      </c>
      <c r="K128" s="27">
        <f>ROUND(H128*0.95, 2)</f>
      </c>
      <c r="L128" s="27">
        <f>ROUND(H128*1.05, 2)</f>
      </c>
      <c r="M128" s="27">
        <f>ROUND(H128*1.25, 2)</f>
      </c>
      <c r="N128" s="27">
        <f>ROUND(H128*1.55, 2)</f>
      </c>
      <c r="O128" s="27">
        <f>ROUND(H128*1.65, 2)</f>
      </c>
      <c r="P128" s="27">
        <f>SUM(I128:O128)</f>
      </c>
      <c r="Q128" s="27">
        <f>ROUND(H128*1.5, 2)</f>
      </c>
      <c r="R128" s="27">
        <f>ROUND(H128*2.0, 2)</f>
      </c>
      <c r="S128" s="14">
        <f>IF(F128&lt;=R128, "TRIGGER INDENT", "STOCK HEALTHY")</f>
      </c>
      <c r="T128" s="27">
        <f>IF(F128&lt;=R128, ROUND(MAX(H128, (I128+Q128)-F128), 2), 0)</f>
      </c>
    </row>
    <row r="129" ht="20" customHeight="1" spans="1:20" x14ac:dyDescent="0.25">
      <c r="A129" s="12" t="s">
        <v>400</v>
      </c>
      <c r="B129" s="12" t="s">
        <v>401</v>
      </c>
      <c r="C129" s="12" t="s">
        <v>395</v>
      </c>
      <c r="D129" s="12" t="s">
        <v>139</v>
      </c>
      <c r="E129" s="24">
        <v>81.94999694824219</v>
      </c>
      <c r="F129" s="25">
        <v>213.60004</v>
      </c>
      <c r="G129" s="12" t="s">
        <v>55</v>
      </c>
      <c r="H129" s="25">
        <v>3</v>
      </c>
      <c r="I129" s="25">
        <f>ROUND(H129*1.0, 2)</f>
      </c>
      <c r="J129" s="25">
        <f>ROUND(H129*0.95, 2)</f>
      </c>
      <c r="K129" s="25">
        <f>ROUND(H129*0.95, 2)</f>
      </c>
      <c r="L129" s="25">
        <f>ROUND(H129*1.05, 2)</f>
      </c>
      <c r="M129" s="25">
        <f>ROUND(H129*1.25, 2)</f>
      </c>
      <c r="N129" s="25">
        <f>ROUND(H129*1.55, 2)</f>
      </c>
      <c r="O129" s="25">
        <f>ROUND(H129*1.65, 2)</f>
      </c>
      <c r="P129" s="25">
        <f>SUM(I129:O129)</f>
      </c>
      <c r="Q129" s="25">
        <f>ROUND(H129*1.5, 2)</f>
      </c>
      <c r="R129" s="25">
        <f>ROUND(H129*2.0, 2)</f>
      </c>
      <c r="S129" s="12">
        <f>IF(F129&lt;=R129, "TRIGGER INDENT", "STOCK HEALTHY")</f>
      </c>
      <c r="T129" s="25">
        <f>IF(F129&lt;=R129, ROUND(MAX(H129, (I129+Q129)-F129), 2), 0)</f>
      </c>
    </row>
    <row r="130" ht="20" customHeight="1" spans="1:20" x14ac:dyDescent="0.25">
      <c r="A130" s="14" t="s">
        <v>402</v>
      </c>
      <c r="B130" s="14" t="s">
        <v>403</v>
      </c>
      <c r="C130" s="14" t="s">
        <v>138</v>
      </c>
      <c r="D130" s="14" t="s">
        <v>139</v>
      </c>
      <c r="E130" s="26">
        <v>411.8299865722656</v>
      </c>
      <c r="F130" s="27">
        <v>32</v>
      </c>
      <c r="G130" s="14" t="s">
        <v>85</v>
      </c>
      <c r="H130" s="27">
        <v>6.4</v>
      </c>
      <c r="I130" s="27">
        <f>ROUND(H130*1.0, 2)</f>
      </c>
      <c r="J130" s="27">
        <f>ROUND(H130*0.95, 2)</f>
      </c>
      <c r="K130" s="27">
        <f>ROUND(H130*0.95, 2)</f>
      </c>
      <c r="L130" s="27">
        <f>ROUND(H130*1.05, 2)</f>
      </c>
      <c r="M130" s="27">
        <f>ROUND(H130*1.25, 2)</f>
      </c>
      <c r="N130" s="27">
        <f>ROUND(H130*1.55, 2)</f>
      </c>
      <c r="O130" s="27">
        <f>ROUND(H130*1.65, 2)</f>
      </c>
      <c r="P130" s="27">
        <f>SUM(I130:O130)</f>
      </c>
      <c r="Q130" s="27">
        <f>ROUND(H130*1.5, 2)</f>
      </c>
      <c r="R130" s="27">
        <f>ROUND(H130*2.0, 2)</f>
      </c>
      <c r="S130" s="14">
        <f>IF(F130&lt;=R130, "TRIGGER INDENT", "STOCK HEALTHY")</f>
      </c>
      <c r="T130" s="27">
        <f>IF(F130&lt;=R130, ROUND(MAX(H130, (I130+Q130)-F130), 2), 0)</f>
      </c>
    </row>
    <row r="131" ht="20" customHeight="1" spans="1:20" x14ac:dyDescent="0.25">
      <c r="A131" s="12" t="s">
        <v>404</v>
      </c>
      <c r="B131" s="12" t="s">
        <v>405</v>
      </c>
      <c r="C131" s="12" t="s">
        <v>134</v>
      </c>
      <c r="D131" s="12" t="s">
        <v>135</v>
      </c>
      <c r="E131" s="24">
        <v>219.2899932861328</v>
      </c>
      <c r="F131" s="25">
        <v>32</v>
      </c>
      <c r="G131" s="12" t="s">
        <v>61</v>
      </c>
      <c r="H131" s="25">
        <v>6.4</v>
      </c>
      <c r="I131" s="25">
        <f>ROUND(H131*1.0, 2)</f>
      </c>
      <c r="J131" s="25">
        <f>ROUND(H131*0.95, 2)</f>
      </c>
      <c r="K131" s="25">
        <f>ROUND(H131*0.95, 2)</f>
      </c>
      <c r="L131" s="25">
        <f>ROUND(H131*1.05, 2)</f>
      </c>
      <c r="M131" s="25">
        <f>ROUND(H131*1.25, 2)</f>
      </c>
      <c r="N131" s="25">
        <f>ROUND(H131*1.55, 2)</f>
      </c>
      <c r="O131" s="25">
        <f>ROUND(H131*1.65, 2)</f>
      </c>
      <c r="P131" s="25">
        <f>SUM(I131:O131)</f>
      </c>
      <c r="Q131" s="25">
        <f>ROUND(H131*1.5, 2)</f>
      </c>
      <c r="R131" s="25">
        <f>ROUND(H131*2.0, 2)</f>
      </c>
      <c r="S131" s="12">
        <f>IF(F131&lt;=R131, "TRIGGER INDENT", "STOCK HEALTHY")</f>
      </c>
      <c r="T131" s="25">
        <f>IF(F131&lt;=R131, ROUND(MAX(H131, (I131+Q131)-F131), 2), 0)</f>
      </c>
    </row>
    <row r="132" ht="20" customHeight="1" spans="1:20" x14ac:dyDescent="0.25">
      <c r="A132" s="14" t="s">
        <v>406</v>
      </c>
      <c r="B132" s="14" t="s">
        <v>407</v>
      </c>
      <c r="C132" s="14" t="s">
        <v>238</v>
      </c>
      <c r="D132" s="14" t="s">
        <v>305</v>
      </c>
      <c r="E132" s="26">
        <v>73.69000244140625</v>
      </c>
      <c r="F132" s="27">
        <v>280</v>
      </c>
      <c r="G132" s="14" t="s">
        <v>61</v>
      </c>
      <c r="H132" s="27">
        <v>22.4</v>
      </c>
      <c r="I132" s="27">
        <f>ROUND(H132*1.0, 2)</f>
      </c>
      <c r="J132" s="27">
        <f>ROUND(H132*0.95, 2)</f>
      </c>
      <c r="K132" s="27">
        <f>ROUND(H132*0.95, 2)</f>
      </c>
      <c r="L132" s="27">
        <f>ROUND(H132*1.05, 2)</f>
      </c>
      <c r="M132" s="27">
        <f>ROUND(H132*1.25, 2)</f>
      </c>
      <c r="N132" s="27">
        <f>ROUND(H132*1.55, 2)</f>
      </c>
      <c r="O132" s="27">
        <f>ROUND(H132*1.65, 2)</f>
      </c>
      <c r="P132" s="27">
        <f>SUM(I132:O132)</f>
      </c>
      <c r="Q132" s="27">
        <f>ROUND(H132*1.5, 2)</f>
      </c>
      <c r="R132" s="27">
        <f>ROUND(H132*2.0, 2)</f>
      </c>
      <c r="S132" s="14">
        <f>IF(F132&lt;=R132, "TRIGGER INDENT", "STOCK HEALTHY")</f>
      </c>
      <c r="T132" s="27">
        <f>IF(F132&lt;=R132, ROUND(MAX(H132, (I132+Q132)-F132), 2), 0)</f>
      </c>
    </row>
    <row r="133" ht="20" customHeight="1" spans="1:20" x14ac:dyDescent="0.25">
      <c r="A133" s="12" t="s">
        <v>408</v>
      </c>
      <c r="B133" s="12" t="s">
        <v>409</v>
      </c>
      <c r="C133" s="12" t="s">
        <v>154</v>
      </c>
      <c r="D133" s="12" t="s">
        <v>127</v>
      </c>
      <c r="E133" s="24">
        <v>110.29000091552734</v>
      </c>
      <c r="F133" s="25">
        <v>224</v>
      </c>
      <c r="G133" s="12" t="s">
        <v>79</v>
      </c>
      <c r="H133" s="25">
        <v>17.92</v>
      </c>
      <c r="I133" s="25">
        <f>ROUND(H133*1.0, 2)</f>
      </c>
      <c r="J133" s="25">
        <f>ROUND(H133*0.95, 2)</f>
      </c>
      <c r="K133" s="25">
        <f>ROUND(H133*0.95, 2)</f>
      </c>
      <c r="L133" s="25">
        <f>ROUND(H133*1.05, 2)</f>
      </c>
      <c r="M133" s="25">
        <f>ROUND(H133*1.25, 2)</f>
      </c>
      <c r="N133" s="25">
        <f>ROUND(H133*1.55, 2)</f>
      </c>
      <c r="O133" s="25">
        <f>ROUND(H133*1.65, 2)</f>
      </c>
      <c r="P133" s="25">
        <f>SUM(I133:O133)</f>
      </c>
      <c r="Q133" s="25">
        <f>ROUND(H133*1.5, 2)</f>
      </c>
      <c r="R133" s="25">
        <f>ROUND(H133*2.0, 2)</f>
      </c>
      <c r="S133" s="12">
        <f>IF(F133&lt;=R133, "TRIGGER INDENT", "STOCK HEALTHY")</f>
      </c>
      <c r="T133" s="25">
        <f>IF(F133&lt;=R133, ROUND(MAX(H133, (I133+Q133)-F133), 2), 0)</f>
      </c>
    </row>
    <row r="134" ht="20" customHeight="1" spans="1:20" x14ac:dyDescent="0.25">
      <c r="A134" s="14" t="s">
        <v>410</v>
      </c>
      <c r="B134" s="14" t="s">
        <v>411</v>
      </c>
      <c r="C134" s="14" t="s">
        <v>154</v>
      </c>
      <c r="D134" s="14" t="s">
        <v>127</v>
      </c>
      <c r="E134" s="26">
        <v>77.62999725341797</v>
      </c>
      <c r="F134" s="27">
        <v>224</v>
      </c>
      <c r="G134" s="14" t="s">
        <v>79</v>
      </c>
      <c r="H134" s="27">
        <v>17.92</v>
      </c>
      <c r="I134" s="27">
        <f>ROUND(H134*1.0, 2)</f>
      </c>
      <c r="J134" s="27">
        <f>ROUND(H134*0.95, 2)</f>
      </c>
      <c r="K134" s="27">
        <f>ROUND(H134*0.95, 2)</f>
      </c>
      <c r="L134" s="27">
        <f>ROUND(H134*1.05, 2)</f>
      </c>
      <c r="M134" s="27">
        <f>ROUND(H134*1.25, 2)</f>
      </c>
      <c r="N134" s="27">
        <f>ROUND(H134*1.55, 2)</f>
      </c>
      <c r="O134" s="27">
        <f>ROUND(H134*1.65, 2)</f>
      </c>
      <c r="P134" s="27">
        <f>SUM(I134:O134)</f>
      </c>
      <c r="Q134" s="27">
        <f>ROUND(H134*1.5, 2)</f>
      </c>
      <c r="R134" s="27">
        <f>ROUND(H134*2.0, 2)</f>
      </c>
      <c r="S134" s="14">
        <f>IF(F134&lt;=R134, "TRIGGER INDENT", "STOCK HEALTHY")</f>
      </c>
      <c r="T134" s="27">
        <f>IF(F134&lt;=R134, ROUND(MAX(H134, (I134+Q134)-F134), 2), 0)</f>
      </c>
    </row>
    <row r="135" ht="20" customHeight="1" spans="1:20" x14ac:dyDescent="0.25">
      <c r="A135" s="12" t="s">
        <v>412</v>
      </c>
      <c r="B135" s="12" t="s">
        <v>413</v>
      </c>
      <c r="C135" s="12" t="s">
        <v>192</v>
      </c>
      <c r="D135" s="12" t="s">
        <v>139</v>
      </c>
      <c r="E135" s="24">
        <v>63.5</v>
      </c>
      <c r="F135" s="25">
        <v>992</v>
      </c>
      <c r="G135" s="12" t="s">
        <v>45</v>
      </c>
      <c r="H135" s="25">
        <v>79.36</v>
      </c>
      <c r="I135" s="25">
        <f>ROUND(H135*1.0, 2)</f>
      </c>
      <c r="J135" s="25">
        <f>ROUND(H135*0.95, 2)</f>
      </c>
      <c r="K135" s="25">
        <f>ROUND(H135*0.95, 2)</f>
      </c>
      <c r="L135" s="25">
        <f>ROUND(H135*1.05, 2)</f>
      </c>
      <c r="M135" s="25">
        <f>ROUND(H135*1.25, 2)</f>
      </c>
      <c r="N135" s="25">
        <f>ROUND(H135*1.55, 2)</f>
      </c>
      <c r="O135" s="25">
        <f>ROUND(H135*1.65, 2)</f>
      </c>
      <c r="P135" s="25">
        <f>SUM(I135:O135)</f>
      </c>
      <c r="Q135" s="25">
        <f>ROUND(H135*1.5, 2)</f>
      </c>
      <c r="R135" s="25">
        <f>ROUND(H135*2.0, 2)</f>
      </c>
      <c r="S135" s="12">
        <f>IF(F135&lt;=R135, "TRIGGER INDENT", "STOCK HEALTHY")</f>
      </c>
      <c r="T135" s="25">
        <f>IF(F135&lt;=R135, ROUND(MAX(H135, (I135+Q135)-F135), 2), 0)</f>
      </c>
    </row>
    <row r="136" ht="20" customHeight="1" spans="1:20" x14ac:dyDescent="0.25">
      <c r="A136" s="14" t="s">
        <v>414</v>
      </c>
      <c r="B136" s="14" t="s">
        <v>415</v>
      </c>
      <c r="C136" s="14" t="s">
        <v>416</v>
      </c>
      <c r="D136" s="14" t="s">
        <v>135</v>
      </c>
      <c r="E136" s="26">
        <v>37.08000183105469</v>
      </c>
      <c r="F136" s="27">
        <v>240</v>
      </c>
      <c r="G136" s="14" t="s">
        <v>55</v>
      </c>
      <c r="H136" s="27">
        <v>19.2</v>
      </c>
      <c r="I136" s="27">
        <f>ROUND(H136*1.0, 2)</f>
      </c>
      <c r="J136" s="27">
        <f>ROUND(H136*0.95, 2)</f>
      </c>
      <c r="K136" s="27">
        <f>ROUND(H136*0.95, 2)</f>
      </c>
      <c r="L136" s="27">
        <f>ROUND(H136*1.05, 2)</f>
      </c>
      <c r="M136" s="27">
        <f>ROUND(H136*1.25, 2)</f>
      </c>
      <c r="N136" s="27">
        <f>ROUND(H136*1.55, 2)</f>
      </c>
      <c r="O136" s="27">
        <f>ROUND(H136*1.65, 2)</f>
      </c>
      <c r="P136" s="27">
        <f>SUM(I136:O136)</f>
      </c>
      <c r="Q136" s="27">
        <f>ROUND(H136*1.5, 2)</f>
      </c>
      <c r="R136" s="27">
        <f>ROUND(H136*2.0, 2)</f>
      </c>
      <c r="S136" s="14">
        <f>IF(F136&lt;=R136, "TRIGGER INDENT", "STOCK HEALTHY")</f>
      </c>
      <c r="T136" s="27">
        <f>IF(F136&lt;=R136, ROUND(MAX(H136, (I136+Q136)-F136), 2), 0)</f>
      </c>
    </row>
    <row r="137" ht="20" customHeight="1" spans="1:20" x14ac:dyDescent="0.25">
      <c r="A137" s="12" t="s">
        <v>417</v>
      </c>
      <c r="B137" s="12" t="s">
        <v>418</v>
      </c>
      <c r="C137" s="12" t="s">
        <v>134</v>
      </c>
      <c r="D137" s="12" t="s">
        <v>135</v>
      </c>
      <c r="E137" s="24">
        <v>280</v>
      </c>
      <c r="F137" s="25">
        <v>80</v>
      </c>
      <c r="G137" s="12" t="s">
        <v>61</v>
      </c>
      <c r="H137" s="25">
        <v>9.6</v>
      </c>
      <c r="I137" s="25">
        <f>ROUND(H137*1.0, 2)</f>
      </c>
      <c r="J137" s="25">
        <f>ROUND(H137*0.95, 2)</f>
      </c>
      <c r="K137" s="25">
        <f>ROUND(H137*0.95, 2)</f>
      </c>
      <c r="L137" s="25">
        <f>ROUND(H137*1.05, 2)</f>
      </c>
      <c r="M137" s="25">
        <f>ROUND(H137*1.25, 2)</f>
      </c>
      <c r="N137" s="25">
        <f>ROUND(H137*1.55, 2)</f>
      </c>
      <c r="O137" s="25">
        <f>ROUND(H137*1.65, 2)</f>
      </c>
      <c r="P137" s="25">
        <f>SUM(I137:O137)</f>
      </c>
      <c r="Q137" s="25">
        <f>ROUND(H137*1.5, 2)</f>
      </c>
      <c r="R137" s="25">
        <f>ROUND(H137*2.0, 2)</f>
      </c>
      <c r="S137" s="12">
        <f>IF(F137&lt;=R137, "TRIGGER INDENT", "STOCK HEALTHY")</f>
      </c>
      <c r="T137" s="25">
        <f>IF(F137&lt;=R137, ROUND(MAX(H137, (I137+Q137)-F137), 2), 0)</f>
      </c>
    </row>
    <row r="138" ht="20" customHeight="1" spans="1:20" x14ac:dyDescent="0.25">
      <c r="A138" s="14" t="s">
        <v>419</v>
      </c>
      <c r="B138" s="14" t="s">
        <v>420</v>
      </c>
      <c r="C138" s="14" t="s">
        <v>154</v>
      </c>
      <c r="D138" s="14" t="s">
        <v>139</v>
      </c>
      <c r="E138" s="26">
        <v>150</v>
      </c>
      <c r="F138" s="27">
        <v>1.5100002</v>
      </c>
      <c r="G138" s="14" t="s">
        <v>61</v>
      </c>
      <c r="H138" s="27">
        <v>1</v>
      </c>
      <c r="I138" s="27">
        <f>ROUND(H138*1.0, 2)</f>
      </c>
      <c r="J138" s="27">
        <f>ROUND(H138*0.95, 2)</f>
      </c>
      <c r="K138" s="27">
        <f>ROUND(H138*0.95, 2)</f>
      </c>
      <c r="L138" s="27">
        <f>ROUND(H138*1.05, 2)</f>
      </c>
      <c r="M138" s="27">
        <f>ROUND(H138*1.25, 2)</f>
      </c>
      <c r="N138" s="27">
        <f>ROUND(H138*1.55, 2)</f>
      </c>
      <c r="O138" s="27">
        <f>ROUND(H138*1.65, 2)</f>
      </c>
      <c r="P138" s="27">
        <f>SUM(I138:O138)</f>
      </c>
      <c r="Q138" s="27">
        <f>ROUND(H138*1.5, 2)</f>
      </c>
      <c r="R138" s="27">
        <f>ROUND(H138*2.0, 2)</f>
      </c>
      <c r="S138" s="14">
        <f>IF(F138&lt;=R138, "TRIGGER INDENT", "STOCK HEALTHY")</f>
      </c>
      <c r="T138" s="27">
        <f>IF(F138&lt;=R138, ROUND(MAX(H138, (I138+Q138)-F138), 2), 0)</f>
      </c>
    </row>
    <row r="139" ht="20" customHeight="1" spans="1:20" x14ac:dyDescent="0.25">
      <c r="A139" s="12" t="s">
        <v>421</v>
      </c>
      <c r="B139" s="12" t="s">
        <v>422</v>
      </c>
      <c r="C139" s="12" t="s">
        <v>126</v>
      </c>
      <c r="D139" s="12" t="s">
        <v>179</v>
      </c>
      <c r="E139" s="24">
        <v>50</v>
      </c>
      <c r="F139" s="25">
        <v>160</v>
      </c>
      <c r="G139" s="12" t="s">
        <v>97</v>
      </c>
      <c r="H139" s="25">
        <v>19.2</v>
      </c>
      <c r="I139" s="25">
        <f>ROUND(H139*1.0, 2)</f>
      </c>
      <c r="J139" s="25">
        <f>ROUND(H139*0.95, 2)</f>
      </c>
      <c r="K139" s="25">
        <f>ROUND(H139*0.95, 2)</f>
      </c>
      <c r="L139" s="25">
        <f>ROUND(H139*1.05, 2)</f>
      </c>
      <c r="M139" s="25">
        <f>ROUND(H139*1.25, 2)</f>
      </c>
      <c r="N139" s="25">
        <f>ROUND(H139*1.55, 2)</f>
      </c>
      <c r="O139" s="25">
        <f>ROUND(H139*1.65, 2)</f>
      </c>
      <c r="P139" s="25">
        <f>SUM(I139:O139)</f>
      </c>
      <c r="Q139" s="25">
        <f>ROUND(H139*1.5, 2)</f>
      </c>
      <c r="R139" s="25">
        <f>ROUND(H139*2.0, 2)</f>
      </c>
      <c r="S139" s="12">
        <f>IF(F139&lt;=R139, "TRIGGER INDENT", "STOCK HEALTHY")</f>
      </c>
      <c r="T139" s="25">
        <f>IF(F139&lt;=R139, ROUND(MAX(H139, (I139+Q139)-F139), 2), 0)</f>
      </c>
    </row>
    <row r="140" ht="20" customHeight="1" spans="1:20" x14ac:dyDescent="0.25">
      <c r="A140" s="14" t="s">
        <v>423</v>
      </c>
      <c r="B140" s="14" t="s">
        <v>424</v>
      </c>
      <c r="C140" s="14" t="s">
        <v>379</v>
      </c>
      <c r="D140" s="14" t="s">
        <v>305</v>
      </c>
      <c r="E140" s="26">
        <v>60.47999954223633</v>
      </c>
      <c r="F140" s="27">
        <v>352</v>
      </c>
      <c r="G140" s="14" t="s">
        <v>73</v>
      </c>
      <c r="H140" s="27">
        <v>28.16</v>
      </c>
      <c r="I140" s="27">
        <f>ROUND(H140*1.0, 2)</f>
      </c>
      <c r="J140" s="27">
        <f>ROUND(H140*0.95, 2)</f>
      </c>
      <c r="K140" s="27">
        <f>ROUND(H140*0.95, 2)</f>
      </c>
      <c r="L140" s="27">
        <f>ROUND(H140*1.05, 2)</f>
      </c>
      <c r="M140" s="27">
        <f>ROUND(H140*1.25, 2)</f>
      </c>
      <c r="N140" s="27">
        <f>ROUND(H140*1.55, 2)</f>
      </c>
      <c r="O140" s="27">
        <f>ROUND(H140*1.65, 2)</f>
      </c>
      <c r="P140" s="27">
        <f>SUM(I140:O140)</f>
      </c>
      <c r="Q140" s="27">
        <f>ROUND(H140*1.5, 2)</f>
      </c>
      <c r="R140" s="27">
        <f>ROUND(H140*2.0, 2)</f>
      </c>
      <c r="S140" s="14">
        <f>IF(F140&lt;=R140, "TRIGGER INDENT", "STOCK HEALTHY")</f>
      </c>
      <c r="T140" s="27">
        <f>IF(F140&lt;=R140, ROUND(MAX(H140, (I140+Q140)-F140), 2), 0)</f>
      </c>
    </row>
    <row r="141" ht="20" customHeight="1" spans="1:20" x14ac:dyDescent="0.25">
      <c r="A141" s="12" t="s">
        <v>425</v>
      </c>
      <c r="B141" s="12" t="s">
        <v>426</v>
      </c>
      <c r="C141" s="12" t="s">
        <v>379</v>
      </c>
      <c r="D141" s="12" t="s">
        <v>305</v>
      </c>
      <c r="E141" s="24">
        <v>40</v>
      </c>
      <c r="F141" s="25">
        <v>1328</v>
      </c>
      <c r="G141" s="12" t="s">
        <v>73</v>
      </c>
      <c r="H141" s="25">
        <v>66.4</v>
      </c>
      <c r="I141" s="25">
        <f>ROUND(H141*1.0, 2)</f>
      </c>
      <c r="J141" s="25">
        <f>ROUND(H141*0.95, 2)</f>
      </c>
      <c r="K141" s="25">
        <f>ROUND(H141*0.95, 2)</f>
      </c>
      <c r="L141" s="25">
        <f>ROUND(H141*1.05, 2)</f>
      </c>
      <c r="M141" s="25">
        <f>ROUND(H141*1.25, 2)</f>
      </c>
      <c r="N141" s="25">
        <f>ROUND(H141*1.55, 2)</f>
      </c>
      <c r="O141" s="25">
        <f>ROUND(H141*1.65, 2)</f>
      </c>
      <c r="P141" s="25">
        <f>SUM(I141:O141)</f>
      </c>
      <c r="Q141" s="25">
        <f>ROUND(H141*1.5, 2)</f>
      </c>
      <c r="R141" s="25">
        <f>ROUND(H141*2.0, 2)</f>
      </c>
      <c r="S141" s="12">
        <f>IF(F141&lt;=R141, "TRIGGER INDENT", "STOCK HEALTHY")</f>
      </c>
      <c r="T141" s="25">
        <f>IF(F141&lt;=R141, ROUND(MAX(H141, (I141+Q141)-F141), 2), 0)</f>
      </c>
    </row>
    <row r="142" ht="20" customHeight="1" spans="1:20" x14ac:dyDescent="0.25">
      <c r="A142" s="14" t="s">
        <v>427</v>
      </c>
      <c r="B142" s="14" t="s">
        <v>428</v>
      </c>
      <c r="C142" s="14" t="s">
        <v>154</v>
      </c>
      <c r="D142" s="14" t="s">
        <v>429</v>
      </c>
      <c r="E142" s="26">
        <v>520</v>
      </c>
      <c r="F142" s="27">
        <v>48</v>
      </c>
      <c r="G142" s="14" t="s">
        <v>61</v>
      </c>
      <c r="H142" s="27">
        <v>9.6</v>
      </c>
      <c r="I142" s="27">
        <f>ROUND(H142*1.0, 2)</f>
      </c>
      <c r="J142" s="27">
        <f>ROUND(H142*0.95, 2)</f>
      </c>
      <c r="K142" s="27">
        <f>ROUND(H142*0.95, 2)</f>
      </c>
      <c r="L142" s="27">
        <f>ROUND(H142*1.05, 2)</f>
      </c>
      <c r="M142" s="27">
        <f>ROUND(H142*1.25, 2)</f>
      </c>
      <c r="N142" s="27">
        <f>ROUND(H142*1.55, 2)</f>
      </c>
      <c r="O142" s="27">
        <f>ROUND(H142*1.65, 2)</f>
      </c>
      <c r="P142" s="27">
        <f>SUM(I142:O142)</f>
      </c>
      <c r="Q142" s="27">
        <f>ROUND(H142*1.5, 2)</f>
      </c>
      <c r="R142" s="27">
        <f>ROUND(H142*2.0, 2)</f>
      </c>
      <c r="S142" s="14">
        <f>IF(F142&lt;=R142, "TRIGGER INDENT", "STOCK HEALTHY")</f>
      </c>
      <c r="T142" s="27">
        <f>IF(F142&lt;=R142, ROUND(MAX(H142, (I142+Q142)-F142), 2), 0)</f>
      </c>
    </row>
    <row r="143" ht="20" customHeight="1" spans="1:20" x14ac:dyDescent="0.25">
      <c r="A143" s="12" t="s">
        <v>430</v>
      </c>
      <c r="B143" s="12" t="s">
        <v>431</v>
      </c>
      <c r="C143" s="12" t="s">
        <v>138</v>
      </c>
      <c r="D143" s="12" t="s">
        <v>127</v>
      </c>
      <c r="E143" s="24">
        <v>96.87999725341797</v>
      </c>
      <c r="F143" s="25">
        <v>1952</v>
      </c>
      <c r="G143" s="12" t="s">
        <v>97</v>
      </c>
      <c r="H143" s="25">
        <v>1</v>
      </c>
      <c r="I143" s="25">
        <f>ROUND(H143*1.0, 2)</f>
      </c>
      <c r="J143" s="25">
        <f>ROUND(H143*0.95, 2)</f>
      </c>
      <c r="K143" s="25">
        <f>ROUND(H143*0.95, 2)</f>
      </c>
      <c r="L143" s="25">
        <f>ROUND(H143*1.05, 2)</f>
      </c>
      <c r="M143" s="25">
        <f>ROUND(H143*1.25, 2)</f>
      </c>
      <c r="N143" s="25">
        <f>ROUND(H143*1.55, 2)</f>
      </c>
      <c r="O143" s="25">
        <f>ROUND(H143*1.65, 2)</f>
      </c>
      <c r="P143" s="25">
        <f>SUM(I143:O143)</f>
      </c>
      <c r="Q143" s="25">
        <f>ROUND(H143*1.5, 2)</f>
      </c>
      <c r="R143" s="25">
        <f>ROUND(H143*2.0, 2)</f>
      </c>
      <c r="S143" s="12">
        <f>IF(F143&lt;=R143, "TRIGGER INDENT", "STOCK HEALTHY")</f>
      </c>
      <c r="T143" s="25">
        <f>IF(F143&lt;=R143, ROUND(MAX(H143, (I143+Q143)-F143), 2), 0)</f>
      </c>
    </row>
    <row r="144" ht="20" customHeight="1" spans="1:20" x14ac:dyDescent="0.25">
      <c r="A144" s="14" t="s">
        <v>432</v>
      </c>
      <c r="B144" s="14" t="s">
        <v>433</v>
      </c>
      <c r="C144" s="14" t="s">
        <v>176</v>
      </c>
      <c r="D144" s="14" t="s">
        <v>139</v>
      </c>
      <c r="E144" s="26">
        <v>51.060001373291016</v>
      </c>
      <c r="F144" s="27">
        <v>4864</v>
      </c>
      <c r="G144" s="14" t="s">
        <v>91</v>
      </c>
      <c r="H144" s="27">
        <v>243.2</v>
      </c>
      <c r="I144" s="27">
        <f>ROUND(H144*1.0, 2)</f>
      </c>
      <c r="J144" s="27">
        <f>ROUND(H144*0.95, 2)</f>
      </c>
      <c r="K144" s="27">
        <f>ROUND(H144*0.95, 2)</f>
      </c>
      <c r="L144" s="27">
        <f>ROUND(H144*1.05, 2)</f>
      </c>
      <c r="M144" s="27">
        <f>ROUND(H144*1.25, 2)</f>
      </c>
      <c r="N144" s="27">
        <f>ROUND(H144*1.55, 2)</f>
      </c>
      <c r="O144" s="27">
        <f>ROUND(H144*1.65, 2)</f>
      </c>
      <c r="P144" s="27">
        <f>SUM(I144:O144)</f>
      </c>
      <c r="Q144" s="27">
        <f>ROUND(H144*1.5, 2)</f>
      </c>
      <c r="R144" s="27">
        <f>ROUND(H144*2.0, 2)</f>
      </c>
      <c r="S144" s="14">
        <f>IF(F144&lt;=R144, "TRIGGER INDENT", "STOCK HEALTHY")</f>
      </c>
      <c r="T144" s="27">
        <f>IF(F144&lt;=R144, ROUND(MAX(H144, (I144+Q144)-F144), 2), 0)</f>
      </c>
    </row>
    <row r="145" ht="20" customHeight="1" spans="1:20" x14ac:dyDescent="0.25">
      <c r="A145" s="12" t="s">
        <v>434</v>
      </c>
      <c r="B145" s="12" t="s">
        <v>435</v>
      </c>
      <c r="C145" s="12" t="s">
        <v>138</v>
      </c>
      <c r="D145" s="12" t="s">
        <v>139</v>
      </c>
      <c r="E145" s="24">
        <v>310</v>
      </c>
      <c r="F145" s="25">
        <v>9.6</v>
      </c>
      <c r="G145" s="12" t="s">
        <v>45</v>
      </c>
      <c r="H145" s="25">
        <v>1.92</v>
      </c>
      <c r="I145" s="25">
        <f>ROUND(H145*1.0, 2)</f>
      </c>
      <c r="J145" s="25">
        <f>ROUND(H145*0.95, 2)</f>
      </c>
      <c r="K145" s="25">
        <f>ROUND(H145*0.95, 2)</f>
      </c>
      <c r="L145" s="25">
        <f>ROUND(H145*1.05, 2)</f>
      </c>
      <c r="M145" s="25">
        <f>ROUND(H145*1.25, 2)</f>
      </c>
      <c r="N145" s="25">
        <f>ROUND(H145*1.55, 2)</f>
      </c>
      <c r="O145" s="25">
        <f>ROUND(H145*1.65, 2)</f>
      </c>
      <c r="P145" s="25">
        <f>SUM(I145:O145)</f>
      </c>
      <c r="Q145" s="25">
        <f>ROUND(H145*1.5, 2)</f>
      </c>
      <c r="R145" s="25">
        <f>ROUND(H145*2.0, 2)</f>
      </c>
      <c r="S145" s="12">
        <f>IF(F145&lt;=R145, "TRIGGER INDENT", "STOCK HEALTHY")</f>
      </c>
      <c r="T145" s="25">
        <f>IF(F145&lt;=R145, ROUND(MAX(H145, (I145+Q145)-F145), 2), 0)</f>
      </c>
    </row>
    <row r="146" ht="20" customHeight="1" spans="1:20" x14ac:dyDescent="0.25">
      <c r="A146" s="14" t="s">
        <v>436</v>
      </c>
      <c r="B146" s="14" t="s">
        <v>437</v>
      </c>
      <c r="C146" s="14" t="s">
        <v>154</v>
      </c>
      <c r="D146" s="14" t="s">
        <v>139</v>
      </c>
      <c r="E146" s="26">
        <v>200.69000244140625</v>
      </c>
      <c r="F146" s="27">
        <v>64</v>
      </c>
      <c r="G146" s="14" t="s">
        <v>55</v>
      </c>
      <c r="H146" s="27">
        <v>7.68</v>
      </c>
      <c r="I146" s="27">
        <f>ROUND(H146*1.0, 2)</f>
      </c>
      <c r="J146" s="27">
        <f>ROUND(H146*0.95, 2)</f>
      </c>
      <c r="K146" s="27">
        <f>ROUND(H146*0.95, 2)</f>
      </c>
      <c r="L146" s="27">
        <f>ROUND(H146*1.05, 2)</f>
      </c>
      <c r="M146" s="27">
        <f>ROUND(H146*1.25, 2)</f>
      </c>
      <c r="N146" s="27">
        <f>ROUND(H146*1.55, 2)</f>
      </c>
      <c r="O146" s="27">
        <f>ROUND(H146*1.65, 2)</f>
      </c>
      <c r="P146" s="27">
        <f>SUM(I146:O146)</f>
      </c>
      <c r="Q146" s="27">
        <f>ROUND(H146*1.5, 2)</f>
      </c>
      <c r="R146" s="27">
        <f>ROUND(H146*2.0, 2)</f>
      </c>
      <c r="S146" s="14">
        <f>IF(F146&lt;=R146, "TRIGGER INDENT", "STOCK HEALTHY")</f>
      </c>
      <c r="T146" s="27">
        <f>IF(F146&lt;=R146, ROUND(MAX(H146, (I146+Q146)-F146), 2), 0)</f>
      </c>
    </row>
    <row r="147" ht="20" customHeight="1" spans="1:20" x14ac:dyDescent="0.25">
      <c r="A147" s="12" t="s">
        <v>438</v>
      </c>
      <c r="B147" s="12" t="s">
        <v>439</v>
      </c>
      <c r="C147" s="12" t="s">
        <v>154</v>
      </c>
      <c r="D147" s="12" t="s">
        <v>179</v>
      </c>
      <c r="E147" s="24">
        <v>5.690000057220459</v>
      </c>
      <c r="F147" s="25">
        <v>1072</v>
      </c>
      <c r="G147" s="12" t="s">
        <v>73</v>
      </c>
      <c r="H147" s="25">
        <v>53.6</v>
      </c>
      <c r="I147" s="25">
        <f>ROUND(H147*1.0, 2)</f>
      </c>
      <c r="J147" s="25">
        <f>ROUND(H147*0.95, 2)</f>
      </c>
      <c r="K147" s="25">
        <f>ROUND(H147*0.95, 2)</f>
      </c>
      <c r="L147" s="25">
        <f>ROUND(H147*1.05, 2)</f>
      </c>
      <c r="M147" s="25">
        <f>ROUND(H147*1.25, 2)</f>
      </c>
      <c r="N147" s="25">
        <f>ROUND(H147*1.55, 2)</f>
      </c>
      <c r="O147" s="25">
        <f>ROUND(H147*1.65, 2)</f>
      </c>
      <c r="P147" s="25">
        <f>SUM(I147:O147)</f>
      </c>
      <c r="Q147" s="25">
        <f>ROUND(H147*1.5, 2)</f>
      </c>
      <c r="R147" s="25">
        <f>ROUND(H147*2.0, 2)</f>
      </c>
      <c r="S147" s="12">
        <f>IF(F147&lt;=R147, "TRIGGER INDENT", "STOCK HEALTHY")</f>
      </c>
      <c r="T147" s="25">
        <f>IF(F147&lt;=R147, ROUND(MAX(H147, (I147+Q147)-F147), 2), 0)</f>
      </c>
    </row>
    <row r="148" ht="20" customHeight="1" spans="1:20" x14ac:dyDescent="0.25">
      <c r="A148" s="14" t="s">
        <v>440</v>
      </c>
      <c r="B148" s="14" t="s">
        <v>441</v>
      </c>
      <c r="C148" s="14" t="s">
        <v>245</v>
      </c>
      <c r="D148" s="14" t="s">
        <v>179</v>
      </c>
      <c r="E148" s="26">
        <v>35</v>
      </c>
      <c r="F148" s="27">
        <v>1.5100002</v>
      </c>
      <c r="G148" s="14" t="s">
        <v>45</v>
      </c>
      <c r="H148" s="27">
        <v>1</v>
      </c>
      <c r="I148" s="27">
        <f>ROUND(H148*1.0, 2)</f>
      </c>
      <c r="J148" s="27">
        <f>ROUND(H148*0.95, 2)</f>
      </c>
      <c r="K148" s="27">
        <f>ROUND(H148*0.95, 2)</f>
      </c>
      <c r="L148" s="27">
        <f>ROUND(H148*1.05, 2)</f>
      </c>
      <c r="M148" s="27">
        <f>ROUND(H148*1.25, 2)</f>
      </c>
      <c r="N148" s="27">
        <f>ROUND(H148*1.55, 2)</f>
      </c>
      <c r="O148" s="27">
        <f>ROUND(H148*1.65, 2)</f>
      </c>
      <c r="P148" s="27">
        <f>SUM(I148:O148)</f>
      </c>
      <c r="Q148" s="27">
        <f>ROUND(H148*1.5, 2)</f>
      </c>
      <c r="R148" s="27">
        <f>ROUND(H148*2.0, 2)</f>
      </c>
      <c r="S148" s="14">
        <f>IF(F148&lt;=R148, "TRIGGER INDENT", "STOCK HEALTHY")</f>
      </c>
      <c r="T148" s="27">
        <f>IF(F148&lt;=R148, ROUND(MAX(H148, (I148+Q148)-F148), 2), 0)</f>
      </c>
    </row>
    <row r="149" ht="20" customHeight="1" spans="1:20" x14ac:dyDescent="0.25">
      <c r="A149" s="12" t="s">
        <v>442</v>
      </c>
      <c r="B149" s="12" t="s">
        <v>443</v>
      </c>
      <c r="C149" s="12" t="s">
        <v>126</v>
      </c>
      <c r="D149" s="12" t="s">
        <v>179</v>
      </c>
      <c r="E149" s="24">
        <v>34.33000183105469</v>
      </c>
      <c r="F149" s="25">
        <v>1760</v>
      </c>
      <c r="G149" s="12" t="s">
        <v>45</v>
      </c>
      <c r="H149" s="25">
        <v>88</v>
      </c>
      <c r="I149" s="25">
        <f>ROUND(H149*1.0, 2)</f>
      </c>
      <c r="J149" s="25">
        <f>ROUND(H149*0.95, 2)</f>
      </c>
      <c r="K149" s="25">
        <f>ROUND(H149*0.95, 2)</f>
      </c>
      <c r="L149" s="25">
        <f>ROUND(H149*1.05, 2)</f>
      </c>
      <c r="M149" s="25">
        <f>ROUND(H149*1.25, 2)</f>
      </c>
      <c r="N149" s="25">
        <f>ROUND(H149*1.55, 2)</f>
      </c>
      <c r="O149" s="25">
        <f>ROUND(H149*1.65, 2)</f>
      </c>
      <c r="P149" s="25">
        <f>SUM(I149:O149)</f>
      </c>
      <c r="Q149" s="25">
        <f>ROUND(H149*1.5, 2)</f>
      </c>
      <c r="R149" s="25">
        <f>ROUND(H149*2.0, 2)</f>
      </c>
      <c r="S149" s="12">
        <f>IF(F149&lt;=R149, "TRIGGER INDENT", "STOCK HEALTHY")</f>
      </c>
      <c r="T149" s="25">
        <f>IF(F149&lt;=R149, ROUND(MAX(H149, (I149+Q149)-F149), 2), 0)</f>
      </c>
    </row>
    <row r="150" ht="20" customHeight="1" spans="1:20" x14ac:dyDescent="0.25">
      <c r="A150" s="14" t="s">
        <v>444</v>
      </c>
      <c r="B150" s="14" t="s">
        <v>445</v>
      </c>
      <c r="C150" s="14" t="s">
        <v>126</v>
      </c>
      <c r="D150" s="14" t="s">
        <v>179</v>
      </c>
      <c r="E150" s="26">
        <v>3.799999952316284</v>
      </c>
      <c r="F150" s="27">
        <v>10400</v>
      </c>
      <c r="G150" s="14" t="s">
        <v>97</v>
      </c>
      <c r="H150" s="27">
        <v>520</v>
      </c>
      <c r="I150" s="27">
        <f>ROUND(H150*1.0, 2)</f>
      </c>
      <c r="J150" s="27">
        <f>ROUND(H150*0.95, 2)</f>
      </c>
      <c r="K150" s="27">
        <f>ROUND(H150*0.95, 2)</f>
      </c>
      <c r="L150" s="27">
        <f>ROUND(H150*1.05, 2)</f>
      </c>
      <c r="M150" s="27">
        <f>ROUND(H150*1.25, 2)</f>
      </c>
      <c r="N150" s="27">
        <f>ROUND(H150*1.55, 2)</f>
      </c>
      <c r="O150" s="27">
        <f>ROUND(H150*1.65, 2)</f>
      </c>
      <c r="P150" s="27">
        <f>SUM(I150:O150)</f>
      </c>
      <c r="Q150" s="27">
        <f>ROUND(H150*1.5, 2)</f>
      </c>
      <c r="R150" s="27">
        <f>ROUND(H150*2.0, 2)</f>
      </c>
      <c r="S150" s="14">
        <f>IF(F150&lt;=R150, "TRIGGER INDENT", "STOCK HEALTHY")</f>
      </c>
      <c r="T150" s="27">
        <f>IF(F150&lt;=R150, ROUND(MAX(H150, (I150+Q150)-F150), 2), 0)</f>
      </c>
    </row>
    <row r="151" ht="20" customHeight="1" spans="1:20" x14ac:dyDescent="0.25">
      <c r="A151" s="12" t="s">
        <v>446</v>
      </c>
      <c r="B151" s="12" t="s">
        <v>447</v>
      </c>
      <c r="C151" s="12" t="s">
        <v>151</v>
      </c>
      <c r="D151" s="12" t="s">
        <v>139</v>
      </c>
      <c r="E151" s="24">
        <v>37.61000061035156</v>
      </c>
      <c r="F151" s="25">
        <v>2976</v>
      </c>
      <c r="G151" s="12" t="s">
        <v>85</v>
      </c>
      <c r="H151" s="25">
        <v>148.8</v>
      </c>
      <c r="I151" s="25">
        <f>ROUND(H151*1.0, 2)</f>
      </c>
      <c r="J151" s="25">
        <f>ROUND(H151*0.95, 2)</f>
      </c>
      <c r="K151" s="25">
        <f>ROUND(H151*0.95, 2)</f>
      </c>
      <c r="L151" s="25">
        <f>ROUND(H151*1.05, 2)</f>
      </c>
      <c r="M151" s="25">
        <f>ROUND(H151*1.25, 2)</f>
      </c>
      <c r="N151" s="25">
        <f>ROUND(H151*1.55, 2)</f>
      </c>
      <c r="O151" s="25">
        <f>ROUND(H151*1.65, 2)</f>
      </c>
      <c r="P151" s="25">
        <f>SUM(I151:O151)</f>
      </c>
      <c r="Q151" s="25">
        <f>ROUND(H151*1.5, 2)</f>
      </c>
      <c r="R151" s="25">
        <f>ROUND(H151*2.0, 2)</f>
      </c>
      <c r="S151" s="12">
        <f>IF(F151&lt;=R151, "TRIGGER INDENT", "STOCK HEALTHY")</f>
      </c>
      <c r="T151" s="25">
        <f>IF(F151&lt;=R151, ROUND(MAX(H151, (I151+Q151)-F151), 2), 0)</f>
      </c>
    </row>
    <row r="152" ht="20" customHeight="1" spans="1:20" x14ac:dyDescent="0.25">
      <c r="A152" s="14" t="s">
        <v>448</v>
      </c>
      <c r="B152" s="14" t="s">
        <v>449</v>
      </c>
      <c r="C152" s="14" t="s">
        <v>176</v>
      </c>
      <c r="D152" s="14" t="s">
        <v>139</v>
      </c>
      <c r="E152" s="26">
        <v>52.5</v>
      </c>
      <c r="F152" s="27">
        <v>1.5100002</v>
      </c>
      <c r="G152" s="14" t="s">
        <v>85</v>
      </c>
      <c r="H152" s="27">
        <v>1</v>
      </c>
      <c r="I152" s="27">
        <f>ROUND(H152*1.0, 2)</f>
      </c>
      <c r="J152" s="27">
        <f>ROUND(H152*0.95, 2)</f>
      </c>
      <c r="K152" s="27">
        <f>ROUND(H152*0.95, 2)</f>
      </c>
      <c r="L152" s="27">
        <f>ROUND(H152*1.05, 2)</f>
      </c>
      <c r="M152" s="27">
        <f>ROUND(H152*1.25, 2)</f>
      </c>
      <c r="N152" s="27">
        <f>ROUND(H152*1.55, 2)</f>
      </c>
      <c r="O152" s="27">
        <f>ROUND(H152*1.65, 2)</f>
      </c>
      <c r="P152" s="27">
        <f>SUM(I152:O152)</f>
      </c>
      <c r="Q152" s="27">
        <f>ROUND(H152*1.5, 2)</f>
      </c>
      <c r="R152" s="27">
        <f>ROUND(H152*2.0, 2)</f>
      </c>
      <c r="S152" s="14">
        <f>IF(F152&lt;=R152, "TRIGGER INDENT", "STOCK HEALTHY")</f>
      </c>
      <c r="T152" s="27">
        <f>IF(F152&lt;=R152, ROUND(MAX(H152, (I152+Q152)-F152), 2), 0)</f>
      </c>
    </row>
    <row r="153" ht="20" customHeight="1" spans="1:20" x14ac:dyDescent="0.25">
      <c r="A153" s="12" t="s">
        <v>450</v>
      </c>
      <c r="B153" s="12" t="s">
        <v>451</v>
      </c>
      <c r="C153" s="12" t="s">
        <v>171</v>
      </c>
      <c r="D153" s="12" t="s">
        <v>127</v>
      </c>
      <c r="E153" s="24">
        <v>2995.030029296875</v>
      </c>
      <c r="F153" s="25">
        <v>463.60007</v>
      </c>
      <c r="G153" s="12" t="s">
        <v>85</v>
      </c>
      <c r="H153" s="25">
        <v>1</v>
      </c>
      <c r="I153" s="25">
        <f>ROUND(H153*1.0, 2)</f>
      </c>
      <c r="J153" s="25">
        <f>ROUND(H153*0.95, 2)</f>
      </c>
      <c r="K153" s="25">
        <f>ROUND(H153*0.95, 2)</f>
      </c>
      <c r="L153" s="25">
        <f>ROUND(H153*1.05, 2)</f>
      </c>
      <c r="M153" s="25">
        <f>ROUND(H153*1.25, 2)</f>
      </c>
      <c r="N153" s="25">
        <f>ROUND(H153*1.55, 2)</f>
      </c>
      <c r="O153" s="25">
        <f>ROUND(H153*1.65, 2)</f>
      </c>
      <c r="P153" s="25">
        <f>SUM(I153:O153)</f>
      </c>
      <c r="Q153" s="25">
        <f>ROUND(H153*1.5, 2)</f>
      </c>
      <c r="R153" s="25">
        <f>ROUND(H153*2.0, 2)</f>
      </c>
      <c r="S153" s="12">
        <f>IF(F153&lt;=R153, "TRIGGER INDENT", "STOCK HEALTHY")</f>
      </c>
      <c r="T153" s="25">
        <f>IF(F153&lt;=R153, ROUND(MAX(H153, (I153+Q153)-F153), 2), 0)</f>
      </c>
    </row>
    <row r="154" ht="20" customHeight="1" spans="1:20" x14ac:dyDescent="0.25">
      <c r="A154" s="14" t="s">
        <v>452</v>
      </c>
      <c r="B154" s="14" t="s">
        <v>453</v>
      </c>
      <c r="C154" s="14" t="s">
        <v>154</v>
      </c>
      <c r="D154" s="14" t="s">
        <v>139</v>
      </c>
      <c r="E154" s="26">
        <v>53.0099983215332</v>
      </c>
      <c r="F154" s="27">
        <v>264.80002</v>
      </c>
      <c r="G154" s="14" t="s">
        <v>97</v>
      </c>
      <c r="H154" s="27">
        <v>21.18</v>
      </c>
      <c r="I154" s="27">
        <f>ROUND(H154*1.0, 2)</f>
      </c>
      <c r="J154" s="27">
        <f>ROUND(H154*0.95, 2)</f>
      </c>
      <c r="K154" s="27">
        <f>ROUND(H154*0.95, 2)</f>
      </c>
      <c r="L154" s="27">
        <f>ROUND(H154*1.05, 2)</f>
      </c>
      <c r="M154" s="27">
        <f>ROUND(H154*1.25, 2)</f>
      </c>
      <c r="N154" s="27">
        <f>ROUND(H154*1.55, 2)</f>
      </c>
      <c r="O154" s="27">
        <f>ROUND(H154*1.65, 2)</f>
      </c>
      <c r="P154" s="27">
        <f>SUM(I154:O154)</f>
      </c>
      <c r="Q154" s="27">
        <f>ROUND(H154*1.5, 2)</f>
      </c>
      <c r="R154" s="27">
        <f>ROUND(H154*2.0, 2)</f>
      </c>
      <c r="S154" s="14">
        <f>IF(F154&lt;=R154, "TRIGGER INDENT", "STOCK HEALTHY")</f>
      </c>
      <c r="T154" s="27">
        <f>IF(F154&lt;=R154, ROUND(MAX(H154, (I154+Q154)-F154), 2), 0)</f>
      </c>
    </row>
    <row r="155" ht="20" customHeight="1" spans="1:20" x14ac:dyDescent="0.25">
      <c r="A155" s="12" t="s">
        <v>454</v>
      </c>
      <c r="B155" s="12" t="s">
        <v>455</v>
      </c>
      <c r="C155" s="12" t="s">
        <v>138</v>
      </c>
      <c r="D155" s="12" t="s">
        <v>139</v>
      </c>
      <c r="E155" s="24">
        <v>954.4000244140625</v>
      </c>
      <c r="F155" s="25">
        <v>16.959995</v>
      </c>
      <c r="G155" s="12" t="s">
        <v>67</v>
      </c>
      <c r="H155" s="25">
        <v>3.39</v>
      </c>
      <c r="I155" s="25">
        <f>ROUND(H155*1.0, 2)</f>
      </c>
      <c r="J155" s="25">
        <f>ROUND(H155*0.95, 2)</f>
      </c>
      <c r="K155" s="25">
        <f>ROUND(H155*0.95, 2)</f>
      </c>
      <c r="L155" s="25">
        <f>ROUND(H155*1.05, 2)</f>
      </c>
      <c r="M155" s="25">
        <f>ROUND(H155*1.25, 2)</f>
      </c>
      <c r="N155" s="25">
        <f>ROUND(H155*1.55, 2)</f>
      </c>
      <c r="O155" s="25">
        <f>ROUND(H155*1.65, 2)</f>
      </c>
      <c r="P155" s="25">
        <f>SUM(I155:O155)</f>
      </c>
      <c r="Q155" s="25">
        <f>ROUND(H155*1.5, 2)</f>
      </c>
      <c r="R155" s="25">
        <f>ROUND(H155*2.0, 2)</f>
      </c>
      <c r="S155" s="12">
        <f>IF(F155&lt;=R155, "TRIGGER INDENT", "STOCK HEALTHY")</f>
      </c>
      <c r="T155" s="25">
        <f>IF(F155&lt;=R155, ROUND(MAX(H155, (I155+Q155)-F155), 2), 0)</f>
      </c>
    </row>
    <row r="156" ht="20" customHeight="1" spans="1:20" x14ac:dyDescent="0.25">
      <c r="A156" s="14" t="s">
        <v>456</v>
      </c>
      <c r="B156" s="14" t="s">
        <v>457</v>
      </c>
      <c r="C156" s="14" t="s">
        <v>138</v>
      </c>
      <c r="D156" s="14" t="s">
        <v>139</v>
      </c>
      <c r="E156" s="26">
        <v>317.6499938964844</v>
      </c>
      <c r="F156" s="27">
        <v>72</v>
      </c>
      <c r="G156" s="14" t="s">
        <v>45</v>
      </c>
      <c r="H156" s="27">
        <v>8.64</v>
      </c>
      <c r="I156" s="27">
        <f>ROUND(H156*1.0, 2)</f>
      </c>
      <c r="J156" s="27">
        <f>ROUND(H156*0.95, 2)</f>
      </c>
      <c r="K156" s="27">
        <f>ROUND(H156*0.95, 2)</f>
      </c>
      <c r="L156" s="27">
        <f>ROUND(H156*1.05, 2)</f>
      </c>
      <c r="M156" s="27">
        <f>ROUND(H156*1.25, 2)</f>
      </c>
      <c r="N156" s="27">
        <f>ROUND(H156*1.55, 2)</f>
      </c>
      <c r="O156" s="27">
        <f>ROUND(H156*1.65, 2)</f>
      </c>
      <c r="P156" s="27">
        <f>SUM(I156:O156)</f>
      </c>
      <c r="Q156" s="27">
        <f>ROUND(H156*1.5, 2)</f>
      </c>
      <c r="R156" s="27">
        <f>ROUND(H156*2.0, 2)</f>
      </c>
      <c r="S156" s="14">
        <f>IF(F156&lt;=R156, "TRIGGER INDENT", "STOCK HEALTHY")</f>
      </c>
      <c r="T156" s="27">
        <f>IF(F156&lt;=R156, ROUND(MAX(H156, (I156+Q156)-F156), 2), 0)</f>
      </c>
    </row>
    <row r="157" ht="20" customHeight="1" spans="1:20" x14ac:dyDescent="0.25">
      <c r="A157" s="12" t="s">
        <v>458</v>
      </c>
      <c r="B157" s="12" t="s">
        <v>459</v>
      </c>
      <c r="C157" s="12" t="s">
        <v>126</v>
      </c>
      <c r="D157" s="12" t="s">
        <v>139</v>
      </c>
      <c r="E157" s="24">
        <v>185</v>
      </c>
      <c r="F157" s="25">
        <v>384</v>
      </c>
      <c r="G157" s="12" t="s">
        <v>45</v>
      </c>
      <c r="H157" s="25">
        <v>30.72</v>
      </c>
      <c r="I157" s="25">
        <f>ROUND(H157*1.0, 2)</f>
      </c>
      <c r="J157" s="25">
        <f>ROUND(H157*0.95, 2)</f>
      </c>
      <c r="K157" s="25">
        <f>ROUND(H157*0.95, 2)</f>
      </c>
      <c r="L157" s="25">
        <f>ROUND(H157*1.05, 2)</f>
      </c>
      <c r="M157" s="25">
        <f>ROUND(H157*1.25, 2)</f>
      </c>
      <c r="N157" s="25">
        <f>ROUND(H157*1.55, 2)</f>
      </c>
      <c r="O157" s="25">
        <f>ROUND(H157*1.65, 2)</f>
      </c>
      <c r="P157" s="25">
        <f>SUM(I157:O157)</f>
      </c>
      <c r="Q157" s="25">
        <f>ROUND(H157*1.5, 2)</f>
      </c>
      <c r="R157" s="25">
        <f>ROUND(H157*2.0, 2)</f>
      </c>
      <c r="S157" s="12">
        <f>IF(F157&lt;=R157, "TRIGGER INDENT", "STOCK HEALTHY")</f>
      </c>
      <c r="T157" s="25">
        <f>IF(F157&lt;=R157, ROUND(MAX(H157, (I157+Q157)-F157), 2), 0)</f>
      </c>
    </row>
    <row r="158" ht="20" customHeight="1" spans="1:20" x14ac:dyDescent="0.25">
      <c r="A158" s="14" t="s">
        <v>460</v>
      </c>
      <c r="B158" s="14" t="s">
        <v>461</v>
      </c>
      <c r="C158" s="14" t="s">
        <v>154</v>
      </c>
      <c r="D158" s="14" t="s">
        <v>429</v>
      </c>
      <c r="E158" s="26">
        <v>100</v>
      </c>
      <c r="F158" s="27">
        <v>64</v>
      </c>
      <c r="G158" s="14" t="s">
        <v>61</v>
      </c>
      <c r="H158" s="27">
        <v>7.68</v>
      </c>
      <c r="I158" s="27">
        <f>ROUND(H158*1.0, 2)</f>
      </c>
      <c r="J158" s="27">
        <f>ROUND(H158*0.95, 2)</f>
      </c>
      <c r="K158" s="27">
        <f>ROUND(H158*0.95, 2)</f>
      </c>
      <c r="L158" s="27">
        <f>ROUND(H158*1.05, 2)</f>
      </c>
      <c r="M158" s="27">
        <f>ROUND(H158*1.25, 2)</f>
      </c>
      <c r="N158" s="27">
        <f>ROUND(H158*1.55, 2)</f>
      </c>
      <c r="O158" s="27">
        <f>ROUND(H158*1.65, 2)</f>
      </c>
      <c r="P158" s="27">
        <f>SUM(I158:O158)</f>
      </c>
      <c r="Q158" s="27">
        <f>ROUND(H158*1.5, 2)</f>
      </c>
      <c r="R158" s="27">
        <f>ROUND(H158*2.0, 2)</f>
      </c>
      <c r="S158" s="14">
        <f>IF(F158&lt;=R158, "TRIGGER INDENT", "STOCK HEALTHY")</f>
      </c>
      <c r="T158" s="27">
        <f>IF(F158&lt;=R158, ROUND(MAX(H158, (I158+Q158)-F158), 2), 0)</f>
      </c>
    </row>
    <row r="159" ht="20" customHeight="1" spans="1:20" x14ac:dyDescent="0.25">
      <c r="A159" s="12" t="s">
        <v>462</v>
      </c>
      <c r="B159" s="12" t="s">
        <v>463</v>
      </c>
      <c r="C159" s="12" t="s">
        <v>138</v>
      </c>
      <c r="D159" s="12" t="s">
        <v>139</v>
      </c>
      <c r="E159" s="24">
        <v>2478.800048828125</v>
      </c>
      <c r="F159" s="25">
        <v>8.800001</v>
      </c>
      <c r="G159" s="12" t="s">
        <v>67</v>
      </c>
      <c r="H159" s="25">
        <v>1.76</v>
      </c>
      <c r="I159" s="25">
        <f>ROUND(H159*1.0, 2)</f>
      </c>
      <c r="J159" s="25">
        <f>ROUND(H159*0.95, 2)</f>
      </c>
      <c r="K159" s="25">
        <f>ROUND(H159*0.95, 2)</f>
      </c>
      <c r="L159" s="25">
        <f>ROUND(H159*1.05, 2)</f>
      </c>
      <c r="M159" s="25">
        <f>ROUND(H159*1.25, 2)</f>
      </c>
      <c r="N159" s="25">
        <f>ROUND(H159*1.55, 2)</f>
      </c>
      <c r="O159" s="25">
        <f>ROUND(H159*1.65, 2)</f>
      </c>
      <c r="P159" s="25">
        <f>SUM(I159:O159)</f>
      </c>
      <c r="Q159" s="25">
        <f>ROUND(H159*1.5, 2)</f>
      </c>
      <c r="R159" s="25">
        <f>ROUND(H159*2.0, 2)</f>
      </c>
      <c r="S159" s="12">
        <f>IF(F159&lt;=R159, "TRIGGER INDENT", "STOCK HEALTHY")</f>
      </c>
      <c r="T159" s="25">
        <f>IF(F159&lt;=R159, ROUND(MAX(H159, (I159+Q159)-F159), 2), 0)</f>
      </c>
    </row>
    <row r="160" ht="20" customHeight="1" spans="1:20" x14ac:dyDescent="0.25">
      <c r="A160" s="14" t="s">
        <v>464</v>
      </c>
      <c r="B160" s="14" t="s">
        <v>465</v>
      </c>
      <c r="C160" s="14" t="s">
        <v>138</v>
      </c>
      <c r="D160" s="14" t="s">
        <v>139</v>
      </c>
      <c r="E160" s="26">
        <v>266.79998779296875</v>
      </c>
      <c r="F160" s="27">
        <v>356.79996</v>
      </c>
      <c r="G160" s="14" t="s">
        <v>91</v>
      </c>
      <c r="H160" s="27">
        <v>0.75</v>
      </c>
      <c r="I160" s="27">
        <f>ROUND(H160*1.0, 2)</f>
      </c>
      <c r="J160" s="27">
        <f>ROUND(H160*0.95, 2)</f>
      </c>
      <c r="K160" s="27">
        <f>ROUND(H160*0.95, 2)</f>
      </c>
      <c r="L160" s="27">
        <f>ROUND(H160*1.05, 2)</f>
      </c>
      <c r="M160" s="27">
        <f>ROUND(H160*1.25, 2)</f>
      </c>
      <c r="N160" s="27">
        <f>ROUND(H160*1.55, 2)</f>
      </c>
      <c r="O160" s="27">
        <f>ROUND(H160*1.65, 2)</f>
      </c>
      <c r="P160" s="27">
        <f>SUM(I160:O160)</f>
      </c>
      <c r="Q160" s="27">
        <f>ROUND(H160*1.5, 2)</f>
      </c>
      <c r="R160" s="27">
        <f>ROUND(H160*2.0, 2)</f>
      </c>
      <c r="S160" s="14">
        <f>IF(F160&lt;=R160, "TRIGGER INDENT", "STOCK HEALTHY")</f>
      </c>
      <c r="T160" s="27">
        <f>IF(F160&lt;=R160, ROUND(MAX(H160, (I160+Q160)-F160), 2), 0)</f>
      </c>
    </row>
    <row r="161" ht="20" customHeight="1" spans="1:20" x14ac:dyDescent="0.25">
      <c r="A161" s="12" t="s">
        <v>466</v>
      </c>
      <c r="B161" s="12" t="s">
        <v>467</v>
      </c>
      <c r="C161" s="12" t="s">
        <v>134</v>
      </c>
      <c r="D161" s="12" t="s">
        <v>135</v>
      </c>
      <c r="E161" s="24">
        <v>160.6699981689453</v>
      </c>
      <c r="F161" s="25">
        <v>32</v>
      </c>
      <c r="G161" s="12" t="s">
        <v>61</v>
      </c>
      <c r="H161" s="25">
        <v>6.4</v>
      </c>
      <c r="I161" s="25">
        <f>ROUND(H161*1.0, 2)</f>
      </c>
      <c r="J161" s="25">
        <f>ROUND(H161*0.95, 2)</f>
      </c>
      <c r="K161" s="25">
        <f>ROUND(H161*0.95, 2)</f>
      </c>
      <c r="L161" s="25">
        <f>ROUND(H161*1.05, 2)</f>
      </c>
      <c r="M161" s="25">
        <f>ROUND(H161*1.25, 2)</f>
      </c>
      <c r="N161" s="25">
        <f>ROUND(H161*1.55, 2)</f>
      </c>
      <c r="O161" s="25">
        <f>ROUND(H161*1.65, 2)</f>
      </c>
      <c r="P161" s="25">
        <f>SUM(I161:O161)</f>
      </c>
      <c r="Q161" s="25">
        <f>ROUND(H161*1.5, 2)</f>
      </c>
      <c r="R161" s="25">
        <f>ROUND(H161*2.0, 2)</f>
      </c>
      <c r="S161" s="12">
        <f>IF(F161&lt;=R161, "TRIGGER INDENT", "STOCK HEALTHY")</f>
      </c>
      <c r="T161" s="25">
        <f>IF(F161&lt;=R161, ROUND(MAX(H161, (I161+Q161)-F161), 2), 0)</f>
      </c>
    </row>
    <row r="162" ht="20" customHeight="1" spans="1:20" x14ac:dyDescent="0.25">
      <c r="A162" s="14" t="s">
        <v>468</v>
      </c>
      <c r="B162" s="14" t="s">
        <v>469</v>
      </c>
      <c r="C162" s="14" t="s">
        <v>138</v>
      </c>
      <c r="D162" s="14" t="s">
        <v>139</v>
      </c>
      <c r="E162" s="26">
        <v>333.0899963378906</v>
      </c>
      <c r="F162" s="27">
        <v>406.39993</v>
      </c>
      <c r="G162" s="14" t="s">
        <v>61</v>
      </c>
      <c r="H162" s="27">
        <v>32.51</v>
      </c>
      <c r="I162" s="27">
        <f>ROUND(H162*1.0, 2)</f>
      </c>
      <c r="J162" s="27">
        <f>ROUND(H162*0.95, 2)</f>
      </c>
      <c r="K162" s="27">
        <f>ROUND(H162*0.95, 2)</f>
      </c>
      <c r="L162" s="27">
        <f>ROUND(H162*1.05, 2)</f>
      </c>
      <c r="M162" s="27">
        <f>ROUND(H162*1.25, 2)</f>
      </c>
      <c r="N162" s="27">
        <f>ROUND(H162*1.55, 2)</f>
      </c>
      <c r="O162" s="27">
        <f>ROUND(H162*1.65, 2)</f>
      </c>
      <c r="P162" s="27">
        <f>SUM(I162:O162)</f>
      </c>
      <c r="Q162" s="27">
        <f>ROUND(H162*1.5, 2)</f>
      </c>
      <c r="R162" s="27">
        <f>ROUND(H162*2.0, 2)</f>
      </c>
      <c r="S162" s="14">
        <f>IF(F162&lt;=R162, "TRIGGER INDENT", "STOCK HEALTHY")</f>
      </c>
      <c r="T162" s="27">
        <f>IF(F162&lt;=R162, ROUND(MAX(H162, (I162+Q162)-F162), 2), 0)</f>
      </c>
    </row>
    <row r="163" ht="20" customHeight="1" spans="1:20" x14ac:dyDescent="0.25">
      <c r="A163" s="12" t="s">
        <v>470</v>
      </c>
      <c r="B163" s="12" t="s">
        <v>471</v>
      </c>
      <c r="C163" s="12" t="s">
        <v>192</v>
      </c>
      <c r="D163" s="12" t="s">
        <v>139</v>
      </c>
      <c r="E163" s="24">
        <v>100.9000015258789</v>
      </c>
      <c r="F163" s="25">
        <v>1168</v>
      </c>
      <c r="G163" s="12" t="s">
        <v>67</v>
      </c>
      <c r="H163" s="25">
        <v>58.4</v>
      </c>
      <c r="I163" s="25">
        <f>ROUND(H163*1.0, 2)</f>
      </c>
      <c r="J163" s="25">
        <f>ROUND(H163*0.95, 2)</f>
      </c>
      <c r="K163" s="25">
        <f>ROUND(H163*0.95, 2)</f>
      </c>
      <c r="L163" s="25">
        <f>ROUND(H163*1.05, 2)</f>
      </c>
      <c r="M163" s="25">
        <f>ROUND(H163*1.25, 2)</f>
      </c>
      <c r="N163" s="25">
        <f>ROUND(H163*1.55, 2)</f>
      </c>
      <c r="O163" s="25">
        <f>ROUND(H163*1.65, 2)</f>
      </c>
      <c r="P163" s="25">
        <f>SUM(I163:O163)</f>
      </c>
      <c r="Q163" s="25">
        <f>ROUND(H163*1.5, 2)</f>
      </c>
      <c r="R163" s="25">
        <f>ROUND(H163*2.0, 2)</f>
      </c>
      <c r="S163" s="12">
        <f>IF(F163&lt;=R163, "TRIGGER INDENT", "STOCK HEALTHY")</f>
      </c>
      <c r="T163" s="25">
        <f>IF(F163&lt;=R163, ROUND(MAX(H163, (I163+Q163)-F163), 2), 0)</f>
      </c>
    </row>
    <row r="164" ht="20" customHeight="1" spans="1:20" x14ac:dyDescent="0.25">
      <c r="A164" s="14" t="s">
        <v>472</v>
      </c>
      <c r="B164" s="14" t="s">
        <v>473</v>
      </c>
      <c r="C164" s="14" t="s">
        <v>160</v>
      </c>
      <c r="D164" s="14" t="s">
        <v>139</v>
      </c>
      <c r="E164" s="26">
        <v>717.5</v>
      </c>
      <c r="F164" s="27">
        <v>206.39996</v>
      </c>
      <c r="G164" s="14" t="s">
        <v>55</v>
      </c>
      <c r="H164" s="27">
        <v>200</v>
      </c>
      <c r="I164" s="27">
        <f>ROUND(H164*1.0, 2)</f>
      </c>
      <c r="J164" s="27">
        <f>ROUND(H164*0.95, 2)</f>
      </c>
      <c r="K164" s="27">
        <f>ROUND(H164*0.95, 2)</f>
      </c>
      <c r="L164" s="27">
        <f>ROUND(H164*1.05, 2)</f>
      </c>
      <c r="M164" s="27">
        <f>ROUND(H164*1.25, 2)</f>
      </c>
      <c r="N164" s="27">
        <f>ROUND(H164*1.55, 2)</f>
      </c>
      <c r="O164" s="27">
        <f>ROUND(H164*1.65, 2)</f>
      </c>
      <c r="P164" s="27">
        <f>SUM(I164:O164)</f>
      </c>
      <c r="Q164" s="27">
        <f>ROUND(H164*1.5, 2)</f>
      </c>
      <c r="R164" s="27">
        <f>ROUND(H164*2.0, 2)</f>
      </c>
      <c r="S164" s="14">
        <f>IF(F164&lt;=R164, "TRIGGER INDENT", "STOCK HEALTHY")</f>
      </c>
      <c r="T164" s="27">
        <f>IF(F164&lt;=R164, ROUND(MAX(H164, (I164+Q164)-F164), 2), 0)</f>
      </c>
    </row>
    <row r="165" ht="20" customHeight="1" spans="1:20" x14ac:dyDescent="0.25">
      <c r="A165" s="12" t="s">
        <v>474</v>
      </c>
      <c r="B165" s="12" t="s">
        <v>475</v>
      </c>
      <c r="C165" s="12" t="s">
        <v>160</v>
      </c>
      <c r="D165" s="12" t="s">
        <v>139</v>
      </c>
      <c r="E165" s="24">
        <v>606.3200073242188</v>
      </c>
      <c r="F165" s="25">
        <v>240</v>
      </c>
      <c r="G165" s="12" t="s">
        <v>91</v>
      </c>
      <c r="H165" s="25">
        <v>19.2</v>
      </c>
      <c r="I165" s="25">
        <f>ROUND(H165*1.0, 2)</f>
      </c>
      <c r="J165" s="25">
        <f>ROUND(H165*0.95, 2)</f>
      </c>
      <c r="K165" s="25">
        <f>ROUND(H165*0.95, 2)</f>
      </c>
      <c r="L165" s="25">
        <f>ROUND(H165*1.05, 2)</f>
      </c>
      <c r="M165" s="25">
        <f>ROUND(H165*1.25, 2)</f>
      </c>
      <c r="N165" s="25">
        <f>ROUND(H165*1.55, 2)</f>
      </c>
      <c r="O165" s="25">
        <f>ROUND(H165*1.65, 2)</f>
      </c>
      <c r="P165" s="25">
        <f>SUM(I165:O165)</f>
      </c>
      <c r="Q165" s="25">
        <f>ROUND(H165*1.5, 2)</f>
      </c>
      <c r="R165" s="25">
        <f>ROUND(H165*2.0, 2)</f>
      </c>
      <c r="S165" s="12">
        <f>IF(F165&lt;=R165, "TRIGGER INDENT", "STOCK HEALTHY")</f>
      </c>
      <c r="T165" s="25">
        <f>IF(F165&lt;=R165, ROUND(MAX(H165, (I165+Q165)-F165), 2), 0)</f>
      </c>
    </row>
    <row r="166" ht="20" customHeight="1" spans="1:20" x14ac:dyDescent="0.25">
      <c r="A166" s="14" t="s">
        <v>476</v>
      </c>
      <c r="B166" s="14" t="s">
        <v>477</v>
      </c>
      <c r="C166" s="14" t="s">
        <v>134</v>
      </c>
      <c r="D166" s="14" t="s">
        <v>135</v>
      </c>
      <c r="E166" s="26">
        <v>161.57000732421875</v>
      </c>
      <c r="F166" s="27">
        <v>48</v>
      </c>
      <c r="G166" s="14" t="s">
        <v>61</v>
      </c>
      <c r="H166" s="27">
        <v>9.6</v>
      </c>
      <c r="I166" s="27">
        <f>ROUND(H166*1.0, 2)</f>
      </c>
      <c r="J166" s="27">
        <f>ROUND(H166*0.95, 2)</f>
      </c>
      <c r="K166" s="27">
        <f>ROUND(H166*0.95, 2)</f>
      </c>
      <c r="L166" s="27">
        <f>ROUND(H166*1.05, 2)</f>
      </c>
      <c r="M166" s="27">
        <f>ROUND(H166*1.25, 2)</f>
      </c>
      <c r="N166" s="27">
        <f>ROUND(H166*1.55, 2)</f>
      </c>
      <c r="O166" s="27">
        <f>ROUND(H166*1.65, 2)</f>
      </c>
      <c r="P166" s="27">
        <f>SUM(I166:O166)</f>
      </c>
      <c r="Q166" s="27">
        <f>ROUND(H166*1.5, 2)</f>
      </c>
      <c r="R166" s="27">
        <f>ROUND(H166*2.0, 2)</f>
      </c>
      <c r="S166" s="14">
        <f>IF(F166&lt;=R166, "TRIGGER INDENT", "STOCK HEALTHY")</f>
      </c>
      <c r="T166" s="27">
        <f>IF(F166&lt;=R166, ROUND(MAX(H166, (I166+Q166)-F166), 2), 0)</f>
      </c>
    </row>
    <row r="167" ht="20" customHeight="1" spans="1:20" x14ac:dyDescent="0.25">
      <c r="A167" s="12" t="s">
        <v>478</v>
      </c>
      <c r="B167" s="12" t="s">
        <v>479</v>
      </c>
      <c r="C167" s="12" t="s">
        <v>138</v>
      </c>
      <c r="D167" s="12" t="s">
        <v>139</v>
      </c>
      <c r="E167" s="24">
        <v>680</v>
      </c>
      <c r="F167" s="25">
        <v>336</v>
      </c>
      <c r="G167" s="12" t="s">
        <v>55</v>
      </c>
      <c r="H167" s="25">
        <v>26.88</v>
      </c>
      <c r="I167" s="25">
        <f>ROUND(H167*1.0, 2)</f>
      </c>
      <c r="J167" s="25">
        <f>ROUND(H167*0.95, 2)</f>
      </c>
      <c r="K167" s="25">
        <f>ROUND(H167*0.95, 2)</f>
      </c>
      <c r="L167" s="25">
        <f>ROUND(H167*1.05, 2)</f>
      </c>
      <c r="M167" s="25">
        <f>ROUND(H167*1.25, 2)</f>
      </c>
      <c r="N167" s="25">
        <f>ROUND(H167*1.55, 2)</f>
      </c>
      <c r="O167" s="25">
        <f>ROUND(H167*1.65, 2)</f>
      </c>
      <c r="P167" s="25">
        <f>SUM(I167:O167)</f>
      </c>
      <c r="Q167" s="25">
        <f>ROUND(H167*1.5, 2)</f>
      </c>
      <c r="R167" s="25">
        <f>ROUND(H167*2.0, 2)</f>
      </c>
      <c r="S167" s="12">
        <f>IF(F167&lt;=R167, "TRIGGER INDENT", "STOCK HEALTHY")</f>
      </c>
      <c r="T167" s="25">
        <f>IF(F167&lt;=R167, ROUND(MAX(H167, (I167+Q167)-F167), 2), 0)</f>
      </c>
    </row>
    <row r="168" ht="20" customHeight="1" spans="1:20" x14ac:dyDescent="0.25">
      <c r="A168" s="14" t="s">
        <v>480</v>
      </c>
      <c r="B168" s="14" t="s">
        <v>481</v>
      </c>
      <c r="C168" s="14" t="s">
        <v>138</v>
      </c>
      <c r="D168" s="14" t="s">
        <v>139</v>
      </c>
      <c r="E168" s="26">
        <v>266.8900146484375</v>
      </c>
      <c r="F168" s="27">
        <v>16.800001</v>
      </c>
      <c r="G168" s="14" t="s">
        <v>67</v>
      </c>
      <c r="H168" s="27">
        <v>3.36</v>
      </c>
      <c r="I168" s="27">
        <f>ROUND(H168*1.0, 2)</f>
      </c>
      <c r="J168" s="27">
        <f>ROUND(H168*0.95, 2)</f>
      </c>
      <c r="K168" s="27">
        <f>ROUND(H168*0.95, 2)</f>
      </c>
      <c r="L168" s="27">
        <f>ROUND(H168*1.05, 2)</f>
      </c>
      <c r="M168" s="27">
        <f>ROUND(H168*1.25, 2)</f>
      </c>
      <c r="N168" s="27">
        <f>ROUND(H168*1.55, 2)</f>
      </c>
      <c r="O168" s="27">
        <f>ROUND(H168*1.65, 2)</f>
      </c>
      <c r="P168" s="27">
        <f>SUM(I168:O168)</f>
      </c>
      <c r="Q168" s="27">
        <f>ROUND(H168*1.5, 2)</f>
      </c>
      <c r="R168" s="27">
        <f>ROUND(H168*2.0, 2)</f>
      </c>
      <c r="S168" s="14">
        <f>IF(F168&lt;=R168, "TRIGGER INDENT", "STOCK HEALTHY")</f>
      </c>
      <c r="T168" s="27">
        <f>IF(F168&lt;=R168, ROUND(MAX(H168, (I168+Q168)-F168), 2), 0)</f>
      </c>
    </row>
    <row r="169" ht="20" customHeight="1" spans="1:20" x14ac:dyDescent="0.25">
      <c r="A169" s="12" t="s">
        <v>482</v>
      </c>
      <c r="B169" s="12" t="s">
        <v>483</v>
      </c>
      <c r="C169" s="12" t="s">
        <v>154</v>
      </c>
      <c r="D169" s="12" t="s">
        <v>135</v>
      </c>
      <c r="E169" s="24">
        <v>44.529998779296875</v>
      </c>
      <c r="F169" s="25">
        <v>80</v>
      </c>
      <c r="G169" s="12" t="s">
        <v>67</v>
      </c>
      <c r="H169" s="25">
        <v>9.6</v>
      </c>
      <c r="I169" s="25">
        <f>ROUND(H169*1.0, 2)</f>
      </c>
      <c r="J169" s="25">
        <f>ROUND(H169*0.95, 2)</f>
      </c>
      <c r="K169" s="25">
        <f>ROUND(H169*0.95, 2)</f>
      </c>
      <c r="L169" s="25">
        <f>ROUND(H169*1.05, 2)</f>
      </c>
      <c r="M169" s="25">
        <f>ROUND(H169*1.25, 2)</f>
      </c>
      <c r="N169" s="25">
        <f>ROUND(H169*1.55, 2)</f>
      </c>
      <c r="O169" s="25">
        <f>ROUND(H169*1.65, 2)</f>
      </c>
      <c r="P169" s="25">
        <f>SUM(I169:O169)</f>
      </c>
      <c r="Q169" s="25">
        <f>ROUND(H169*1.5, 2)</f>
      </c>
      <c r="R169" s="25">
        <f>ROUND(H169*2.0, 2)</f>
      </c>
      <c r="S169" s="12">
        <f>IF(F169&lt;=R169, "TRIGGER INDENT", "STOCK HEALTHY")</f>
      </c>
      <c r="T169" s="25">
        <f>IF(F169&lt;=R169, ROUND(MAX(H169, (I169+Q169)-F169), 2), 0)</f>
      </c>
    </row>
    <row r="170" ht="20" customHeight="1" spans="1:20" x14ac:dyDescent="0.25">
      <c r="A170" s="14" t="s">
        <v>484</v>
      </c>
      <c r="B170" s="14" t="s">
        <v>485</v>
      </c>
      <c r="C170" s="14" t="s">
        <v>138</v>
      </c>
      <c r="D170" s="14" t="s">
        <v>139</v>
      </c>
      <c r="E170" s="26">
        <v>1594.5</v>
      </c>
      <c r="F170" s="27">
        <v>37.6</v>
      </c>
      <c r="G170" s="14" t="s">
        <v>91</v>
      </c>
      <c r="H170" s="27">
        <v>7.52</v>
      </c>
      <c r="I170" s="27">
        <f>ROUND(H170*1.0, 2)</f>
      </c>
      <c r="J170" s="27">
        <f>ROUND(H170*0.95, 2)</f>
      </c>
      <c r="K170" s="27">
        <f>ROUND(H170*0.95, 2)</f>
      </c>
      <c r="L170" s="27">
        <f>ROUND(H170*1.05, 2)</f>
      </c>
      <c r="M170" s="27">
        <f>ROUND(H170*1.25, 2)</f>
      </c>
      <c r="N170" s="27">
        <f>ROUND(H170*1.55, 2)</f>
      </c>
      <c r="O170" s="27">
        <f>ROUND(H170*1.65, 2)</f>
      </c>
      <c r="P170" s="27">
        <f>SUM(I170:O170)</f>
      </c>
      <c r="Q170" s="27">
        <f>ROUND(H170*1.5, 2)</f>
      </c>
      <c r="R170" s="27">
        <f>ROUND(H170*2.0, 2)</f>
      </c>
      <c r="S170" s="14">
        <f>IF(F170&lt;=R170, "TRIGGER INDENT", "STOCK HEALTHY")</f>
      </c>
      <c r="T170" s="27">
        <f>IF(F170&lt;=R170, ROUND(MAX(H170, (I170+Q170)-F170), 2), 0)</f>
      </c>
    </row>
    <row r="171" ht="20" customHeight="1" spans="1:20" x14ac:dyDescent="0.25">
      <c r="A171" s="12" t="s">
        <v>486</v>
      </c>
      <c r="B171" s="12" t="s">
        <v>487</v>
      </c>
      <c r="C171" s="12" t="s">
        <v>126</v>
      </c>
      <c r="D171" s="12" t="s">
        <v>127</v>
      </c>
      <c r="E171" s="24">
        <v>457.1400146484375</v>
      </c>
      <c r="F171" s="25">
        <v>32</v>
      </c>
      <c r="G171" s="12" t="s">
        <v>45</v>
      </c>
      <c r="H171" s="25">
        <v>6.4</v>
      </c>
      <c r="I171" s="25">
        <f>ROUND(H171*1.0, 2)</f>
      </c>
      <c r="J171" s="25">
        <f>ROUND(H171*0.95, 2)</f>
      </c>
      <c r="K171" s="25">
        <f>ROUND(H171*0.95, 2)</f>
      </c>
      <c r="L171" s="25">
        <f>ROUND(H171*1.05, 2)</f>
      </c>
      <c r="M171" s="25">
        <f>ROUND(H171*1.25, 2)</f>
      </c>
      <c r="N171" s="25">
        <f>ROUND(H171*1.55, 2)</f>
      </c>
      <c r="O171" s="25">
        <f>ROUND(H171*1.65, 2)</f>
      </c>
      <c r="P171" s="25">
        <f>SUM(I171:O171)</f>
      </c>
      <c r="Q171" s="25">
        <f>ROUND(H171*1.5, 2)</f>
      </c>
      <c r="R171" s="25">
        <f>ROUND(H171*2.0, 2)</f>
      </c>
      <c r="S171" s="12">
        <f>IF(F171&lt;=R171, "TRIGGER INDENT", "STOCK HEALTHY")</f>
      </c>
      <c r="T171" s="25">
        <f>IF(F171&lt;=R171, ROUND(MAX(H171, (I171+Q171)-F171), 2), 0)</f>
      </c>
    </row>
    <row r="172" ht="20" customHeight="1" spans="1:20" x14ac:dyDescent="0.25">
      <c r="A172" s="14" t="s">
        <v>488</v>
      </c>
      <c r="B172" s="14" t="s">
        <v>489</v>
      </c>
      <c r="C172" s="14" t="s">
        <v>314</v>
      </c>
      <c r="D172" s="14" t="s">
        <v>490</v>
      </c>
      <c r="E172" s="26">
        <v>174.02000427246094</v>
      </c>
      <c r="F172" s="27">
        <v>1.5100002</v>
      </c>
      <c r="G172" s="14" t="s">
        <v>85</v>
      </c>
      <c r="H172" s="27">
        <v>1</v>
      </c>
      <c r="I172" s="27">
        <f>ROUND(H172*1.0, 2)</f>
      </c>
      <c r="J172" s="27">
        <f>ROUND(H172*0.95, 2)</f>
      </c>
      <c r="K172" s="27">
        <f>ROUND(H172*0.95, 2)</f>
      </c>
      <c r="L172" s="27">
        <f>ROUND(H172*1.05, 2)</f>
      </c>
      <c r="M172" s="27">
        <f>ROUND(H172*1.25, 2)</f>
      </c>
      <c r="N172" s="27">
        <f>ROUND(H172*1.55, 2)</f>
      </c>
      <c r="O172" s="27">
        <f>ROUND(H172*1.65, 2)</f>
      </c>
      <c r="P172" s="27">
        <f>SUM(I172:O172)</f>
      </c>
      <c r="Q172" s="27">
        <f>ROUND(H172*1.5, 2)</f>
      </c>
      <c r="R172" s="27">
        <f>ROUND(H172*2.0, 2)</f>
      </c>
      <c r="S172" s="14">
        <f>IF(F172&lt;=R172, "TRIGGER INDENT", "STOCK HEALTHY")</f>
      </c>
      <c r="T172" s="27">
        <f>IF(F172&lt;=R172, ROUND(MAX(H172, (I172+Q172)-F172), 2), 0)</f>
      </c>
    </row>
    <row r="173" ht="20" customHeight="1" spans="1:20" x14ac:dyDescent="0.25">
      <c r="A173" s="12" t="s">
        <v>491</v>
      </c>
      <c r="B173" s="12" t="s">
        <v>492</v>
      </c>
      <c r="C173" s="12" t="s">
        <v>160</v>
      </c>
      <c r="D173" s="12" t="s">
        <v>139</v>
      </c>
      <c r="E173" s="24">
        <v>544.2000122070312</v>
      </c>
      <c r="F173" s="25">
        <v>19.2</v>
      </c>
      <c r="G173" s="12" t="s">
        <v>45</v>
      </c>
      <c r="H173" s="25">
        <v>200</v>
      </c>
      <c r="I173" s="25">
        <f>ROUND(H173*1.0, 2)</f>
      </c>
      <c r="J173" s="25">
        <f>ROUND(H173*0.95, 2)</f>
      </c>
      <c r="K173" s="25">
        <f>ROUND(H173*0.95, 2)</f>
      </c>
      <c r="L173" s="25">
        <f>ROUND(H173*1.05, 2)</f>
      </c>
      <c r="M173" s="25">
        <f>ROUND(H173*1.25, 2)</f>
      </c>
      <c r="N173" s="25">
        <f>ROUND(H173*1.55, 2)</f>
      </c>
      <c r="O173" s="25">
        <f>ROUND(H173*1.65, 2)</f>
      </c>
      <c r="P173" s="25">
        <f>SUM(I173:O173)</f>
      </c>
      <c r="Q173" s="25">
        <f>ROUND(H173*1.5, 2)</f>
      </c>
      <c r="R173" s="25">
        <f>ROUND(H173*2.0, 2)</f>
      </c>
      <c r="S173" s="12">
        <f>IF(F173&lt;=R173, "TRIGGER INDENT", "STOCK HEALTHY")</f>
      </c>
      <c r="T173" s="25">
        <f>IF(F173&lt;=R173, ROUND(MAX(H173, (I173+Q173)-F173), 2), 0)</f>
      </c>
    </row>
    <row r="174" ht="20" customHeight="1" spans="1:20" x14ac:dyDescent="0.25">
      <c r="A174" s="14" t="s">
        <v>493</v>
      </c>
      <c r="B174" s="14" t="s">
        <v>494</v>
      </c>
      <c r="C174" s="14" t="s">
        <v>154</v>
      </c>
      <c r="D174" s="14" t="s">
        <v>139</v>
      </c>
      <c r="E174" s="26">
        <v>90</v>
      </c>
      <c r="F174" s="27">
        <v>30.880003</v>
      </c>
      <c r="G174" s="14" t="s">
        <v>79</v>
      </c>
      <c r="H174" s="27">
        <v>6.18</v>
      </c>
      <c r="I174" s="27">
        <f>ROUND(H174*1.0, 2)</f>
      </c>
      <c r="J174" s="27">
        <f>ROUND(H174*0.95, 2)</f>
      </c>
      <c r="K174" s="27">
        <f>ROUND(H174*0.95, 2)</f>
      </c>
      <c r="L174" s="27">
        <f>ROUND(H174*1.05, 2)</f>
      </c>
      <c r="M174" s="27">
        <f>ROUND(H174*1.25, 2)</f>
      </c>
      <c r="N174" s="27">
        <f>ROUND(H174*1.55, 2)</f>
      </c>
      <c r="O174" s="27">
        <f>ROUND(H174*1.65, 2)</f>
      </c>
      <c r="P174" s="27">
        <f>SUM(I174:O174)</f>
      </c>
      <c r="Q174" s="27">
        <f>ROUND(H174*1.5, 2)</f>
      </c>
      <c r="R174" s="27">
        <f>ROUND(H174*2.0, 2)</f>
      </c>
      <c r="S174" s="14">
        <f>IF(F174&lt;=R174, "TRIGGER INDENT", "STOCK HEALTHY")</f>
      </c>
      <c r="T174" s="27">
        <f>IF(F174&lt;=R174, ROUND(MAX(H174, (I174+Q174)-F174), 2), 0)</f>
      </c>
    </row>
    <row r="175" ht="20" customHeight="1" spans="1:20" x14ac:dyDescent="0.25">
      <c r="A175" s="12" t="s">
        <v>495</v>
      </c>
      <c r="B175" s="12" t="s">
        <v>496</v>
      </c>
      <c r="C175" s="12" t="s">
        <v>154</v>
      </c>
      <c r="D175" s="12" t="s">
        <v>179</v>
      </c>
      <c r="E175" s="24">
        <v>28.829999923706055</v>
      </c>
      <c r="F175" s="25">
        <v>608</v>
      </c>
      <c r="G175" s="12" t="s">
        <v>61</v>
      </c>
      <c r="H175" s="25">
        <v>48.64</v>
      </c>
      <c r="I175" s="25">
        <f>ROUND(H175*1.0, 2)</f>
      </c>
      <c r="J175" s="25">
        <f>ROUND(H175*0.95, 2)</f>
      </c>
      <c r="K175" s="25">
        <f>ROUND(H175*0.95, 2)</f>
      </c>
      <c r="L175" s="25">
        <f>ROUND(H175*1.05, 2)</f>
      </c>
      <c r="M175" s="25">
        <f>ROUND(H175*1.25, 2)</f>
      </c>
      <c r="N175" s="25">
        <f>ROUND(H175*1.55, 2)</f>
      </c>
      <c r="O175" s="25">
        <f>ROUND(H175*1.65, 2)</f>
      </c>
      <c r="P175" s="25">
        <f>SUM(I175:O175)</f>
      </c>
      <c r="Q175" s="25">
        <f>ROUND(H175*1.5, 2)</f>
      </c>
      <c r="R175" s="25">
        <f>ROUND(H175*2.0, 2)</f>
      </c>
      <c r="S175" s="12">
        <f>IF(F175&lt;=R175, "TRIGGER INDENT", "STOCK HEALTHY")</f>
      </c>
      <c r="T175" s="25">
        <f>IF(F175&lt;=R175, ROUND(MAX(H175, (I175+Q175)-F175), 2), 0)</f>
      </c>
    </row>
    <row r="176" ht="20" customHeight="1" spans="1:20" x14ac:dyDescent="0.25">
      <c r="A176" s="14" t="s">
        <v>497</v>
      </c>
      <c r="B176" s="14" t="s">
        <v>498</v>
      </c>
      <c r="C176" s="14" t="s">
        <v>138</v>
      </c>
      <c r="D176" s="14" t="s">
        <v>139</v>
      </c>
      <c r="E176" s="26">
        <v>650</v>
      </c>
      <c r="F176" s="27">
        <v>32</v>
      </c>
      <c r="G176" s="14" t="s">
        <v>45</v>
      </c>
      <c r="H176" s="27">
        <v>6.4</v>
      </c>
      <c r="I176" s="27">
        <f>ROUND(H176*1.0, 2)</f>
      </c>
      <c r="J176" s="27">
        <f>ROUND(H176*0.95, 2)</f>
      </c>
      <c r="K176" s="27">
        <f>ROUND(H176*0.95, 2)</f>
      </c>
      <c r="L176" s="27">
        <f>ROUND(H176*1.05, 2)</f>
      </c>
      <c r="M176" s="27">
        <f>ROUND(H176*1.25, 2)</f>
      </c>
      <c r="N176" s="27">
        <f>ROUND(H176*1.55, 2)</f>
      </c>
      <c r="O176" s="27">
        <f>ROUND(H176*1.65, 2)</f>
      </c>
      <c r="P176" s="27">
        <f>SUM(I176:O176)</f>
      </c>
      <c r="Q176" s="27">
        <f>ROUND(H176*1.5, 2)</f>
      </c>
      <c r="R176" s="27">
        <f>ROUND(H176*2.0, 2)</f>
      </c>
      <c r="S176" s="14">
        <f>IF(F176&lt;=R176, "TRIGGER INDENT", "STOCK HEALTHY")</f>
      </c>
      <c r="T176" s="27">
        <f>IF(F176&lt;=R176, ROUND(MAX(H176, (I176+Q176)-F176), 2), 0)</f>
      </c>
    </row>
    <row r="177" ht="20" customHeight="1" spans="1:20" x14ac:dyDescent="0.25">
      <c r="A177" s="12" t="s">
        <v>499</v>
      </c>
      <c r="B177" s="12" t="s">
        <v>500</v>
      </c>
      <c r="C177" s="12" t="s">
        <v>134</v>
      </c>
      <c r="D177" s="12" t="s">
        <v>135</v>
      </c>
      <c r="E177" s="24">
        <v>100</v>
      </c>
      <c r="F177" s="25">
        <v>1.5100002</v>
      </c>
      <c r="G177" s="12" t="s">
        <v>85</v>
      </c>
      <c r="H177" s="25">
        <v>1</v>
      </c>
      <c r="I177" s="25">
        <f>ROUND(H177*1.0, 2)</f>
      </c>
      <c r="J177" s="25">
        <f>ROUND(H177*0.95, 2)</f>
      </c>
      <c r="K177" s="25">
        <f>ROUND(H177*0.95, 2)</f>
      </c>
      <c r="L177" s="25">
        <f>ROUND(H177*1.05, 2)</f>
      </c>
      <c r="M177" s="25">
        <f>ROUND(H177*1.25, 2)</f>
      </c>
      <c r="N177" s="25">
        <f>ROUND(H177*1.55, 2)</f>
      </c>
      <c r="O177" s="25">
        <f>ROUND(H177*1.65, 2)</f>
      </c>
      <c r="P177" s="25">
        <f>SUM(I177:O177)</f>
      </c>
      <c r="Q177" s="25">
        <f>ROUND(H177*1.5, 2)</f>
      </c>
      <c r="R177" s="25">
        <f>ROUND(H177*2.0, 2)</f>
      </c>
      <c r="S177" s="12">
        <f>IF(F177&lt;=R177, "TRIGGER INDENT", "STOCK HEALTHY")</f>
      </c>
      <c r="T177" s="25">
        <f>IF(F177&lt;=R177, ROUND(MAX(H177, (I177+Q177)-F177), 2), 0)</f>
      </c>
    </row>
    <row r="178" ht="20" customHeight="1" spans="1:20" x14ac:dyDescent="0.25">
      <c r="A178" s="14" t="s">
        <v>501</v>
      </c>
      <c r="B178" s="14" t="s">
        <v>502</v>
      </c>
      <c r="C178" s="14" t="s">
        <v>238</v>
      </c>
      <c r="D178" s="14" t="s">
        <v>139</v>
      </c>
      <c r="E178" s="26">
        <v>431.42999267578125</v>
      </c>
      <c r="F178" s="27">
        <v>16</v>
      </c>
      <c r="G178" s="14" t="s">
        <v>61</v>
      </c>
      <c r="H178" s="27">
        <v>1</v>
      </c>
      <c r="I178" s="27">
        <f>ROUND(H178*1.0, 2)</f>
      </c>
      <c r="J178" s="27">
        <f>ROUND(H178*0.95, 2)</f>
      </c>
      <c r="K178" s="27">
        <f>ROUND(H178*0.95, 2)</f>
      </c>
      <c r="L178" s="27">
        <f>ROUND(H178*1.05, 2)</f>
      </c>
      <c r="M178" s="27">
        <f>ROUND(H178*1.25, 2)</f>
      </c>
      <c r="N178" s="27">
        <f>ROUND(H178*1.55, 2)</f>
      </c>
      <c r="O178" s="27">
        <f>ROUND(H178*1.65, 2)</f>
      </c>
      <c r="P178" s="27">
        <f>SUM(I178:O178)</f>
      </c>
      <c r="Q178" s="27">
        <f>ROUND(H178*1.5, 2)</f>
      </c>
      <c r="R178" s="27">
        <f>ROUND(H178*2.0, 2)</f>
      </c>
      <c r="S178" s="14">
        <f>IF(F178&lt;=R178, "TRIGGER INDENT", "STOCK HEALTHY")</f>
      </c>
      <c r="T178" s="27">
        <f>IF(F178&lt;=R178, ROUND(MAX(H178, (I178+Q178)-F178), 2), 0)</f>
      </c>
    </row>
    <row r="179" ht="20" customHeight="1" spans="1:20" x14ac:dyDescent="0.25">
      <c r="A179" s="12" t="s">
        <v>503</v>
      </c>
      <c r="B179" s="12" t="s">
        <v>504</v>
      </c>
      <c r="C179" s="12" t="s">
        <v>382</v>
      </c>
      <c r="D179" s="12" t="s">
        <v>127</v>
      </c>
      <c r="E179" s="24">
        <v>110</v>
      </c>
      <c r="F179" s="25">
        <v>384</v>
      </c>
      <c r="G179" s="12" t="s">
        <v>61</v>
      </c>
      <c r="H179" s="25">
        <v>30.72</v>
      </c>
      <c r="I179" s="25">
        <f>ROUND(H179*1.0, 2)</f>
      </c>
      <c r="J179" s="25">
        <f>ROUND(H179*0.95, 2)</f>
      </c>
      <c r="K179" s="25">
        <f>ROUND(H179*0.95, 2)</f>
      </c>
      <c r="L179" s="25">
        <f>ROUND(H179*1.05, 2)</f>
      </c>
      <c r="M179" s="25">
        <f>ROUND(H179*1.25, 2)</f>
      </c>
      <c r="N179" s="25">
        <f>ROUND(H179*1.55, 2)</f>
      </c>
      <c r="O179" s="25">
        <f>ROUND(H179*1.65, 2)</f>
      </c>
      <c r="P179" s="25">
        <f>SUM(I179:O179)</f>
      </c>
      <c r="Q179" s="25">
        <f>ROUND(H179*1.5, 2)</f>
      </c>
      <c r="R179" s="25">
        <f>ROUND(H179*2.0, 2)</f>
      </c>
      <c r="S179" s="12">
        <f>IF(F179&lt;=R179, "TRIGGER INDENT", "STOCK HEALTHY")</f>
      </c>
      <c r="T179" s="25">
        <f>IF(F179&lt;=R179, ROUND(MAX(H179, (I179+Q179)-F179), 2), 0)</f>
      </c>
    </row>
    <row r="180" ht="20" customHeight="1" spans="1:20" x14ac:dyDescent="0.25">
      <c r="A180" s="14" t="s">
        <v>505</v>
      </c>
      <c r="B180" s="14" t="s">
        <v>506</v>
      </c>
      <c r="C180" s="14" t="s">
        <v>160</v>
      </c>
      <c r="D180" s="14" t="s">
        <v>139</v>
      </c>
      <c r="E180" s="26">
        <v>289.2900085449219</v>
      </c>
      <c r="F180" s="27">
        <v>80</v>
      </c>
      <c r="G180" s="14" t="s">
        <v>45</v>
      </c>
      <c r="H180" s="27">
        <v>9.6</v>
      </c>
      <c r="I180" s="27">
        <f>ROUND(H180*1.0, 2)</f>
      </c>
      <c r="J180" s="27">
        <f>ROUND(H180*0.95, 2)</f>
      </c>
      <c r="K180" s="27">
        <f>ROUND(H180*0.95, 2)</f>
      </c>
      <c r="L180" s="27">
        <f>ROUND(H180*1.05, 2)</f>
      </c>
      <c r="M180" s="27">
        <f>ROUND(H180*1.25, 2)</f>
      </c>
      <c r="N180" s="27">
        <f>ROUND(H180*1.55, 2)</f>
      </c>
      <c r="O180" s="27">
        <f>ROUND(H180*1.65, 2)</f>
      </c>
      <c r="P180" s="27">
        <f>SUM(I180:O180)</f>
      </c>
      <c r="Q180" s="27">
        <f>ROUND(H180*1.5, 2)</f>
      </c>
      <c r="R180" s="27">
        <f>ROUND(H180*2.0, 2)</f>
      </c>
      <c r="S180" s="14">
        <f>IF(F180&lt;=R180, "TRIGGER INDENT", "STOCK HEALTHY")</f>
      </c>
      <c r="T180" s="27">
        <f>IF(F180&lt;=R180, ROUND(MAX(H180, (I180+Q180)-F180), 2), 0)</f>
      </c>
    </row>
    <row r="181" ht="20" customHeight="1" spans="1:20" x14ac:dyDescent="0.25">
      <c r="A181" s="12" t="s">
        <v>507</v>
      </c>
      <c r="B181" s="12" t="s">
        <v>508</v>
      </c>
      <c r="C181" s="12" t="s">
        <v>154</v>
      </c>
      <c r="D181" s="12" t="s">
        <v>127</v>
      </c>
      <c r="E181" s="24">
        <v>25.829999923706055</v>
      </c>
      <c r="F181" s="25">
        <v>672</v>
      </c>
      <c r="G181" s="12" t="s">
        <v>73</v>
      </c>
      <c r="H181" s="25">
        <v>53.76</v>
      </c>
      <c r="I181" s="25">
        <f>ROUND(H181*1.0, 2)</f>
      </c>
      <c r="J181" s="25">
        <f>ROUND(H181*0.95, 2)</f>
      </c>
      <c r="K181" s="25">
        <f>ROUND(H181*0.95, 2)</f>
      </c>
      <c r="L181" s="25">
        <f>ROUND(H181*1.05, 2)</f>
      </c>
      <c r="M181" s="25">
        <f>ROUND(H181*1.25, 2)</f>
      </c>
      <c r="N181" s="25">
        <f>ROUND(H181*1.55, 2)</f>
      </c>
      <c r="O181" s="25">
        <f>ROUND(H181*1.65, 2)</f>
      </c>
      <c r="P181" s="25">
        <f>SUM(I181:O181)</f>
      </c>
      <c r="Q181" s="25">
        <f>ROUND(H181*1.5, 2)</f>
      </c>
      <c r="R181" s="25">
        <f>ROUND(H181*2.0, 2)</f>
      </c>
      <c r="S181" s="12">
        <f>IF(F181&lt;=R181, "TRIGGER INDENT", "STOCK HEALTHY")</f>
      </c>
      <c r="T181" s="25">
        <f>IF(F181&lt;=R181, ROUND(MAX(H181, (I181+Q181)-F181), 2), 0)</f>
      </c>
    </row>
    <row r="182" ht="20" customHeight="1" spans="1:20" x14ac:dyDescent="0.25">
      <c r="A182" s="14" t="s">
        <v>509</v>
      </c>
      <c r="B182" s="14" t="s">
        <v>510</v>
      </c>
      <c r="C182" s="14" t="s">
        <v>138</v>
      </c>
      <c r="D182" s="14" t="s">
        <v>139</v>
      </c>
      <c r="E182" s="26">
        <v>892</v>
      </c>
      <c r="F182" s="27">
        <v>48</v>
      </c>
      <c r="G182" s="14" t="s">
        <v>91</v>
      </c>
      <c r="H182" s="27">
        <v>9.6</v>
      </c>
      <c r="I182" s="27">
        <f>ROUND(H182*1.0, 2)</f>
      </c>
      <c r="J182" s="27">
        <f>ROUND(H182*0.95, 2)</f>
      </c>
      <c r="K182" s="27">
        <f>ROUND(H182*0.95, 2)</f>
      </c>
      <c r="L182" s="27">
        <f>ROUND(H182*1.05, 2)</f>
      </c>
      <c r="M182" s="27">
        <f>ROUND(H182*1.25, 2)</f>
      </c>
      <c r="N182" s="27">
        <f>ROUND(H182*1.55, 2)</f>
      </c>
      <c r="O182" s="27">
        <f>ROUND(H182*1.65, 2)</f>
      </c>
      <c r="P182" s="27">
        <f>SUM(I182:O182)</f>
      </c>
      <c r="Q182" s="27">
        <f>ROUND(H182*1.5, 2)</f>
      </c>
      <c r="R182" s="27">
        <f>ROUND(H182*2.0, 2)</f>
      </c>
      <c r="S182" s="14">
        <f>IF(F182&lt;=R182, "TRIGGER INDENT", "STOCK HEALTHY")</f>
      </c>
      <c r="T182" s="27">
        <f>IF(F182&lt;=R182, ROUND(MAX(H182, (I182+Q182)-F182), 2), 0)</f>
      </c>
    </row>
    <row r="183" ht="20" customHeight="1" spans="1:20" x14ac:dyDescent="0.25">
      <c r="A183" s="12" t="s">
        <v>511</v>
      </c>
      <c r="B183" s="12" t="s">
        <v>512</v>
      </c>
      <c r="C183" s="12" t="s">
        <v>154</v>
      </c>
      <c r="D183" s="12" t="s">
        <v>139</v>
      </c>
      <c r="E183" s="24">
        <v>165</v>
      </c>
      <c r="F183" s="25">
        <v>28.799995</v>
      </c>
      <c r="G183" s="12" t="s">
        <v>45</v>
      </c>
      <c r="H183" s="25">
        <v>5.76</v>
      </c>
      <c r="I183" s="25">
        <f>ROUND(H183*1.0, 2)</f>
      </c>
      <c r="J183" s="25">
        <f>ROUND(H183*0.95, 2)</f>
      </c>
      <c r="K183" s="25">
        <f>ROUND(H183*0.95, 2)</f>
      </c>
      <c r="L183" s="25">
        <f>ROUND(H183*1.05, 2)</f>
      </c>
      <c r="M183" s="25">
        <f>ROUND(H183*1.25, 2)</f>
      </c>
      <c r="N183" s="25">
        <f>ROUND(H183*1.55, 2)</f>
      </c>
      <c r="O183" s="25">
        <f>ROUND(H183*1.65, 2)</f>
      </c>
      <c r="P183" s="25">
        <f>SUM(I183:O183)</f>
      </c>
      <c r="Q183" s="25">
        <f>ROUND(H183*1.5, 2)</f>
      </c>
      <c r="R183" s="25">
        <f>ROUND(H183*2.0, 2)</f>
      </c>
      <c r="S183" s="12">
        <f>IF(F183&lt;=R183, "TRIGGER INDENT", "STOCK HEALTHY")</f>
      </c>
      <c r="T183" s="25">
        <f>IF(F183&lt;=R183, ROUND(MAX(H183, (I183+Q183)-F183), 2), 0)</f>
      </c>
    </row>
    <row r="184" ht="20" customHeight="1" spans="1:20" x14ac:dyDescent="0.25">
      <c r="A184" s="14" t="s">
        <v>513</v>
      </c>
      <c r="B184" s="14" t="s">
        <v>514</v>
      </c>
      <c r="C184" s="14" t="s">
        <v>192</v>
      </c>
      <c r="D184" s="14" t="s">
        <v>139</v>
      </c>
      <c r="E184" s="26">
        <v>77.94000244140625</v>
      </c>
      <c r="F184" s="27">
        <v>24</v>
      </c>
      <c r="G184" s="14" t="s">
        <v>45</v>
      </c>
      <c r="H184" s="27">
        <v>4.8</v>
      </c>
      <c r="I184" s="27">
        <f>ROUND(H184*1.0, 2)</f>
      </c>
      <c r="J184" s="27">
        <f>ROUND(H184*0.95, 2)</f>
      </c>
      <c r="K184" s="27">
        <f>ROUND(H184*0.95, 2)</f>
      </c>
      <c r="L184" s="27">
        <f>ROUND(H184*1.05, 2)</f>
      </c>
      <c r="M184" s="27">
        <f>ROUND(H184*1.25, 2)</f>
      </c>
      <c r="N184" s="27">
        <f>ROUND(H184*1.55, 2)</f>
      </c>
      <c r="O184" s="27">
        <f>ROUND(H184*1.65, 2)</f>
      </c>
      <c r="P184" s="27">
        <f>SUM(I184:O184)</f>
      </c>
      <c r="Q184" s="27">
        <f>ROUND(H184*1.5, 2)</f>
      </c>
      <c r="R184" s="27">
        <f>ROUND(H184*2.0, 2)</f>
      </c>
      <c r="S184" s="14">
        <f>IF(F184&lt;=R184, "TRIGGER INDENT", "STOCK HEALTHY")</f>
      </c>
      <c r="T184" s="27">
        <f>IF(F184&lt;=R184, ROUND(MAX(H184, (I184+Q184)-F184), 2), 0)</f>
      </c>
    </row>
    <row r="185" ht="20" customHeight="1" spans="1:20" x14ac:dyDescent="0.25">
      <c r="A185" s="12" t="s">
        <v>515</v>
      </c>
      <c r="B185" s="12" t="s">
        <v>516</v>
      </c>
      <c r="C185" s="12" t="s">
        <v>151</v>
      </c>
      <c r="D185" s="12" t="s">
        <v>139</v>
      </c>
      <c r="E185" s="24">
        <v>40.34000015258789</v>
      </c>
      <c r="F185" s="25">
        <v>3146.3997</v>
      </c>
      <c r="G185" s="12" t="s">
        <v>85</v>
      </c>
      <c r="H185" s="25">
        <v>157.32</v>
      </c>
      <c r="I185" s="25">
        <f>ROUND(H185*1.0, 2)</f>
      </c>
      <c r="J185" s="25">
        <f>ROUND(H185*0.95, 2)</f>
      </c>
      <c r="K185" s="25">
        <f>ROUND(H185*0.95, 2)</f>
      </c>
      <c r="L185" s="25">
        <f>ROUND(H185*1.05, 2)</f>
      </c>
      <c r="M185" s="25">
        <f>ROUND(H185*1.25, 2)</f>
      </c>
      <c r="N185" s="25">
        <f>ROUND(H185*1.55, 2)</f>
      </c>
      <c r="O185" s="25">
        <f>ROUND(H185*1.65, 2)</f>
      </c>
      <c r="P185" s="25">
        <f>SUM(I185:O185)</f>
      </c>
      <c r="Q185" s="25">
        <f>ROUND(H185*1.5, 2)</f>
      </c>
      <c r="R185" s="25">
        <f>ROUND(H185*2.0, 2)</f>
      </c>
      <c r="S185" s="12">
        <f>IF(F185&lt;=R185, "TRIGGER INDENT", "STOCK HEALTHY")</f>
      </c>
      <c r="T185" s="25">
        <f>IF(F185&lt;=R185, ROUND(MAX(H185, (I185+Q185)-F185), 2), 0)</f>
      </c>
    </row>
    <row r="186" ht="20" customHeight="1" spans="1:20" x14ac:dyDescent="0.25">
      <c r="A186" s="14" t="s">
        <v>517</v>
      </c>
      <c r="B186" s="14" t="s">
        <v>518</v>
      </c>
      <c r="C186" s="14" t="s">
        <v>154</v>
      </c>
      <c r="D186" s="14" t="s">
        <v>139</v>
      </c>
      <c r="E186" s="26">
        <v>100.25</v>
      </c>
      <c r="F186" s="27">
        <v>160</v>
      </c>
      <c r="G186" s="14" t="s">
        <v>85</v>
      </c>
      <c r="H186" s="27">
        <v>2</v>
      </c>
      <c r="I186" s="27">
        <f>ROUND(H186*1.0, 2)</f>
      </c>
      <c r="J186" s="27">
        <f>ROUND(H186*0.95, 2)</f>
      </c>
      <c r="K186" s="27">
        <f>ROUND(H186*0.95, 2)</f>
      </c>
      <c r="L186" s="27">
        <f>ROUND(H186*1.05, 2)</f>
      </c>
      <c r="M186" s="27">
        <f>ROUND(H186*1.25, 2)</f>
      </c>
      <c r="N186" s="27">
        <f>ROUND(H186*1.55, 2)</f>
      </c>
      <c r="O186" s="27">
        <f>ROUND(H186*1.65, 2)</f>
      </c>
      <c r="P186" s="27">
        <f>SUM(I186:O186)</f>
      </c>
      <c r="Q186" s="27">
        <f>ROUND(H186*1.5, 2)</f>
      </c>
      <c r="R186" s="27">
        <f>ROUND(H186*2.0, 2)</f>
      </c>
      <c r="S186" s="14">
        <f>IF(F186&lt;=R186, "TRIGGER INDENT", "STOCK HEALTHY")</f>
      </c>
      <c r="T186" s="27">
        <f>IF(F186&lt;=R186, ROUND(MAX(H186, (I186+Q186)-F186), 2), 0)</f>
      </c>
    </row>
    <row r="187" ht="20" customHeight="1" spans="1:20" x14ac:dyDescent="0.25">
      <c r="A187" s="12" t="s">
        <v>519</v>
      </c>
      <c r="B187" s="12" t="s">
        <v>520</v>
      </c>
      <c r="C187" s="12" t="s">
        <v>134</v>
      </c>
      <c r="D187" s="12" t="s">
        <v>135</v>
      </c>
      <c r="E187" s="24">
        <v>175.7899932861328</v>
      </c>
      <c r="F187" s="25">
        <v>1.5100002</v>
      </c>
      <c r="G187" s="12" t="s">
        <v>61</v>
      </c>
      <c r="H187" s="25">
        <v>1</v>
      </c>
      <c r="I187" s="25">
        <f>ROUND(H187*1.0, 2)</f>
      </c>
      <c r="J187" s="25">
        <f>ROUND(H187*0.95, 2)</f>
      </c>
      <c r="K187" s="25">
        <f>ROUND(H187*0.95, 2)</f>
      </c>
      <c r="L187" s="25">
        <f>ROUND(H187*1.05, 2)</f>
      </c>
      <c r="M187" s="25">
        <f>ROUND(H187*1.25, 2)</f>
      </c>
      <c r="N187" s="25">
        <f>ROUND(H187*1.55, 2)</f>
      </c>
      <c r="O187" s="25">
        <f>ROUND(H187*1.65, 2)</f>
      </c>
      <c r="P187" s="25">
        <f>SUM(I187:O187)</f>
      </c>
      <c r="Q187" s="25">
        <f>ROUND(H187*1.5, 2)</f>
      </c>
      <c r="R187" s="25">
        <f>ROUND(H187*2.0, 2)</f>
      </c>
      <c r="S187" s="12">
        <f>IF(F187&lt;=R187, "TRIGGER INDENT", "STOCK HEALTHY")</f>
      </c>
      <c r="T187" s="25">
        <f>IF(F187&lt;=R187, ROUND(MAX(H187, (I187+Q187)-F187), 2), 0)</f>
      </c>
    </row>
    <row r="188" ht="20" customHeight="1" spans="1:20" x14ac:dyDescent="0.25">
      <c r="A188" s="14" t="s">
        <v>521</v>
      </c>
      <c r="B188" s="14" t="s">
        <v>522</v>
      </c>
      <c r="C188" s="14" t="s">
        <v>245</v>
      </c>
      <c r="D188" s="14" t="s">
        <v>246</v>
      </c>
      <c r="E188" s="26">
        <v>671.2999877929688</v>
      </c>
      <c r="F188" s="27">
        <v>1.5100002</v>
      </c>
      <c r="G188" s="14" t="s">
        <v>61</v>
      </c>
      <c r="H188" s="27">
        <v>1</v>
      </c>
      <c r="I188" s="27">
        <f>ROUND(H188*1.0, 2)</f>
      </c>
      <c r="J188" s="27">
        <f>ROUND(H188*0.95, 2)</f>
      </c>
      <c r="K188" s="27">
        <f>ROUND(H188*0.95, 2)</f>
      </c>
      <c r="L188" s="27">
        <f>ROUND(H188*1.05, 2)</f>
      </c>
      <c r="M188" s="27">
        <f>ROUND(H188*1.25, 2)</f>
      </c>
      <c r="N188" s="27">
        <f>ROUND(H188*1.55, 2)</f>
      </c>
      <c r="O188" s="27">
        <f>ROUND(H188*1.65, 2)</f>
      </c>
      <c r="P188" s="27">
        <f>SUM(I188:O188)</f>
      </c>
      <c r="Q188" s="27">
        <f>ROUND(H188*1.5, 2)</f>
      </c>
      <c r="R188" s="27">
        <f>ROUND(H188*2.0, 2)</f>
      </c>
      <c r="S188" s="14">
        <f>IF(F188&lt;=R188, "TRIGGER INDENT", "STOCK HEALTHY")</f>
      </c>
      <c r="T188" s="27">
        <f>IF(F188&lt;=R188, ROUND(MAX(H188, (I188+Q188)-F188), 2), 0)</f>
      </c>
    </row>
    <row r="189" ht="20" customHeight="1" spans="1:20" x14ac:dyDescent="0.25">
      <c r="A189" s="12" t="s">
        <v>523</v>
      </c>
      <c r="B189" s="12" t="s">
        <v>524</v>
      </c>
      <c r="C189" s="12" t="s">
        <v>154</v>
      </c>
      <c r="D189" s="12" t="s">
        <v>139</v>
      </c>
      <c r="E189" s="24">
        <v>62.529998779296875</v>
      </c>
      <c r="F189" s="25">
        <v>128</v>
      </c>
      <c r="G189" s="12" t="s">
        <v>45</v>
      </c>
      <c r="H189" s="25">
        <v>15.36</v>
      </c>
      <c r="I189" s="25">
        <f>ROUND(H189*1.0, 2)</f>
      </c>
      <c r="J189" s="25">
        <f>ROUND(H189*0.95, 2)</f>
      </c>
      <c r="K189" s="25">
        <f>ROUND(H189*0.95, 2)</f>
      </c>
      <c r="L189" s="25">
        <f>ROUND(H189*1.05, 2)</f>
      </c>
      <c r="M189" s="25">
        <f>ROUND(H189*1.25, 2)</f>
      </c>
      <c r="N189" s="25">
        <f>ROUND(H189*1.55, 2)</f>
      </c>
      <c r="O189" s="25">
        <f>ROUND(H189*1.65, 2)</f>
      </c>
      <c r="P189" s="25">
        <f>SUM(I189:O189)</f>
      </c>
      <c r="Q189" s="25">
        <f>ROUND(H189*1.5, 2)</f>
      </c>
      <c r="R189" s="25">
        <f>ROUND(H189*2.0, 2)</f>
      </c>
      <c r="S189" s="12">
        <f>IF(F189&lt;=R189, "TRIGGER INDENT", "STOCK HEALTHY")</f>
      </c>
      <c r="T189" s="25">
        <f>IF(F189&lt;=R189, ROUND(MAX(H189, (I189+Q189)-F189), 2), 0)</f>
      </c>
    </row>
    <row r="190" ht="20" customHeight="1" spans="1:20" x14ac:dyDescent="0.25">
      <c r="A190" s="14" t="s">
        <v>525</v>
      </c>
      <c r="B190" s="14" t="s">
        <v>526</v>
      </c>
      <c r="C190" s="14" t="s">
        <v>144</v>
      </c>
      <c r="D190" s="14" t="s">
        <v>139</v>
      </c>
      <c r="E190" s="26">
        <v>68.7699966430664</v>
      </c>
      <c r="F190" s="27">
        <v>16</v>
      </c>
      <c r="G190" s="14" t="s">
        <v>85</v>
      </c>
      <c r="H190" s="27">
        <v>3.2</v>
      </c>
      <c r="I190" s="27">
        <f>ROUND(H190*1.0, 2)</f>
      </c>
      <c r="J190" s="27">
        <f>ROUND(H190*0.95, 2)</f>
      </c>
      <c r="K190" s="27">
        <f>ROUND(H190*0.95, 2)</f>
      </c>
      <c r="L190" s="27">
        <f>ROUND(H190*1.05, 2)</f>
      </c>
      <c r="M190" s="27">
        <f>ROUND(H190*1.25, 2)</f>
      </c>
      <c r="N190" s="27">
        <f>ROUND(H190*1.55, 2)</f>
      </c>
      <c r="O190" s="27">
        <f>ROUND(H190*1.65, 2)</f>
      </c>
      <c r="P190" s="27">
        <f>SUM(I190:O190)</f>
      </c>
      <c r="Q190" s="27">
        <f>ROUND(H190*1.5, 2)</f>
      </c>
      <c r="R190" s="27">
        <f>ROUND(H190*2.0, 2)</f>
      </c>
      <c r="S190" s="14">
        <f>IF(F190&lt;=R190, "TRIGGER INDENT", "STOCK HEALTHY")</f>
      </c>
      <c r="T190" s="27">
        <f>IF(F190&lt;=R190, ROUND(MAX(H190, (I190+Q190)-F190), 2), 0)</f>
      </c>
    </row>
    <row r="191" ht="20" customHeight="1" spans="1:20" x14ac:dyDescent="0.25">
      <c r="A191" s="12" t="s">
        <v>527</v>
      </c>
      <c r="B191" s="12" t="s">
        <v>528</v>
      </c>
      <c r="C191" s="12" t="s">
        <v>126</v>
      </c>
      <c r="D191" s="12" t="s">
        <v>127</v>
      </c>
      <c r="E191" s="24">
        <v>4</v>
      </c>
      <c r="F191" s="25">
        <v>800</v>
      </c>
      <c r="G191" s="12" t="s">
        <v>45</v>
      </c>
      <c r="H191" s="25">
        <v>64</v>
      </c>
      <c r="I191" s="25">
        <f>ROUND(H191*1.0, 2)</f>
      </c>
      <c r="J191" s="25">
        <f>ROUND(H191*0.95, 2)</f>
      </c>
      <c r="K191" s="25">
        <f>ROUND(H191*0.95, 2)</f>
      </c>
      <c r="L191" s="25">
        <f>ROUND(H191*1.05, 2)</f>
      </c>
      <c r="M191" s="25">
        <f>ROUND(H191*1.25, 2)</f>
      </c>
      <c r="N191" s="25">
        <f>ROUND(H191*1.55, 2)</f>
      </c>
      <c r="O191" s="25">
        <f>ROUND(H191*1.65, 2)</f>
      </c>
      <c r="P191" s="25">
        <f>SUM(I191:O191)</f>
      </c>
      <c r="Q191" s="25">
        <f>ROUND(H191*1.5, 2)</f>
      </c>
      <c r="R191" s="25">
        <f>ROUND(H191*2.0, 2)</f>
      </c>
      <c r="S191" s="12">
        <f>IF(F191&lt;=R191, "TRIGGER INDENT", "STOCK HEALTHY")</f>
      </c>
      <c r="T191" s="25">
        <f>IF(F191&lt;=R191, ROUND(MAX(H191, (I191+Q191)-F191), 2), 0)</f>
      </c>
    </row>
    <row r="192" ht="20" customHeight="1" spans="1:20" x14ac:dyDescent="0.25">
      <c r="A192" s="14" t="s">
        <v>529</v>
      </c>
      <c r="B192" s="14" t="s">
        <v>530</v>
      </c>
      <c r="C192" s="14" t="s">
        <v>192</v>
      </c>
      <c r="D192" s="14" t="s">
        <v>139</v>
      </c>
      <c r="E192" s="26">
        <v>82</v>
      </c>
      <c r="F192" s="27">
        <v>840.79987</v>
      </c>
      <c r="G192" s="14" t="s">
        <v>85</v>
      </c>
      <c r="H192" s="27">
        <v>67.26</v>
      </c>
      <c r="I192" s="27">
        <f>ROUND(H192*1.0, 2)</f>
      </c>
      <c r="J192" s="27">
        <f>ROUND(H192*0.95, 2)</f>
      </c>
      <c r="K192" s="27">
        <f>ROUND(H192*0.95, 2)</f>
      </c>
      <c r="L192" s="27">
        <f>ROUND(H192*1.05, 2)</f>
      </c>
      <c r="M192" s="27">
        <f>ROUND(H192*1.25, 2)</f>
      </c>
      <c r="N192" s="27">
        <f>ROUND(H192*1.55, 2)</f>
      </c>
      <c r="O192" s="27">
        <f>ROUND(H192*1.65, 2)</f>
      </c>
      <c r="P192" s="27">
        <f>SUM(I192:O192)</f>
      </c>
      <c r="Q192" s="27">
        <f>ROUND(H192*1.5, 2)</f>
      </c>
      <c r="R192" s="27">
        <f>ROUND(H192*2.0, 2)</f>
      </c>
      <c r="S192" s="14">
        <f>IF(F192&lt;=R192, "TRIGGER INDENT", "STOCK HEALTHY")</f>
      </c>
      <c r="T192" s="27">
        <f>IF(F192&lt;=R192, ROUND(MAX(H192, (I192+Q192)-F192), 2), 0)</f>
      </c>
    </row>
    <row r="193" ht="20" customHeight="1" spans="1:20" x14ac:dyDescent="0.25">
      <c r="A193" s="12" t="s">
        <v>531</v>
      </c>
      <c r="B193" s="12" t="s">
        <v>532</v>
      </c>
      <c r="C193" s="12" t="s">
        <v>416</v>
      </c>
      <c r="D193" s="12" t="s">
        <v>179</v>
      </c>
      <c r="E193" s="24">
        <v>122.5</v>
      </c>
      <c r="F193" s="25">
        <v>48</v>
      </c>
      <c r="G193" s="12" t="s">
        <v>67</v>
      </c>
      <c r="H193" s="25">
        <v>9.6</v>
      </c>
      <c r="I193" s="25">
        <f>ROUND(H193*1.0, 2)</f>
      </c>
      <c r="J193" s="25">
        <f>ROUND(H193*0.95, 2)</f>
      </c>
      <c r="K193" s="25">
        <f>ROUND(H193*0.95, 2)</f>
      </c>
      <c r="L193" s="25">
        <f>ROUND(H193*1.05, 2)</f>
      </c>
      <c r="M193" s="25">
        <f>ROUND(H193*1.25, 2)</f>
      </c>
      <c r="N193" s="25">
        <f>ROUND(H193*1.55, 2)</f>
      </c>
      <c r="O193" s="25">
        <f>ROUND(H193*1.65, 2)</f>
      </c>
      <c r="P193" s="25">
        <f>SUM(I193:O193)</f>
      </c>
      <c r="Q193" s="25">
        <f>ROUND(H193*1.5, 2)</f>
      </c>
      <c r="R193" s="25">
        <f>ROUND(H193*2.0, 2)</f>
      </c>
      <c r="S193" s="12">
        <f>IF(F193&lt;=R193, "TRIGGER INDENT", "STOCK HEALTHY")</f>
      </c>
      <c r="T193" s="25">
        <f>IF(F193&lt;=R193, ROUND(MAX(H193, (I193+Q193)-F193), 2), 0)</f>
      </c>
    </row>
    <row r="194" ht="20" customHeight="1" spans="1:20" x14ac:dyDescent="0.25">
      <c r="A194" s="14" t="s">
        <v>533</v>
      </c>
      <c r="B194" s="14" t="s">
        <v>534</v>
      </c>
      <c r="C194" s="14" t="s">
        <v>154</v>
      </c>
      <c r="D194" s="14" t="s">
        <v>139</v>
      </c>
      <c r="E194" s="26">
        <v>108.66999816894531</v>
      </c>
      <c r="F194" s="27">
        <v>80</v>
      </c>
      <c r="G194" s="14" t="s">
        <v>85</v>
      </c>
      <c r="H194" s="27">
        <v>9.6</v>
      </c>
      <c r="I194" s="27">
        <f>ROUND(H194*1.0, 2)</f>
      </c>
      <c r="J194" s="27">
        <f>ROUND(H194*0.95, 2)</f>
      </c>
      <c r="K194" s="27">
        <f>ROUND(H194*0.95, 2)</f>
      </c>
      <c r="L194" s="27">
        <f>ROUND(H194*1.05, 2)</f>
      </c>
      <c r="M194" s="27">
        <f>ROUND(H194*1.25, 2)</f>
      </c>
      <c r="N194" s="27">
        <f>ROUND(H194*1.55, 2)</f>
      </c>
      <c r="O194" s="27">
        <f>ROUND(H194*1.65, 2)</f>
      </c>
      <c r="P194" s="27">
        <f>SUM(I194:O194)</f>
      </c>
      <c r="Q194" s="27">
        <f>ROUND(H194*1.5, 2)</f>
      </c>
      <c r="R194" s="27">
        <f>ROUND(H194*2.0, 2)</f>
      </c>
      <c r="S194" s="14">
        <f>IF(F194&lt;=R194, "TRIGGER INDENT", "STOCK HEALTHY")</f>
      </c>
      <c r="T194" s="27">
        <f>IF(F194&lt;=R194, ROUND(MAX(H194, (I194+Q194)-F194), 2), 0)</f>
      </c>
    </row>
    <row r="195" ht="20" customHeight="1" spans="1:20" x14ac:dyDescent="0.25">
      <c r="A195" s="12" t="s">
        <v>535</v>
      </c>
      <c r="B195" s="12" t="s">
        <v>536</v>
      </c>
      <c r="C195" s="12" t="s">
        <v>154</v>
      </c>
      <c r="D195" s="12" t="s">
        <v>139</v>
      </c>
      <c r="E195" s="24">
        <v>149.41000366210938</v>
      </c>
      <c r="F195" s="25">
        <v>80</v>
      </c>
      <c r="G195" s="12" t="s">
        <v>85</v>
      </c>
      <c r="H195" s="25">
        <v>9.6</v>
      </c>
      <c r="I195" s="25">
        <f>ROUND(H195*1.0, 2)</f>
      </c>
      <c r="J195" s="25">
        <f>ROUND(H195*0.95, 2)</f>
      </c>
      <c r="K195" s="25">
        <f>ROUND(H195*0.95, 2)</f>
      </c>
      <c r="L195" s="25">
        <f>ROUND(H195*1.05, 2)</f>
      </c>
      <c r="M195" s="25">
        <f>ROUND(H195*1.25, 2)</f>
      </c>
      <c r="N195" s="25">
        <f>ROUND(H195*1.55, 2)</f>
      </c>
      <c r="O195" s="25">
        <f>ROUND(H195*1.65, 2)</f>
      </c>
      <c r="P195" s="25">
        <f>SUM(I195:O195)</f>
      </c>
      <c r="Q195" s="25">
        <f>ROUND(H195*1.5, 2)</f>
      </c>
      <c r="R195" s="25">
        <f>ROUND(H195*2.0, 2)</f>
      </c>
      <c r="S195" s="12">
        <f>IF(F195&lt;=R195, "TRIGGER INDENT", "STOCK HEALTHY")</f>
      </c>
      <c r="T195" s="25">
        <f>IF(F195&lt;=R195, ROUND(MAX(H195, (I195+Q195)-F195), 2), 0)</f>
      </c>
    </row>
    <row r="196" ht="20" customHeight="1" spans="1:20" x14ac:dyDescent="0.25">
      <c r="A196" s="14" t="s">
        <v>537</v>
      </c>
      <c r="B196" s="14" t="s">
        <v>538</v>
      </c>
      <c r="C196" s="14" t="s">
        <v>138</v>
      </c>
      <c r="D196" s="14" t="s">
        <v>139</v>
      </c>
      <c r="E196" s="26">
        <v>96</v>
      </c>
      <c r="F196" s="27">
        <v>70.40001</v>
      </c>
      <c r="G196" s="14" t="s">
        <v>85</v>
      </c>
      <c r="H196" s="27">
        <v>0.1</v>
      </c>
      <c r="I196" s="27">
        <f>ROUND(H196*1.0, 2)</f>
      </c>
      <c r="J196" s="27">
        <f>ROUND(H196*0.95, 2)</f>
      </c>
      <c r="K196" s="27">
        <f>ROUND(H196*0.95, 2)</f>
      </c>
      <c r="L196" s="27">
        <f>ROUND(H196*1.05, 2)</f>
      </c>
      <c r="M196" s="27">
        <f>ROUND(H196*1.25, 2)</f>
      </c>
      <c r="N196" s="27">
        <f>ROUND(H196*1.55, 2)</f>
      </c>
      <c r="O196" s="27">
        <f>ROUND(H196*1.65, 2)</f>
      </c>
      <c r="P196" s="27">
        <f>SUM(I196:O196)</f>
      </c>
      <c r="Q196" s="27">
        <f>ROUND(H196*1.5, 2)</f>
      </c>
      <c r="R196" s="27">
        <f>ROUND(H196*2.0, 2)</f>
      </c>
      <c r="S196" s="14">
        <f>IF(F196&lt;=R196, "TRIGGER INDENT", "STOCK HEALTHY")</f>
      </c>
      <c r="T196" s="27">
        <f>IF(F196&lt;=R196, ROUND(MAX(H196, (I196+Q196)-F196), 2), 0)</f>
      </c>
    </row>
    <row r="197" ht="20" customHeight="1" spans="1:20" x14ac:dyDescent="0.25">
      <c r="A197" s="12" t="s">
        <v>539</v>
      </c>
      <c r="B197" s="12" t="s">
        <v>540</v>
      </c>
      <c r="C197" s="12" t="s">
        <v>238</v>
      </c>
      <c r="D197" s="12" t="s">
        <v>305</v>
      </c>
      <c r="E197" s="24">
        <v>55.279998779296875</v>
      </c>
      <c r="F197" s="25">
        <v>832</v>
      </c>
      <c r="G197" s="12" t="s">
        <v>45</v>
      </c>
      <c r="H197" s="25">
        <v>66.56</v>
      </c>
      <c r="I197" s="25">
        <f>ROUND(H197*1.0, 2)</f>
      </c>
      <c r="J197" s="25">
        <f>ROUND(H197*0.95, 2)</f>
      </c>
      <c r="K197" s="25">
        <f>ROUND(H197*0.95, 2)</f>
      </c>
      <c r="L197" s="25">
        <f>ROUND(H197*1.05, 2)</f>
      </c>
      <c r="M197" s="25">
        <f>ROUND(H197*1.25, 2)</f>
      </c>
      <c r="N197" s="25">
        <f>ROUND(H197*1.55, 2)</f>
      </c>
      <c r="O197" s="25">
        <f>ROUND(H197*1.65, 2)</f>
      </c>
      <c r="P197" s="25">
        <f>SUM(I197:O197)</f>
      </c>
      <c r="Q197" s="25">
        <f>ROUND(H197*1.5, 2)</f>
      </c>
      <c r="R197" s="25">
        <f>ROUND(H197*2.0, 2)</f>
      </c>
      <c r="S197" s="12">
        <f>IF(F197&lt;=R197, "TRIGGER INDENT", "STOCK HEALTHY")</f>
      </c>
      <c r="T197" s="25">
        <f>IF(F197&lt;=R197, ROUND(MAX(H197, (I197+Q197)-F197), 2), 0)</f>
      </c>
    </row>
    <row r="198" ht="20" customHeight="1" spans="1:20" x14ac:dyDescent="0.25">
      <c r="A198" s="14" t="s">
        <v>541</v>
      </c>
      <c r="B198" s="14" t="s">
        <v>542</v>
      </c>
      <c r="C198" s="14" t="s">
        <v>154</v>
      </c>
      <c r="D198" s="14" t="s">
        <v>157</v>
      </c>
      <c r="E198" s="26">
        <v>135.39999389648438</v>
      </c>
      <c r="F198" s="27">
        <v>80</v>
      </c>
      <c r="G198" s="14" t="s">
        <v>85</v>
      </c>
      <c r="H198" s="27">
        <v>9.6</v>
      </c>
      <c r="I198" s="27">
        <f>ROUND(H198*1.0, 2)</f>
      </c>
      <c r="J198" s="27">
        <f>ROUND(H198*0.95, 2)</f>
      </c>
      <c r="K198" s="27">
        <f>ROUND(H198*0.95, 2)</f>
      </c>
      <c r="L198" s="27">
        <f>ROUND(H198*1.05, 2)</f>
      </c>
      <c r="M198" s="27">
        <f>ROUND(H198*1.25, 2)</f>
      </c>
      <c r="N198" s="27">
        <f>ROUND(H198*1.55, 2)</f>
      </c>
      <c r="O198" s="27">
        <f>ROUND(H198*1.65, 2)</f>
      </c>
      <c r="P198" s="27">
        <f>SUM(I198:O198)</f>
      </c>
      <c r="Q198" s="27">
        <f>ROUND(H198*1.5, 2)</f>
      </c>
      <c r="R198" s="27">
        <f>ROUND(H198*2.0, 2)</f>
      </c>
      <c r="S198" s="14">
        <f>IF(F198&lt;=R198, "TRIGGER INDENT", "STOCK HEALTHY")</f>
      </c>
      <c r="T198" s="27">
        <f>IF(F198&lt;=R198, ROUND(MAX(H198, (I198+Q198)-F198), 2), 0)</f>
      </c>
    </row>
    <row r="199" ht="20" customHeight="1" spans="1:20" x14ac:dyDescent="0.25">
      <c r="A199" s="12" t="s">
        <v>543</v>
      </c>
      <c r="B199" s="12" t="s">
        <v>544</v>
      </c>
      <c r="C199" s="12" t="s">
        <v>314</v>
      </c>
      <c r="D199" s="12" t="s">
        <v>490</v>
      </c>
      <c r="E199" s="24">
        <v>134.6199951171875</v>
      </c>
      <c r="F199" s="25">
        <v>864</v>
      </c>
      <c r="G199" s="12" t="s">
        <v>73</v>
      </c>
      <c r="H199" s="25">
        <v>69.12</v>
      </c>
      <c r="I199" s="25">
        <f>ROUND(H199*1.0, 2)</f>
      </c>
      <c r="J199" s="25">
        <f>ROUND(H199*0.95, 2)</f>
      </c>
      <c r="K199" s="25">
        <f>ROUND(H199*0.95, 2)</f>
      </c>
      <c r="L199" s="25">
        <f>ROUND(H199*1.05, 2)</f>
      </c>
      <c r="M199" s="25">
        <f>ROUND(H199*1.25, 2)</f>
      </c>
      <c r="N199" s="25">
        <f>ROUND(H199*1.55, 2)</f>
      </c>
      <c r="O199" s="25">
        <f>ROUND(H199*1.65, 2)</f>
      </c>
      <c r="P199" s="25">
        <f>SUM(I199:O199)</f>
      </c>
      <c r="Q199" s="25">
        <f>ROUND(H199*1.5, 2)</f>
      </c>
      <c r="R199" s="25">
        <f>ROUND(H199*2.0, 2)</f>
      </c>
      <c r="S199" s="12">
        <f>IF(F199&lt;=R199, "TRIGGER INDENT", "STOCK HEALTHY")</f>
      </c>
      <c r="T199" s="25">
        <f>IF(F199&lt;=R199, ROUND(MAX(H199, (I199+Q199)-F199), 2), 0)</f>
      </c>
    </row>
    <row r="200" ht="20" customHeight="1" spans="1:20" x14ac:dyDescent="0.25">
      <c r="A200" s="14" t="s">
        <v>545</v>
      </c>
      <c r="B200" s="14" t="s">
        <v>546</v>
      </c>
      <c r="C200" s="14" t="s">
        <v>314</v>
      </c>
      <c r="D200" s="14" t="s">
        <v>490</v>
      </c>
      <c r="E200" s="26">
        <v>191.25</v>
      </c>
      <c r="F200" s="27">
        <v>48</v>
      </c>
      <c r="G200" s="14" t="s">
        <v>85</v>
      </c>
      <c r="H200" s="27">
        <v>9.6</v>
      </c>
      <c r="I200" s="27">
        <f>ROUND(H200*1.0, 2)</f>
      </c>
      <c r="J200" s="27">
        <f>ROUND(H200*0.95, 2)</f>
      </c>
      <c r="K200" s="27">
        <f>ROUND(H200*0.95, 2)</f>
      </c>
      <c r="L200" s="27">
        <f>ROUND(H200*1.05, 2)</f>
      </c>
      <c r="M200" s="27">
        <f>ROUND(H200*1.25, 2)</f>
      </c>
      <c r="N200" s="27">
        <f>ROUND(H200*1.55, 2)</f>
      </c>
      <c r="O200" s="27">
        <f>ROUND(H200*1.65, 2)</f>
      </c>
      <c r="P200" s="27">
        <f>SUM(I200:O200)</f>
      </c>
      <c r="Q200" s="27">
        <f>ROUND(H200*1.5, 2)</f>
      </c>
      <c r="R200" s="27">
        <f>ROUND(H200*2.0, 2)</f>
      </c>
      <c r="S200" s="14">
        <f>IF(F200&lt;=R200, "TRIGGER INDENT", "STOCK HEALTHY")</f>
      </c>
      <c r="T200" s="27">
        <f>IF(F200&lt;=R200, ROUND(MAX(H200, (I200+Q200)-F200), 2), 0)</f>
      </c>
    </row>
    <row r="201" ht="20" customHeight="1" spans="1:20" x14ac:dyDescent="0.25">
      <c r="A201" s="12" t="s">
        <v>547</v>
      </c>
      <c r="B201" s="12" t="s">
        <v>548</v>
      </c>
      <c r="C201" s="12" t="s">
        <v>314</v>
      </c>
      <c r="D201" s="12" t="s">
        <v>490</v>
      </c>
      <c r="E201" s="24">
        <v>170.32000732421875</v>
      </c>
      <c r="F201" s="25">
        <v>576</v>
      </c>
      <c r="G201" s="12" t="s">
        <v>79</v>
      </c>
      <c r="H201" s="25">
        <v>46.08</v>
      </c>
      <c r="I201" s="25">
        <f>ROUND(H201*1.0, 2)</f>
      </c>
      <c r="J201" s="25">
        <f>ROUND(H201*0.95, 2)</f>
      </c>
      <c r="K201" s="25">
        <f>ROUND(H201*0.95, 2)</f>
      </c>
      <c r="L201" s="25">
        <f>ROUND(H201*1.05, 2)</f>
      </c>
      <c r="M201" s="25">
        <f>ROUND(H201*1.25, 2)</f>
      </c>
      <c r="N201" s="25">
        <f>ROUND(H201*1.55, 2)</f>
      </c>
      <c r="O201" s="25">
        <f>ROUND(H201*1.65, 2)</f>
      </c>
      <c r="P201" s="25">
        <f>SUM(I201:O201)</f>
      </c>
      <c r="Q201" s="25">
        <f>ROUND(H201*1.5, 2)</f>
      </c>
      <c r="R201" s="25">
        <f>ROUND(H201*2.0, 2)</f>
      </c>
      <c r="S201" s="12">
        <f>IF(F201&lt;=R201, "TRIGGER INDENT", "STOCK HEALTHY")</f>
      </c>
      <c r="T201" s="25">
        <f>IF(F201&lt;=R201, ROUND(MAX(H201, (I201+Q201)-F201), 2), 0)</f>
      </c>
    </row>
    <row r="202" ht="20" customHeight="1" spans="1:20" x14ac:dyDescent="0.25">
      <c r="A202" s="14" t="s">
        <v>549</v>
      </c>
      <c r="B202" s="14" t="s">
        <v>550</v>
      </c>
      <c r="C202" s="14" t="s">
        <v>126</v>
      </c>
      <c r="D202" s="14" t="s">
        <v>127</v>
      </c>
      <c r="E202" s="26">
        <v>0.009999999776482582</v>
      </c>
      <c r="F202" s="27">
        <v>9120</v>
      </c>
      <c r="G202" s="14" t="s">
        <v>45</v>
      </c>
      <c r="H202" s="27">
        <v>456</v>
      </c>
      <c r="I202" s="27">
        <f>ROUND(H202*1.0, 2)</f>
      </c>
      <c r="J202" s="27">
        <f>ROUND(H202*0.95, 2)</f>
      </c>
      <c r="K202" s="27">
        <f>ROUND(H202*0.95, 2)</f>
      </c>
      <c r="L202" s="27">
        <f>ROUND(H202*1.05, 2)</f>
      </c>
      <c r="M202" s="27">
        <f>ROUND(H202*1.25, 2)</f>
      </c>
      <c r="N202" s="27">
        <f>ROUND(H202*1.55, 2)</f>
      </c>
      <c r="O202" s="27">
        <f>ROUND(H202*1.65, 2)</f>
      </c>
      <c r="P202" s="27">
        <f>SUM(I202:O202)</f>
      </c>
      <c r="Q202" s="27">
        <f>ROUND(H202*1.5, 2)</f>
      </c>
      <c r="R202" s="27">
        <f>ROUND(H202*2.0, 2)</f>
      </c>
      <c r="S202" s="14">
        <f>IF(F202&lt;=R202, "TRIGGER INDENT", "STOCK HEALTHY")</f>
      </c>
      <c r="T202" s="27">
        <f>IF(F202&lt;=R202, ROUND(MAX(H202, (I202+Q202)-F202), 2), 0)</f>
      </c>
    </row>
    <row r="203" ht="20" customHeight="1" spans="1:20" x14ac:dyDescent="0.25">
      <c r="A203" s="12" t="s">
        <v>551</v>
      </c>
      <c r="B203" s="12" t="s">
        <v>552</v>
      </c>
      <c r="C203" s="12" t="s">
        <v>192</v>
      </c>
      <c r="D203" s="12" t="s">
        <v>139</v>
      </c>
      <c r="E203" s="24">
        <v>97.56999969482422</v>
      </c>
      <c r="F203" s="25">
        <v>1344</v>
      </c>
      <c r="G203" s="12" t="s">
        <v>85</v>
      </c>
      <c r="H203" s="25">
        <v>3</v>
      </c>
      <c r="I203" s="25">
        <f>ROUND(H203*1.0, 2)</f>
      </c>
      <c r="J203" s="25">
        <f>ROUND(H203*0.95, 2)</f>
      </c>
      <c r="K203" s="25">
        <f>ROUND(H203*0.95, 2)</f>
      </c>
      <c r="L203" s="25">
        <f>ROUND(H203*1.05, 2)</f>
      </c>
      <c r="M203" s="25">
        <f>ROUND(H203*1.25, 2)</f>
      </c>
      <c r="N203" s="25">
        <f>ROUND(H203*1.55, 2)</f>
      </c>
      <c r="O203" s="25">
        <f>ROUND(H203*1.65, 2)</f>
      </c>
      <c r="P203" s="25">
        <f>SUM(I203:O203)</f>
      </c>
      <c r="Q203" s="25">
        <f>ROUND(H203*1.5, 2)</f>
      </c>
      <c r="R203" s="25">
        <f>ROUND(H203*2.0, 2)</f>
      </c>
      <c r="S203" s="12">
        <f>IF(F203&lt;=R203, "TRIGGER INDENT", "STOCK HEALTHY")</f>
      </c>
      <c r="T203" s="25">
        <f>IF(F203&lt;=R203, ROUND(MAX(H203, (I203+Q203)-F203), 2), 0)</f>
      </c>
    </row>
    <row r="204" ht="20" customHeight="1" spans="1:20" x14ac:dyDescent="0.25">
      <c r="A204" s="14" t="s">
        <v>553</v>
      </c>
      <c r="B204" s="14" t="s">
        <v>554</v>
      </c>
      <c r="C204" s="14" t="s">
        <v>126</v>
      </c>
      <c r="D204" s="14" t="s">
        <v>127</v>
      </c>
      <c r="E204" s="26">
        <v>120</v>
      </c>
      <c r="F204" s="27">
        <v>144</v>
      </c>
      <c r="G204" s="14" t="s">
        <v>73</v>
      </c>
      <c r="H204" s="27">
        <v>17.28</v>
      </c>
      <c r="I204" s="27">
        <f>ROUND(H204*1.0, 2)</f>
      </c>
      <c r="J204" s="27">
        <f>ROUND(H204*0.95, 2)</f>
      </c>
      <c r="K204" s="27">
        <f>ROUND(H204*0.95, 2)</f>
      </c>
      <c r="L204" s="27">
        <f>ROUND(H204*1.05, 2)</f>
      </c>
      <c r="M204" s="27">
        <f>ROUND(H204*1.25, 2)</f>
      </c>
      <c r="N204" s="27">
        <f>ROUND(H204*1.55, 2)</f>
      </c>
      <c r="O204" s="27">
        <f>ROUND(H204*1.65, 2)</f>
      </c>
      <c r="P204" s="27">
        <f>SUM(I204:O204)</f>
      </c>
      <c r="Q204" s="27">
        <f>ROUND(H204*1.5, 2)</f>
      </c>
      <c r="R204" s="27">
        <f>ROUND(H204*2.0, 2)</f>
      </c>
      <c r="S204" s="14">
        <f>IF(F204&lt;=R204, "TRIGGER INDENT", "STOCK HEALTHY")</f>
      </c>
      <c r="T204" s="27">
        <f>IF(F204&lt;=R204, ROUND(MAX(H204, (I204+Q204)-F204), 2), 0)</f>
      </c>
    </row>
    <row r="205" ht="20" customHeight="1" spans="1:20" x14ac:dyDescent="0.25">
      <c r="A205" s="12" t="s">
        <v>555</v>
      </c>
      <c r="B205" s="12" t="s">
        <v>556</v>
      </c>
      <c r="C205" s="12" t="s">
        <v>144</v>
      </c>
      <c r="D205" s="12" t="s">
        <v>139</v>
      </c>
      <c r="E205" s="24">
        <v>91.95999908447266</v>
      </c>
      <c r="F205" s="25">
        <v>1.5100002</v>
      </c>
      <c r="G205" s="12" t="s">
        <v>73</v>
      </c>
      <c r="H205" s="25">
        <v>1</v>
      </c>
      <c r="I205" s="25">
        <f>ROUND(H205*1.0, 2)</f>
      </c>
      <c r="J205" s="25">
        <f>ROUND(H205*0.95, 2)</f>
      </c>
      <c r="K205" s="25">
        <f>ROUND(H205*0.95, 2)</f>
      </c>
      <c r="L205" s="25">
        <f>ROUND(H205*1.05, 2)</f>
      </c>
      <c r="M205" s="25">
        <f>ROUND(H205*1.25, 2)</f>
      </c>
      <c r="N205" s="25">
        <f>ROUND(H205*1.55, 2)</f>
      </c>
      <c r="O205" s="25">
        <f>ROUND(H205*1.65, 2)</f>
      </c>
      <c r="P205" s="25">
        <f>SUM(I205:O205)</f>
      </c>
      <c r="Q205" s="25">
        <f>ROUND(H205*1.5, 2)</f>
      </c>
      <c r="R205" s="25">
        <f>ROUND(H205*2.0, 2)</f>
      </c>
      <c r="S205" s="12">
        <f>IF(F205&lt;=R205, "TRIGGER INDENT", "STOCK HEALTHY")</f>
      </c>
      <c r="T205" s="25">
        <f>IF(F205&lt;=R205, ROUND(MAX(H205, (I205+Q205)-F205), 2), 0)</f>
      </c>
    </row>
    <row r="206" ht="20" customHeight="1" spans="1:20" x14ac:dyDescent="0.25">
      <c r="A206" s="14" t="s">
        <v>557</v>
      </c>
      <c r="B206" s="14" t="s">
        <v>558</v>
      </c>
      <c r="C206" s="14" t="s">
        <v>154</v>
      </c>
      <c r="D206" s="14" t="s">
        <v>179</v>
      </c>
      <c r="E206" s="26">
        <v>53.75</v>
      </c>
      <c r="F206" s="27">
        <v>1.5100002</v>
      </c>
      <c r="G206" s="14" t="s">
        <v>85</v>
      </c>
      <c r="H206" s="27">
        <v>1</v>
      </c>
      <c r="I206" s="27">
        <f>ROUND(H206*1.0, 2)</f>
      </c>
      <c r="J206" s="27">
        <f>ROUND(H206*0.95, 2)</f>
      </c>
      <c r="K206" s="27">
        <f>ROUND(H206*0.95, 2)</f>
      </c>
      <c r="L206" s="27">
        <f>ROUND(H206*1.05, 2)</f>
      </c>
      <c r="M206" s="27">
        <f>ROUND(H206*1.25, 2)</f>
      </c>
      <c r="N206" s="27">
        <f>ROUND(H206*1.55, 2)</f>
      </c>
      <c r="O206" s="27">
        <f>ROUND(H206*1.65, 2)</f>
      </c>
      <c r="P206" s="27">
        <f>SUM(I206:O206)</f>
      </c>
      <c r="Q206" s="27">
        <f>ROUND(H206*1.5, 2)</f>
      </c>
      <c r="R206" s="27">
        <f>ROUND(H206*2.0, 2)</f>
      </c>
      <c r="S206" s="14">
        <f>IF(F206&lt;=R206, "TRIGGER INDENT", "STOCK HEALTHY")</f>
      </c>
      <c r="T206" s="27">
        <f>IF(F206&lt;=R206, ROUND(MAX(H206, (I206+Q206)-F206), 2), 0)</f>
      </c>
    </row>
    <row r="207" ht="20" customHeight="1" spans="1:20" x14ac:dyDescent="0.25">
      <c r="A207" s="12" t="s">
        <v>559</v>
      </c>
      <c r="B207" s="12" t="s">
        <v>560</v>
      </c>
      <c r="C207" s="12" t="s">
        <v>192</v>
      </c>
      <c r="D207" s="12" t="s">
        <v>139</v>
      </c>
      <c r="E207" s="24">
        <v>102</v>
      </c>
      <c r="F207" s="25">
        <v>32</v>
      </c>
      <c r="G207" s="12" t="s">
        <v>45</v>
      </c>
      <c r="H207" s="25">
        <v>6.4</v>
      </c>
      <c r="I207" s="25">
        <f>ROUND(H207*1.0, 2)</f>
      </c>
      <c r="J207" s="25">
        <f>ROUND(H207*0.95, 2)</f>
      </c>
      <c r="K207" s="25">
        <f>ROUND(H207*0.95, 2)</f>
      </c>
      <c r="L207" s="25">
        <f>ROUND(H207*1.05, 2)</f>
      </c>
      <c r="M207" s="25">
        <f>ROUND(H207*1.25, 2)</f>
      </c>
      <c r="N207" s="25">
        <f>ROUND(H207*1.55, 2)</f>
      </c>
      <c r="O207" s="25">
        <f>ROUND(H207*1.65, 2)</f>
      </c>
      <c r="P207" s="25">
        <f>SUM(I207:O207)</f>
      </c>
      <c r="Q207" s="25">
        <f>ROUND(H207*1.5, 2)</f>
      </c>
      <c r="R207" s="25">
        <f>ROUND(H207*2.0, 2)</f>
      </c>
      <c r="S207" s="12">
        <f>IF(F207&lt;=R207, "TRIGGER INDENT", "STOCK HEALTHY")</f>
      </c>
      <c r="T207" s="25">
        <f>IF(F207&lt;=R207, ROUND(MAX(H207, (I207+Q207)-F207), 2), 0)</f>
      </c>
    </row>
    <row r="208" ht="20" customHeight="1" spans="1:20" x14ac:dyDescent="0.25">
      <c r="A208" s="14" t="s">
        <v>561</v>
      </c>
      <c r="B208" s="14" t="s">
        <v>562</v>
      </c>
      <c r="C208" s="14" t="s">
        <v>238</v>
      </c>
      <c r="D208" s="14" t="s">
        <v>179</v>
      </c>
      <c r="E208" s="26">
        <v>420.9700012207031</v>
      </c>
      <c r="F208" s="27">
        <v>160</v>
      </c>
      <c r="G208" s="14" t="s">
        <v>61</v>
      </c>
      <c r="H208" s="27">
        <v>19.2</v>
      </c>
      <c r="I208" s="27">
        <f>ROUND(H208*1.0, 2)</f>
      </c>
      <c r="J208" s="27">
        <f>ROUND(H208*0.95, 2)</f>
      </c>
      <c r="K208" s="27">
        <f>ROUND(H208*0.95, 2)</f>
      </c>
      <c r="L208" s="27">
        <f>ROUND(H208*1.05, 2)</f>
      </c>
      <c r="M208" s="27">
        <f>ROUND(H208*1.25, 2)</f>
      </c>
      <c r="N208" s="27">
        <f>ROUND(H208*1.55, 2)</f>
      </c>
      <c r="O208" s="27">
        <f>ROUND(H208*1.65, 2)</f>
      </c>
      <c r="P208" s="27">
        <f>SUM(I208:O208)</f>
      </c>
      <c r="Q208" s="27">
        <f>ROUND(H208*1.5, 2)</f>
      </c>
      <c r="R208" s="27">
        <f>ROUND(H208*2.0, 2)</f>
      </c>
      <c r="S208" s="14">
        <f>IF(F208&lt;=R208, "TRIGGER INDENT", "STOCK HEALTHY")</f>
      </c>
      <c r="T208" s="27">
        <f>IF(F208&lt;=R208, ROUND(MAX(H208, (I208+Q208)-F208), 2), 0)</f>
      </c>
    </row>
    <row r="209" ht="20" customHeight="1" spans="1:20" x14ac:dyDescent="0.25">
      <c r="A209" s="12" t="s">
        <v>563</v>
      </c>
      <c r="B209" s="12" t="s">
        <v>564</v>
      </c>
      <c r="C209" s="12" t="s">
        <v>138</v>
      </c>
      <c r="D209" s="12" t="s">
        <v>179</v>
      </c>
      <c r="E209" s="24">
        <v>144.1699981689453</v>
      </c>
      <c r="F209" s="25">
        <v>240</v>
      </c>
      <c r="G209" s="12" t="s">
        <v>97</v>
      </c>
      <c r="H209" s="25">
        <v>19.2</v>
      </c>
      <c r="I209" s="25">
        <f>ROUND(H209*1.0, 2)</f>
      </c>
      <c r="J209" s="25">
        <f>ROUND(H209*0.95, 2)</f>
      </c>
      <c r="K209" s="25">
        <f>ROUND(H209*0.95, 2)</f>
      </c>
      <c r="L209" s="25">
        <f>ROUND(H209*1.05, 2)</f>
      </c>
      <c r="M209" s="25">
        <f>ROUND(H209*1.25, 2)</f>
      </c>
      <c r="N209" s="25">
        <f>ROUND(H209*1.55, 2)</f>
      </c>
      <c r="O209" s="25">
        <f>ROUND(H209*1.65, 2)</f>
      </c>
      <c r="P209" s="25">
        <f>SUM(I209:O209)</f>
      </c>
      <c r="Q209" s="25">
        <f>ROUND(H209*1.5, 2)</f>
      </c>
      <c r="R209" s="25">
        <f>ROUND(H209*2.0, 2)</f>
      </c>
      <c r="S209" s="12">
        <f>IF(F209&lt;=R209, "TRIGGER INDENT", "STOCK HEALTHY")</f>
      </c>
      <c r="T209" s="25">
        <f>IF(F209&lt;=R209, ROUND(MAX(H209, (I209+Q209)-F209), 2), 0)</f>
      </c>
    </row>
    <row r="210" ht="20" customHeight="1" spans="1:20" x14ac:dyDescent="0.25">
      <c r="A210" s="14" t="s">
        <v>565</v>
      </c>
      <c r="B210" s="14" t="s">
        <v>566</v>
      </c>
      <c r="C210" s="14" t="s">
        <v>154</v>
      </c>
      <c r="D210" s="14" t="s">
        <v>139</v>
      </c>
      <c r="E210" s="26">
        <v>69.47000122070312</v>
      </c>
      <c r="F210" s="27">
        <v>112</v>
      </c>
      <c r="G210" s="14" t="s">
        <v>91</v>
      </c>
      <c r="H210" s="27">
        <v>13.44</v>
      </c>
      <c r="I210" s="27">
        <f>ROUND(H210*1.0, 2)</f>
      </c>
      <c r="J210" s="27">
        <f>ROUND(H210*0.95, 2)</f>
      </c>
      <c r="K210" s="27">
        <f>ROUND(H210*0.95, 2)</f>
      </c>
      <c r="L210" s="27">
        <f>ROUND(H210*1.05, 2)</f>
      </c>
      <c r="M210" s="27">
        <f>ROUND(H210*1.25, 2)</f>
      </c>
      <c r="N210" s="27">
        <f>ROUND(H210*1.55, 2)</f>
      </c>
      <c r="O210" s="27">
        <f>ROUND(H210*1.65, 2)</f>
      </c>
      <c r="P210" s="27">
        <f>SUM(I210:O210)</f>
      </c>
      <c r="Q210" s="27">
        <f>ROUND(H210*1.5, 2)</f>
      </c>
      <c r="R210" s="27">
        <f>ROUND(H210*2.0, 2)</f>
      </c>
      <c r="S210" s="14">
        <f>IF(F210&lt;=R210, "TRIGGER INDENT", "STOCK HEALTHY")</f>
      </c>
      <c r="T210" s="27">
        <f>IF(F210&lt;=R210, ROUND(MAX(H210, (I210+Q210)-F210), 2), 0)</f>
      </c>
    </row>
    <row r="211" ht="20" customHeight="1" spans="1:20" x14ac:dyDescent="0.25">
      <c r="A211" s="12" t="s">
        <v>567</v>
      </c>
      <c r="B211" s="12" t="s">
        <v>568</v>
      </c>
      <c r="C211" s="12" t="s">
        <v>395</v>
      </c>
      <c r="D211" s="12" t="s">
        <v>179</v>
      </c>
      <c r="E211" s="24">
        <v>64.87999725341797</v>
      </c>
      <c r="F211" s="25">
        <v>80</v>
      </c>
      <c r="G211" s="12" t="s">
        <v>67</v>
      </c>
      <c r="H211" s="25">
        <v>9.6</v>
      </c>
      <c r="I211" s="25">
        <f>ROUND(H211*1.0, 2)</f>
      </c>
      <c r="J211" s="25">
        <f>ROUND(H211*0.95, 2)</f>
      </c>
      <c r="K211" s="25">
        <f>ROUND(H211*0.95, 2)</f>
      </c>
      <c r="L211" s="25">
        <f>ROUND(H211*1.05, 2)</f>
      </c>
      <c r="M211" s="25">
        <f>ROUND(H211*1.25, 2)</f>
      </c>
      <c r="N211" s="25">
        <f>ROUND(H211*1.55, 2)</f>
      </c>
      <c r="O211" s="25">
        <f>ROUND(H211*1.65, 2)</f>
      </c>
      <c r="P211" s="25">
        <f>SUM(I211:O211)</f>
      </c>
      <c r="Q211" s="25">
        <f>ROUND(H211*1.5, 2)</f>
      </c>
      <c r="R211" s="25">
        <f>ROUND(H211*2.0, 2)</f>
      </c>
      <c r="S211" s="12">
        <f>IF(F211&lt;=R211, "TRIGGER INDENT", "STOCK HEALTHY")</f>
      </c>
      <c r="T211" s="25">
        <f>IF(F211&lt;=R211, ROUND(MAX(H211, (I211+Q211)-F211), 2), 0)</f>
      </c>
    </row>
    <row r="212" ht="20" customHeight="1" spans="1:20" x14ac:dyDescent="0.25">
      <c r="A212" s="14" t="s">
        <v>569</v>
      </c>
      <c r="B212" s="14" t="s">
        <v>570</v>
      </c>
      <c r="C212" s="14" t="s">
        <v>144</v>
      </c>
      <c r="D212" s="14" t="s">
        <v>139</v>
      </c>
      <c r="E212" s="26">
        <v>51.150001525878906</v>
      </c>
      <c r="F212" s="27">
        <v>1.5100002</v>
      </c>
      <c r="G212" s="14" t="s">
        <v>79</v>
      </c>
      <c r="H212" s="27">
        <v>1</v>
      </c>
      <c r="I212" s="27">
        <f>ROUND(H212*1.0, 2)</f>
      </c>
      <c r="J212" s="27">
        <f>ROUND(H212*0.95, 2)</f>
      </c>
      <c r="K212" s="27">
        <f>ROUND(H212*0.95, 2)</f>
      </c>
      <c r="L212" s="27">
        <f>ROUND(H212*1.05, 2)</f>
      </c>
      <c r="M212" s="27">
        <f>ROUND(H212*1.25, 2)</f>
      </c>
      <c r="N212" s="27">
        <f>ROUND(H212*1.55, 2)</f>
      </c>
      <c r="O212" s="27">
        <f>ROUND(H212*1.65, 2)</f>
      </c>
      <c r="P212" s="27">
        <f>SUM(I212:O212)</f>
      </c>
      <c r="Q212" s="27">
        <f>ROUND(H212*1.5, 2)</f>
      </c>
      <c r="R212" s="27">
        <f>ROUND(H212*2.0, 2)</f>
      </c>
      <c r="S212" s="14">
        <f>IF(F212&lt;=R212, "TRIGGER INDENT", "STOCK HEALTHY")</f>
      </c>
      <c r="T212" s="27">
        <f>IF(F212&lt;=R212, ROUND(MAX(H212, (I212+Q212)-F212), 2), 0)</f>
      </c>
    </row>
    <row r="213" ht="20" customHeight="1" spans="1:20" x14ac:dyDescent="0.25">
      <c r="A213" s="12" t="s">
        <v>571</v>
      </c>
      <c r="B213" s="12" t="s">
        <v>572</v>
      </c>
      <c r="C213" s="12" t="s">
        <v>304</v>
      </c>
      <c r="D213" s="12" t="s">
        <v>135</v>
      </c>
      <c r="E213" s="24">
        <v>200.3800048828125</v>
      </c>
      <c r="F213" s="25">
        <v>224</v>
      </c>
      <c r="G213" s="12" t="s">
        <v>45</v>
      </c>
      <c r="H213" s="25">
        <v>17.92</v>
      </c>
      <c r="I213" s="25">
        <f>ROUND(H213*1.0, 2)</f>
      </c>
      <c r="J213" s="25">
        <f>ROUND(H213*0.95, 2)</f>
      </c>
      <c r="K213" s="25">
        <f>ROUND(H213*0.95, 2)</f>
      </c>
      <c r="L213" s="25">
        <f>ROUND(H213*1.05, 2)</f>
      </c>
      <c r="M213" s="25">
        <f>ROUND(H213*1.25, 2)</f>
      </c>
      <c r="N213" s="25">
        <f>ROUND(H213*1.55, 2)</f>
      </c>
      <c r="O213" s="25">
        <f>ROUND(H213*1.65, 2)</f>
      </c>
      <c r="P213" s="25">
        <f>SUM(I213:O213)</f>
      </c>
      <c r="Q213" s="25">
        <f>ROUND(H213*1.5, 2)</f>
      </c>
      <c r="R213" s="25">
        <f>ROUND(H213*2.0, 2)</f>
      </c>
      <c r="S213" s="12">
        <f>IF(F213&lt;=R213, "TRIGGER INDENT", "STOCK HEALTHY")</f>
      </c>
      <c r="T213" s="25">
        <f>IF(F213&lt;=R213, ROUND(MAX(H213, (I213+Q213)-F213), 2), 0)</f>
      </c>
    </row>
    <row r="214" ht="20" customHeight="1" spans="1:20" x14ac:dyDescent="0.25">
      <c r="A214" s="14" t="s">
        <v>573</v>
      </c>
      <c r="B214" s="14" t="s">
        <v>574</v>
      </c>
      <c r="C214" s="14" t="s">
        <v>269</v>
      </c>
      <c r="D214" s="14" t="s">
        <v>139</v>
      </c>
      <c r="E214" s="26">
        <v>773.260009765625</v>
      </c>
      <c r="F214" s="27">
        <v>1.5100002</v>
      </c>
      <c r="G214" s="14" t="s">
        <v>67</v>
      </c>
      <c r="H214" s="27">
        <v>1</v>
      </c>
      <c r="I214" s="27">
        <f>ROUND(H214*1.0, 2)</f>
      </c>
      <c r="J214" s="27">
        <f>ROUND(H214*0.95, 2)</f>
      </c>
      <c r="K214" s="27">
        <f>ROUND(H214*0.95, 2)</f>
      </c>
      <c r="L214" s="27">
        <f>ROUND(H214*1.05, 2)</f>
      </c>
      <c r="M214" s="27">
        <f>ROUND(H214*1.25, 2)</f>
      </c>
      <c r="N214" s="27">
        <f>ROUND(H214*1.55, 2)</f>
      </c>
      <c r="O214" s="27">
        <f>ROUND(H214*1.65, 2)</f>
      </c>
      <c r="P214" s="27">
        <f>SUM(I214:O214)</f>
      </c>
      <c r="Q214" s="27">
        <f>ROUND(H214*1.5, 2)</f>
      </c>
      <c r="R214" s="27">
        <f>ROUND(H214*2.0, 2)</f>
      </c>
      <c r="S214" s="14">
        <f>IF(F214&lt;=R214, "TRIGGER INDENT", "STOCK HEALTHY")</f>
      </c>
      <c r="T214" s="27">
        <f>IF(F214&lt;=R214, ROUND(MAX(H214, (I214+Q214)-F214), 2), 0)</f>
      </c>
    </row>
    <row r="215" ht="20" customHeight="1" spans="1:20" x14ac:dyDescent="0.25">
      <c r="A215" s="12" t="s">
        <v>575</v>
      </c>
      <c r="B215" s="12" t="s">
        <v>576</v>
      </c>
      <c r="C215" s="12" t="s">
        <v>269</v>
      </c>
      <c r="D215" s="12" t="s">
        <v>139</v>
      </c>
      <c r="E215" s="24">
        <v>926.6699829101562</v>
      </c>
      <c r="F215" s="25">
        <v>1.5100002</v>
      </c>
      <c r="G215" s="12" t="s">
        <v>67</v>
      </c>
      <c r="H215" s="25">
        <v>1</v>
      </c>
      <c r="I215" s="25">
        <f>ROUND(H215*1.0, 2)</f>
      </c>
      <c r="J215" s="25">
        <f>ROUND(H215*0.95, 2)</f>
      </c>
      <c r="K215" s="25">
        <f>ROUND(H215*0.95, 2)</f>
      </c>
      <c r="L215" s="25">
        <f>ROUND(H215*1.05, 2)</f>
      </c>
      <c r="M215" s="25">
        <f>ROUND(H215*1.25, 2)</f>
      </c>
      <c r="N215" s="25">
        <f>ROUND(H215*1.55, 2)</f>
      </c>
      <c r="O215" s="25">
        <f>ROUND(H215*1.65, 2)</f>
      </c>
      <c r="P215" s="25">
        <f>SUM(I215:O215)</f>
      </c>
      <c r="Q215" s="25">
        <f>ROUND(H215*1.5, 2)</f>
      </c>
      <c r="R215" s="25">
        <f>ROUND(H215*2.0, 2)</f>
      </c>
      <c r="S215" s="12">
        <f>IF(F215&lt;=R215, "TRIGGER INDENT", "STOCK HEALTHY")</f>
      </c>
      <c r="T215" s="25">
        <f>IF(F215&lt;=R215, ROUND(MAX(H215, (I215+Q215)-F215), 2), 0)</f>
      </c>
    </row>
    <row r="216" ht="20" customHeight="1" spans="1:20" x14ac:dyDescent="0.25">
      <c r="A216" s="14" t="s">
        <v>577</v>
      </c>
      <c r="B216" s="14" t="s">
        <v>578</v>
      </c>
      <c r="C216" s="14" t="s">
        <v>126</v>
      </c>
      <c r="D216" s="14" t="s">
        <v>127</v>
      </c>
      <c r="E216" s="26">
        <v>2.4700000286102295</v>
      </c>
      <c r="F216" s="27">
        <v>2592</v>
      </c>
      <c r="G216" s="14" t="s">
        <v>45</v>
      </c>
      <c r="H216" s="27">
        <v>129.6</v>
      </c>
      <c r="I216" s="27">
        <f>ROUND(H216*1.0, 2)</f>
      </c>
      <c r="J216" s="27">
        <f>ROUND(H216*0.95, 2)</f>
      </c>
      <c r="K216" s="27">
        <f>ROUND(H216*0.95, 2)</f>
      </c>
      <c r="L216" s="27">
        <f>ROUND(H216*1.05, 2)</f>
      </c>
      <c r="M216" s="27">
        <f>ROUND(H216*1.25, 2)</f>
      </c>
      <c r="N216" s="27">
        <f>ROUND(H216*1.55, 2)</f>
      </c>
      <c r="O216" s="27">
        <f>ROUND(H216*1.65, 2)</f>
      </c>
      <c r="P216" s="27">
        <f>SUM(I216:O216)</f>
      </c>
      <c r="Q216" s="27">
        <f>ROUND(H216*1.5, 2)</f>
      </c>
      <c r="R216" s="27">
        <f>ROUND(H216*2.0, 2)</f>
      </c>
      <c r="S216" s="14">
        <f>IF(F216&lt;=R216, "TRIGGER INDENT", "STOCK HEALTHY")</f>
      </c>
      <c r="T216" s="27">
        <f>IF(F216&lt;=R216, ROUND(MAX(H216, (I216+Q216)-F216), 2), 0)</f>
      </c>
    </row>
    <row r="217" ht="20" customHeight="1" spans="1:20" x14ac:dyDescent="0.25">
      <c r="A217" s="12" t="s">
        <v>579</v>
      </c>
      <c r="B217" s="12" t="s">
        <v>580</v>
      </c>
      <c r="C217" s="12" t="s">
        <v>126</v>
      </c>
      <c r="D217" s="12" t="s">
        <v>179</v>
      </c>
      <c r="E217" s="24">
        <v>20</v>
      </c>
      <c r="F217" s="25">
        <v>5952</v>
      </c>
      <c r="G217" s="12" t="s">
        <v>73</v>
      </c>
      <c r="H217" s="25">
        <v>297.6</v>
      </c>
      <c r="I217" s="25">
        <f>ROUND(H217*1.0, 2)</f>
      </c>
      <c r="J217" s="25">
        <f>ROUND(H217*0.95, 2)</f>
      </c>
      <c r="K217" s="25">
        <f>ROUND(H217*0.95, 2)</f>
      </c>
      <c r="L217" s="25">
        <f>ROUND(H217*1.05, 2)</f>
      </c>
      <c r="M217" s="25">
        <f>ROUND(H217*1.25, 2)</f>
      </c>
      <c r="N217" s="25">
        <f>ROUND(H217*1.55, 2)</f>
      </c>
      <c r="O217" s="25">
        <f>ROUND(H217*1.65, 2)</f>
      </c>
      <c r="P217" s="25">
        <f>SUM(I217:O217)</f>
      </c>
      <c r="Q217" s="25">
        <f>ROUND(H217*1.5, 2)</f>
      </c>
      <c r="R217" s="25">
        <f>ROUND(H217*2.0, 2)</f>
      </c>
      <c r="S217" s="12">
        <f>IF(F217&lt;=R217, "TRIGGER INDENT", "STOCK HEALTHY")</f>
      </c>
      <c r="T217" s="25">
        <f>IF(F217&lt;=R217, ROUND(MAX(H217, (I217+Q217)-F217), 2), 0)</f>
      </c>
    </row>
    <row r="218" ht="20" customHeight="1" spans="1:20" x14ac:dyDescent="0.25">
      <c r="A218" s="14" t="s">
        <v>581</v>
      </c>
      <c r="B218" s="14" t="s">
        <v>582</v>
      </c>
      <c r="C218" s="14" t="s">
        <v>154</v>
      </c>
      <c r="D218" s="14" t="s">
        <v>179</v>
      </c>
      <c r="E218" s="26">
        <v>47.31999969482422</v>
      </c>
      <c r="F218" s="27">
        <v>496</v>
      </c>
      <c r="G218" s="14" t="s">
        <v>55</v>
      </c>
      <c r="H218" s="27">
        <v>39.68</v>
      </c>
      <c r="I218" s="27">
        <f>ROUND(H218*1.0, 2)</f>
      </c>
      <c r="J218" s="27">
        <f>ROUND(H218*0.95, 2)</f>
      </c>
      <c r="K218" s="27">
        <f>ROUND(H218*0.95, 2)</f>
      </c>
      <c r="L218" s="27">
        <f>ROUND(H218*1.05, 2)</f>
      </c>
      <c r="M218" s="27">
        <f>ROUND(H218*1.25, 2)</f>
      </c>
      <c r="N218" s="27">
        <f>ROUND(H218*1.55, 2)</f>
      </c>
      <c r="O218" s="27">
        <f>ROUND(H218*1.65, 2)</f>
      </c>
      <c r="P218" s="27">
        <f>SUM(I218:O218)</f>
      </c>
      <c r="Q218" s="27">
        <f>ROUND(H218*1.5, 2)</f>
      </c>
      <c r="R218" s="27">
        <f>ROUND(H218*2.0, 2)</f>
      </c>
      <c r="S218" s="14">
        <f>IF(F218&lt;=R218, "TRIGGER INDENT", "STOCK HEALTHY")</f>
      </c>
      <c r="T218" s="27">
        <f>IF(F218&lt;=R218, ROUND(MAX(H218, (I218+Q218)-F218), 2), 0)</f>
      </c>
    </row>
    <row r="219" ht="20" customHeight="1" spans="1:20" x14ac:dyDescent="0.25">
      <c r="A219" s="12" t="s">
        <v>583</v>
      </c>
      <c r="B219" s="12" t="s">
        <v>584</v>
      </c>
      <c r="C219" s="12" t="s">
        <v>154</v>
      </c>
      <c r="D219" s="12" t="s">
        <v>429</v>
      </c>
      <c r="E219" s="24">
        <v>345.7200012207031</v>
      </c>
      <c r="F219" s="25">
        <v>64</v>
      </c>
      <c r="G219" s="12" t="s">
        <v>55</v>
      </c>
      <c r="H219" s="25">
        <v>7.68</v>
      </c>
      <c r="I219" s="25">
        <f>ROUND(H219*1.0, 2)</f>
      </c>
      <c r="J219" s="25">
        <f>ROUND(H219*0.95, 2)</f>
      </c>
      <c r="K219" s="25">
        <f>ROUND(H219*0.95, 2)</f>
      </c>
      <c r="L219" s="25">
        <f>ROUND(H219*1.05, 2)</f>
      </c>
      <c r="M219" s="25">
        <f>ROUND(H219*1.25, 2)</f>
      </c>
      <c r="N219" s="25">
        <f>ROUND(H219*1.55, 2)</f>
      </c>
      <c r="O219" s="25">
        <f>ROUND(H219*1.65, 2)</f>
      </c>
      <c r="P219" s="25">
        <f>SUM(I219:O219)</f>
      </c>
      <c r="Q219" s="25">
        <f>ROUND(H219*1.5, 2)</f>
      </c>
      <c r="R219" s="25">
        <f>ROUND(H219*2.0, 2)</f>
      </c>
      <c r="S219" s="12">
        <f>IF(F219&lt;=R219, "TRIGGER INDENT", "STOCK HEALTHY")</f>
      </c>
      <c r="T219" s="25">
        <f>IF(F219&lt;=R219, ROUND(MAX(H219, (I219+Q219)-F219), 2), 0)</f>
      </c>
    </row>
    <row r="220" ht="20" customHeight="1" spans="1:20" x14ac:dyDescent="0.25">
      <c r="A220" s="14" t="s">
        <v>585</v>
      </c>
      <c r="B220" s="14" t="s">
        <v>586</v>
      </c>
      <c r="C220" s="14" t="s">
        <v>154</v>
      </c>
      <c r="D220" s="14" t="s">
        <v>179</v>
      </c>
      <c r="E220" s="26">
        <v>43.279998779296875</v>
      </c>
      <c r="F220" s="27">
        <v>272</v>
      </c>
      <c r="G220" s="14" t="s">
        <v>73</v>
      </c>
      <c r="H220" s="27">
        <v>21.76</v>
      </c>
      <c r="I220" s="27">
        <f>ROUND(H220*1.0, 2)</f>
      </c>
      <c r="J220" s="27">
        <f>ROUND(H220*0.95, 2)</f>
      </c>
      <c r="K220" s="27">
        <f>ROUND(H220*0.95, 2)</f>
      </c>
      <c r="L220" s="27">
        <f>ROUND(H220*1.05, 2)</f>
      </c>
      <c r="M220" s="27">
        <f>ROUND(H220*1.25, 2)</f>
      </c>
      <c r="N220" s="27">
        <f>ROUND(H220*1.55, 2)</f>
      </c>
      <c r="O220" s="27">
        <f>ROUND(H220*1.65, 2)</f>
      </c>
      <c r="P220" s="27">
        <f>SUM(I220:O220)</f>
      </c>
      <c r="Q220" s="27">
        <f>ROUND(H220*1.5, 2)</f>
      </c>
      <c r="R220" s="27">
        <f>ROUND(H220*2.0, 2)</f>
      </c>
      <c r="S220" s="14">
        <f>IF(F220&lt;=R220, "TRIGGER INDENT", "STOCK HEALTHY")</f>
      </c>
      <c r="T220" s="27">
        <f>IF(F220&lt;=R220, ROUND(MAX(H220, (I220+Q220)-F220), 2), 0)</f>
      </c>
    </row>
    <row r="221" ht="20" customHeight="1" spans="1:20" x14ac:dyDescent="0.25">
      <c r="A221" s="12" t="s">
        <v>587</v>
      </c>
      <c r="B221" s="12" t="s">
        <v>588</v>
      </c>
      <c r="C221" s="12" t="s">
        <v>395</v>
      </c>
      <c r="D221" s="12" t="s">
        <v>139</v>
      </c>
      <c r="E221" s="24">
        <v>14.220000267028809</v>
      </c>
      <c r="F221" s="25">
        <v>4152</v>
      </c>
      <c r="G221" s="12" t="s">
        <v>79</v>
      </c>
      <c r="H221" s="25">
        <v>10</v>
      </c>
      <c r="I221" s="25">
        <f>ROUND(H221*1.0, 2)</f>
      </c>
      <c r="J221" s="25">
        <f>ROUND(H221*0.95, 2)</f>
      </c>
      <c r="K221" s="25">
        <f>ROUND(H221*0.95, 2)</f>
      </c>
      <c r="L221" s="25">
        <f>ROUND(H221*1.05, 2)</f>
      </c>
      <c r="M221" s="25">
        <f>ROUND(H221*1.25, 2)</f>
      </c>
      <c r="N221" s="25">
        <f>ROUND(H221*1.55, 2)</f>
      </c>
      <c r="O221" s="25">
        <f>ROUND(H221*1.65, 2)</f>
      </c>
      <c r="P221" s="25">
        <f>SUM(I221:O221)</f>
      </c>
      <c r="Q221" s="25">
        <f>ROUND(H221*1.5, 2)</f>
      </c>
      <c r="R221" s="25">
        <f>ROUND(H221*2.0, 2)</f>
      </c>
      <c r="S221" s="12">
        <f>IF(F221&lt;=R221, "TRIGGER INDENT", "STOCK HEALTHY")</f>
      </c>
      <c r="T221" s="25">
        <f>IF(F221&lt;=R221, ROUND(MAX(H221, (I221+Q221)-F221), 2), 0)</f>
      </c>
    </row>
    <row r="222" ht="20" customHeight="1" spans="1:20" x14ac:dyDescent="0.25">
      <c r="A222" s="14" t="s">
        <v>589</v>
      </c>
      <c r="B222" s="14" t="s">
        <v>590</v>
      </c>
      <c r="C222" s="14" t="s">
        <v>144</v>
      </c>
      <c r="D222" s="14" t="s">
        <v>139</v>
      </c>
      <c r="E222" s="26">
        <v>177.47000122070312</v>
      </c>
      <c r="F222" s="27">
        <v>16</v>
      </c>
      <c r="G222" s="14" t="s">
        <v>73</v>
      </c>
      <c r="H222" s="27">
        <v>3.2</v>
      </c>
      <c r="I222" s="27">
        <f>ROUND(H222*1.0, 2)</f>
      </c>
      <c r="J222" s="27">
        <f>ROUND(H222*0.95, 2)</f>
      </c>
      <c r="K222" s="27">
        <f>ROUND(H222*0.95, 2)</f>
      </c>
      <c r="L222" s="27">
        <f>ROUND(H222*1.05, 2)</f>
      </c>
      <c r="M222" s="27">
        <f>ROUND(H222*1.25, 2)</f>
      </c>
      <c r="N222" s="27">
        <f>ROUND(H222*1.55, 2)</f>
      </c>
      <c r="O222" s="27">
        <f>ROUND(H222*1.65, 2)</f>
      </c>
      <c r="P222" s="27">
        <f>SUM(I222:O222)</f>
      </c>
      <c r="Q222" s="27">
        <f>ROUND(H222*1.5, 2)</f>
      </c>
      <c r="R222" s="27">
        <f>ROUND(H222*2.0, 2)</f>
      </c>
      <c r="S222" s="14">
        <f>IF(F222&lt;=R222, "TRIGGER INDENT", "STOCK HEALTHY")</f>
      </c>
      <c r="T222" s="27">
        <f>IF(F222&lt;=R222, ROUND(MAX(H222, (I222+Q222)-F222), 2), 0)</f>
      </c>
    </row>
    <row r="223" ht="20" customHeight="1" spans="1:20" x14ac:dyDescent="0.25">
      <c r="A223" s="12" t="s">
        <v>591</v>
      </c>
      <c r="B223" s="12" t="s">
        <v>592</v>
      </c>
      <c r="C223" s="12" t="s">
        <v>134</v>
      </c>
      <c r="D223" s="12" t="s">
        <v>135</v>
      </c>
      <c r="E223" s="24">
        <v>210</v>
      </c>
      <c r="F223" s="25">
        <v>16</v>
      </c>
      <c r="G223" s="12" t="s">
        <v>85</v>
      </c>
      <c r="H223" s="25">
        <v>3.2</v>
      </c>
      <c r="I223" s="25">
        <f>ROUND(H223*1.0, 2)</f>
      </c>
      <c r="J223" s="25">
        <f>ROUND(H223*0.95, 2)</f>
      </c>
      <c r="K223" s="25">
        <f>ROUND(H223*0.95, 2)</f>
      </c>
      <c r="L223" s="25">
        <f>ROUND(H223*1.05, 2)</f>
      </c>
      <c r="M223" s="25">
        <f>ROUND(H223*1.25, 2)</f>
      </c>
      <c r="N223" s="25">
        <f>ROUND(H223*1.55, 2)</f>
      </c>
      <c r="O223" s="25">
        <f>ROUND(H223*1.65, 2)</f>
      </c>
      <c r="P223" s="25">
        <f>SUM(I223:O223)</f>
      </c>
      <c r="Q223" s="25">
        <f>ROUND(H223*1.5, 2)</f>
      </c>
      <c r="R223" s="25">
        <f>ROUND(H223*2.0, 2)</f>
      </c>
      <c r="S223" s="12">
        <f>IF(F223&lt;=R223, "TRIGGER INDENT", "STOCK HEALTHY")</f>
      </c>
      <c r="T223" s="25">
        <f>IF(F223&lt;=R223, ROUND(MAX(H223, (I223+Q223)-F223), 2), 0)</f>
      </c>
    </row>
    <row r="224" ht="20" customHeight="1" spans="1:20" x14ac:dyDescent="0.25">
      <c r="A224" s="14" t="s">
        <v>593</v>
      </c>
      <c r="B224" s="14" t="s">
        <v>594</v>
      </c>
      <c r="C224" s="14" t="s">
        <v>138</v>
      </c>
      <c r="D224" s="14" t="s">
        <v>139</v>
      </c>
      <c r="E224" s="26">
        <v>321.42999267578125</v>
      </c>
      <c r="F224" s="27">
        <v>24</v>
      </c>
      <c r="G224" s="14" t="s">
        <v>61</v>
      </c>
      <c r="H224" s="27">
        <v>4.8</v>
      </c>
      <c r="I224" s="27">
        <f>ROUND(H224*1.0, 2)</f>
      </c>
      <c r="J224" s="27">
        <f>ROUND(H224*0.95, 2)</f>
      </c>
      <c r="K224" s="27">
        <f>ROUND(H224*0.95, 2)</f>
      </c>
      <c r="L224" s="27">
        <f>ROUND(H224*1.05, 2)</f>
      </c>
      <c r="M224" s="27">
        <f>ROUND(H224*1.25, 2)</f>
      </c>
      <c r="N224" s="27">
        <f>ROUND(H224*1.55, 2)</f>
      </c>
      <c r="O224" s="27">
        <f>ROUND(H224*1.65, 2)</f>
      </c>
      <c r="P224" s="27">
        <f>SUM(I224:O224)</f>
      </c>
      <c r="Q224" s="27">
        <f>ROUND(H224*1.5, 2)</f>
      </c>
      <c r="R224" s="27">
        <f>ROUND(H224*2.0, 2)</f>
      </c>
      <c r="S224" s="14">
        <f>IF(F224&lt;=R224, "TRIGGER INDENT", "STOCK HEALTHY")</f>
      </c>
      <c r="T224" s="27">
        <f>IF(F224&lt;=R224, ROUND(MAX(H224, (I224+Q224)-F224), 2), 0)</f>
      </c>
    </row>
    <row r="225" ht="20" customHeight="1" spans="1:20" x14ac:dyDescent="0.25">
      <c r="A225" s="12" t="s">
        <v>595</v>
      </c>
      <c r="B225" s="12" t="s">
        <v>596</v>
      </c>
      <c r="C225" s="12" t="s">
        <v>138</v>
      </c>
      <c r="D225" s="12" t="s">
        <v>179</v>
      </c>
      <c r="E225" s="24">
        <v>1.600000023841858</v>
      </c>
      <c r="F225" s="25">
        <v>1.5100002</v>
      </c>
      <c r="G225" s="12" t="s">
        <v>85</v>
      </c>
      <c r="H225" s="25">
        <v>1</v>
      </c>
      <c r="I225" s="25">
        <f>ROUND(H225*1.0, 2)</f>
      </c>
      <c r="J225" s="25">
        <f>ROUND(H225*0.95, 2)</f>
      </c>
      <c r="K225" s="25">
        <f>ROUND(H225*0.95, 2)</f>
      </c>
      <c r="L225" s="25">
        <f>ROUND(H225*1.05, 2)</f>
      </c>
      <c r="M225" s="25">
        <f>ROUND(H225*1.25, 2)</f>
      </c>
      <c r="N225" s="25">
        <f>ROUND(H225*1.55, 2)</f>
      </c>
      <c r="O225" s="25">
        <f>ROUND(H225*1.65, 2)</f>
      </c>
      <c r="P225" s="25">
        <f>SUM(I225:O225)</f>
      </c>
      <c r="Q225" s="25">
        <f>ROUND(H225*1.5, 2)</f>
      </c>
      <c r="R225" s="25">
        <f>ROUND(H225*2.0, 2)</f>
      </c>
      <c r="S225" s="12">
        <f>IF(F225&lt;=R225, "TRIGGER INDENT", "STOCK HEALTHY")</f>
      </c>
      <c r="T225" s="25">
        <f>IF(F225&lt;=R225, ROUND(MAX(H225, (I225+Q225)-F225), 2), 0)</f>
      </c>
    </row>
    <row r="226" ht="20" customHeight="1" spans="1:20" x14ac:dyDescent="0.25">
      <c r="A226" s="14" t="s">
        <v>597</v>
      </c>
      <c r="B226" s="14" t="s">
        <v>598</v>
      </c>
      <c r="C226" s="14" t="s">
        <v>154</v>
      </c>
      <c r="D226" s="14" t="s">
        <v>179</v>
      </c>
      <c r="E226" s="26">
        <v>29.020000457763672</v>
      </c>
      <c r="F226" s="27">
        <v>256</v>
      </c>
      <c r="G226" s="14" t="s">
        <v>61</v>
      </c>
      <c r="H226" s="27">
        <v>20.48</v>
      </c>
      <c r="I226" s="27">
        <f>ROUND(H226*1.0, 2)</f>
      </c>
      <c r="J226" s="27">
        <f>ROUND(H226*0.95, 2)</f>
      </c>
      <c r="K226" s="27">
        <f>ROUND(H226*0.95, 2)</f>
      </c>
      <c r="L226" s="27">
        <f>ROUND(H226*1.05, 2)</f>
      </c>
      <c r="M226" s="27">
        <f>ROUND(H226*1.25, 2)</f>
      </c>
      <c r="N226" s="27">
        <f>ROUND(H226*1.55, 2)</f>
      </c>
      <c r="O226" s="27">
        <f>ROUND(H226*1.65, 2)</f>
      </c>
      <c r="P226" s="27">
        <f>SUM(I226:O226)</f>
      </c>
      <c r="Q226" s="27">
        <f>ROUND(H226*1.5, 2)</f>
      </c>
      <c r="R226" s="27">
        <f>ROUND(H226*2.0, 2)</f>
      </c>
      <c r="S226" s="14">
        <f>IF(F226&lt;=R226, "TRIGGER INDENT", "STOCK HEALTHY")</f>
      </c>
      <c r="T226" s="27">
        <f>IF(F226&lt;=R226, ROUND(MAX(H226, (I226+Q226)-F226), 2), 0)</f>
      </c>
    </row>
    <row r="227" ht="20" customHeight="1" spans="1:20" x14ac:dyDescent="0.25">
      <c r="A227" s="12" t="s">
        <v>599</v>
      </c>
      <c r="B227" s="12" t="s">
        <v>600</v>
      </c>
      <c r="C227" s="12" t="s">
        <v>134</v>
      </c>
      <c r="D227" s="12" t="s">
        <v>135</v>
      </c>
      <c r="E227" s="24">
        <v>330</v>
      </c>
      <c r="F227" s="25">
        <v>64</v>
      </c>
      <c r="G227" s="12" t="s">
        <v>73</v>
      </c>
      <c r="H227" s="25">
        <v>7.68</v>
      </c>
      <c r="I227" s="25">
        <f>ROUND(H227*1.0, 2)</f>
      </c>
      <c r="J227" s="25">
        <f>ROUND(H227*0.95, 2)</f>
      </c>
      <c r="K227" s="25">
        <f>ROUND(H227*0.95, 2)</f>
      </c>
      <c r="L227" s="25">
        <f>ROUND(H227*1.05, 2)</f>
      </c>
      <c r="M227" s="25">
        <f>ROUND(H227*1.25, 2)</f>
      </c>
      <c r="N227" s="25">
        <f>ROUND(H227*1.55, 2)</f>
      </c>
      <c r="O227" s="25">
        <f>ROUND(H227*1.65, 2)</f>
      </c>
      <c r="P227" s="25">
        <f>SUM(I227:O227)</f>
      </c>
      <c r="Q227" s="25">
        <f>ROUND(H227*1.5, 2)</f>
      </c>
      <c r="R227" s="25">
        <f>ROUND(H227*2.0, 2)</f>
      </c>
      <c r="S227" s="12">
        <f>IF(F227&lt;=R227, "TRIGGER INDENT", "STOCK HEALTHY")</f>
      </c>
      <c r="T227" s="25">
        <f>IF(F227&lt;=R227, ROUND(MAX(H227, (I227+Q227)-F227), 2), 0)</f>
      </c>
    </row>
    <row r="228" ht="20" customHeight="1" spans="1:20" x14ac:dyDescent="0.25">
      <c r="A228" s="14" t="s">
        <v>601</v>
      </c>
      <c r="B228" s="14" t="s">
        <v>602</v>
      </c>
      <c r="C228" s="14" t="s">
        <v>154</v>
      </c>
      <c r="D228" s="14" t="s">
        <v>139</v>
      </c>
      <c r="E228" s="26">
        <v>130.30999755859375</v>
      </c>
      <c r="F228" s="27">
        <v>1540</v>
      </c>
      <c r="G228" s="14" t="s">
        <v>97</v>
      </c>
      <c r="H228" s="27">
        <v>77</v>
      </c>
      <c r="I228" s="27">
        <f>ROUND(H228*1.0, 2)</f>
      </c>
      <c r="J228" s="27">
        <f>ROUND(H228*0.95, 2)</f>
      </c>
      <c r="K228" s="27">
        <f>ROUND(H228*0.95, 2)</f>
      </c>
      <c r="L228" s="27">
        <f>ROUND(H228*1.05, 2)</f>
      </c>
      <c r="M228" s="27">
        <f>ROUND(H228*1.25, 2)</f>
      </c>
      <c r="N228" s="27">
        <f>ROUND(H228*1.55, 2)</f>
      </c>
      <c r="O228" s="27">
        <f>ROUND(H228*1.65, 2)</f>
      </c>
      <c r="P228" s="27">
        <f>SUM(I228:O228)</f>
      </c>
      <c r="Q228" s="27">
        <f>ROUND(H228*1.5, 2)</f>
      </c>
      <c r="R228" s="27">
        <f>ROUND(H228*2.0, 2)</f>
      </c>
      <c r="S228" s="14">
        <f>IF(F228&lt;=R228, "TRIGGER INDENT", "STOCK HEALTHY")</f>
      </c>
      <c r="T228" s="27">
        <f>IF(F228&lt;=R228, ROUND(MAX(H228, (I228+Q228)-F228), 2), 0)</f>
      </c>
    </row>
    <row r="229" ht="20" customHeight="1" spans="1:20" x14ac:dyDescent="0.25">
      <c r="A229" s="12" t="s">
        <v>603</v>
      </c>
      <c r="B229" s="12" t="s">
        <v>604</v>
      </c>
      <c r="C229" s="12" t="s">
        <v>304</v>
      </c>
      <c r="D229" s="12" t="s">
        <v>305</v>
      </c>
      <c r="E229" s="24">
        <v>121.4800033569336</v>
      </c>
      <c r="F229" s="25">
        <v>11760</v>
      </c>
      <c r="G229" s="12" t="s">
        <v>85</v>
      </c>
      <c r="H229" s="25">
        <v>3</v>
      </c>
      <c r="I229" s="25">
        <f>ROUND(H229*1.0, 2)</f>
      </c>
      <c r="J229" s="25">
        <f>ROUND(H229*0.95, 2)</f>
      </c>
      <c r="K229" s="25">
        <f>ROUND(H229*0.95, 2)</f>
      </c>
      <c r="L229" s="25">
        <f>ROUND(H229*1.05, 2)</f>
      </c>
      <c r="M229" s="25">
        <f>ROUND(H229*1.25, 2)</f>
      </c>
      <c r="N229" s="25">
        <f>ROUND(H229*1.55, 2)</f>
      </c>
      <c r="O229" s="25">
        <f>ROUND(H229*1.65, 2)</f>
      </c>
      <c r="P229" s="25">
        <f>SUM(I229:O229)</f>
      </c>
      <c r="Q229" s="25">
        <f>ROUND(H229*1.5, 2)</f>
      </c>
      <c r="R229" s="25">
        <f>ROUND(H229*2.0, 2)</f>
      </c>
      <c r="S229" s="12">
        <f>IF(F229&lt;=R229, "TRIGGER INDENT", "STOCK HEALTHY")</f>
      </c>
      <c r="T229" s="25">
        <f>IF(F229&lt;=R229, ROUND(MAX(H229, (I229+Q229)-F229), 2), 0)</f>
      </c>
    </row>
    <row r="230" ht="20" customHeight="1" spans="1:20" x14ac:dyDescent="0.25">
      <c r="A230" s="14" t="s">
        <v>605</v>
      </c>
      <c r="B230" s="14" t="s">
        <v>606</v>
      </c>
      <c r="C230" s="14" t="s">
        <v>238</v>
      </c>
      <c r="D230" s="14" t="s">
        <v>139</v>
      </c>
      <c r="E230" s="26">
        <v>396.510009765625</v>
      </c>
      <c r="F230" s="27">
        <v>342.39993</v>
      </c>
      <c r="G230" s="14" t="s">
        <v>45</v>
      </c>
      <c r="H230" s="27">
        <v>27.39</v>
      </c>
      <c r="I230" s="27">
        <f>ROUND(H230*1.0, 2)</f>
      </c>
      <c r="J230" s="27">
        <f>ROUND(H230*0.95, 2)</f>
      </c>
      <c r="K230" s="27">
        <f>ROUND(H230*0.95, 2)</f>
      </c>
      <c r="L230" s="27">
        <f>ROUND(H230*1.05, 2)</f>
      </c>
      <c r="M230" s="27">
        <f>ROUND(H230*1.25, 2)</f>
      </c>
      <c r="N230" s="27">
        <f>ROUND(H230*1.55, 2)</f>
      </c>
      <c r="O230" s="27">
        <f>ROUND(H230*1.65, 2)</f>
      </c>
      <c r="P230" s="27">
        <f>SUM(I230:O230)</f>
      </c>
      <c r="Q230" s="27">
        <f>ROUND(H230*1.5, 2)</f>
      </c>
      <c r="R230" s="27">
        <f>ROUND(H230*2.0, 2)</f>
      </c>
      <c r="S230" s="14">
        <f>IF(F230&lt;=R230, "TRIGGER INDENT", "STOCK HEALTHY")</f>
      </c>
      <c r="T230" s="27">
        <f>IF(F230&lt;=R230, ROUND(MAX(H230, (I230+Q230)-F230), 2), 0)</f>
      </c>
    </row>
    <row r="231" ht="20" customHeight="1" spans="1:20" x14ac:dyDescent="0.25">
      <c r="A231" s="12" t="s">
        <v>607</v>
      </c>
      <c r="B231" s="12" t="s">
        <v>608</v>
      </c>
      <c r="C231" s="12" t="s">
        <v>382</v>
      </c>
      <c r="D231" s="12" t="s">
        <v>179</v>
      </c>
      <c r="E231" s="24">
        <v>184.61000061035156</v>
      </c>
      <c r="F231" s="25">
        <v>1.5100002</v>
      </c>
      <c r="G231" s="12" t="s">
        <v>55</v>
      </c>
      <c r="H231" s="25">
        <v>1</v>
      </c>
      <c r="I231" s="25">
        <f>ROUND(H231*1.0, 2)</f>
      </c>
      <c r="J231" s="25">
        <f>ROUND(H231*0.95, 2)</f>
      </c>
      <c r="K231" s="25">
        <f>ROUND(H231*0.95, 2)</f>
      </c>
      <c r="L231" s="25">
        <f>ROUND(H231*1.05, 2)</f>
      </c>
      <c r="M231" s="25">
        <f>ROUND(H231*1.25, 2)</f>
      </c>
      <c r="N231" s="25">
        <f>ROUND(H231*1.55, 2)</f>
      </c>
      <c r="O231" s="25">
        <f>ROUND(H231*1.65, 2)</f>
      </c>
      <c r="P231" s="25">
        <f>SUM(I231:O231)</f>
      </c>
      <c r="Q231" s="25">
        <f>ROUND(H231*1.5, 2)</f>
      </c>
      <c r="R231" s="25">
        <f>ROUND(H231*2.0, 2)</f>
      </c>
      <c r="S231" s="12">
        <f>IF(F231&lt;=R231, "TRIGGER INDENT", "STOCK HEALTHY")</f>
      </c>
      <c r="T231" s="25">
        <f>IF(F231&lt;=R231, ROUND(MAX(H231, (I231+Q231)-F231), 2), 0)</f>
      </c>
    </row>
    <row r="232" ht="20" customHeight="1" spans="1:20" x14ac:dyDescent="0.25">
      <c r="A232" s="14" t="s">
        <v>609</v>
      </c>
      <c r="B232" s="14" t="s">
        <v>610</v>
      </c>
      <c r="C232" s="14" t="s">
        <v>154</v>
      </c>
      <c r="D232" s="14" t="s">
        <v>179</v>
      </c>
      <c r="E232" s="26">
        <v>50</v>
      </c>
      <c r="F232" s="27">
        <v>1552</v>
      </c>
      <c r="G232" s="14" t="s">
        <v>85</v>
      </c>
      <c r="H232" s="27">
        <v>3</v>
      </c>
      <c r="I232" s="27">
        <f>ROUND(H232*1.0, 2)</f>
      </c>
      <c r="J232" s="27">
        <f>ROUND(H232*0.95, 2)</f>
      </c>
      <c r="K232" s="27">
        <f>ROUND(H232*0.95, 2)</f>
      </c>
      <c r="L232" s="27">
        <f>ROUND(H232*1.05, 2)</f>
      </c>
      <c r="M232" s="27">
        <f>ROUND(H232*1.25, 2)</f>
      </c>
      <c r="N232" s="27">
        <f>ROUND(H232*1.55, 2)</f>
      </c>
      <c r="O232" s="27">
        <f>ROUND(H232*1.65, 2)</f>
      </c>
      <c r="P232" s="27">
        <f>SUM(I232:O232)</f>
      </c>
      <c r="Q232" s="27">
        <f>ROUND(H232*1.5, 2)</f>
      </c>
      <c r="R232" s="27">
        <f>ROUND(H232*2.0, 2)</f>
      </c>
      <c r="S232" s="14">
        <f>IF(F232&lt;=R232, "TRIGGER INDENT", "STOCK HEALTHY")</f>
      </c>
      <c r="T232" s="27">
        <f>IF(F232&lt;=R232, ROUND(MAX(H232, (I232+Q232)-F232), 2), 0)</f>
      </c>
    </row>
    <row r="233" ht="20" customHeight="1" spans="1:20" x14ac:dyDescent="0.25">
      <c r="A233" s="12" t="s">
        <v>611</v>
      </c>
      <c r="B233" s="12" t="s">
        <v>612</v>
      </c>
      <c r="C233" s="12" t="s">
        <v>154</v>
      </c>
      <c r="D233" s="12" t="s">
        <v>139</v>
      </c>
      <c r="E233" s="24">
        <v>100</v>
      </c>
      <c r="F233" s="25">
        <v>9</v>
      </c>
      <c r="G233" s="12" t="s">
        <v>97</v>
      </c>
      <c r="H233" s="25">
        <v>21</v>
      </c>
      <c r="I233" s="25">
        <f>ROUND(H233*1.0, 2)</f>
      </c>
      <c r="J233" s="25">
        <f>ROUND(H233*0.95, 2)</f>
      </c>
      <c r="K233" s="25">
        <f>ROUND(H233*0.95, 2)</f>
      </c>
      <c r="L233" s="25">
        <f>ROUND(H233*1.05, 2)</f>
      </c>
      <c r="M233" s="25">
        <f>ROUND(H233*1.25, 2)</f>
      </c>
      <c r="N233" s="25">
        <f>ROUND(H233*1.55, 2)</f>
      </c>
      <c r="O233" s="25">
        <f>ROUND(H233*1.65, 2)</f>
      </c>
      <c r="P233" s="25">
        <f>SUM(I233:O233)</f>
      </c>
      <c r="Q233" s="25">
        <f>ROUND(H233*1.5, 2)</f>
      </c>
      <c r="R233" s="25">
        <f>ROUND(H233*2.0, 2)</f>
      </c>
      <c r="S233" s="12">
        <f>IF(F233&lt;=R233, "TRIGGER INDENT", "STOCK HEALTHY")</f>
      </c>
      <c r="T233" s="25">
        <f>IF(F233&lt;=R233, ROUND(MAX(H233, (I233+Q233)-F233), 2), 0)</f>
      </c>
    </row>
    <row r="234" ht="20" customHeight="1" spans="1:20" x14ac:dyDescent="0.25">
      <c r="A234" s="14" t="s">
        <v>613</v>
      </c>
      <c r="B234" s="14" t="s">
        <v>614</v>
      </c>
      <c r="C234" s="14" t="s">
        <v>126</v>
      </c>
      <c r="D234" s="14" t="s">
        <v>127</v>
      </c>
      <c r="E234" s="26">
        <v>53.099998474121094</v>
      </c>
      <c r="F234" s="27">
        <v>1456</v>
      </c>
      <c r="G234" s="14" t="s">
        <v>73</v>
      </c>
      <c r="H234" s="27">
        <v>72.8</v>
      </c>
      <c r="I234" s="27">
        <f>ROUND(H234*1.0, 2)</f>
      </c>
      <c r="J234" s="27">
        <f>ROUND(H234*0.95, 2)</f>
      </c>
      <c r="K234" s="27">
        <f>ROUND(H234*0.95, 2)</f>
      </c>
      <c r="L234" s="27">
        <f>ROUND(H234*1.05, 2)</f>
      </c>
      <c r="M234" s="27">
        <f>ROUND(H234*1.25, 2)</f>
      </c>
      <c r="N234" s="27">
        <f>ROUND(H234*1.55, 2)</f>
      </c>
      <c r="O234" s="27">
        <f>ROUND(H234*1.65, 2)</f>
      </c>
      <c r="P234" s="27">
        <f>SUM(I234:O234)</f>
      </c>
      <c r="Q234" s="27">
        <f>ROUND(H234*1.5, 2)</f>
      </c>
      <c r="R234" s="27">
        <f>ROUND(H234*2.0, 2)</f>
      </c>
      <c r="S234" s="14">
        <f>IF(F234&lt;=R234, "TRIGGER INDENT", "STOCK HEALTHY")</f>
      </c>
      <c r="T234" s="27">
        <f>IF(F234&lt;=R234, ROUND(MAX(H234, (I234+Q234)-F234), 2), 0)</f>
      </c>
    </row>
    <row r="235" ht="20" customHeight="1" spans="1:20" x14ac:dyDescent="0.25">
      <c r="A235" s="12" t="s">
        <v>615</v>
      </c>
      <c r="B235" s="12" t="s">
        <v>616</v>
      </c>
      <c r="C235" s="12" t="s">
        <v>126</v>
      </c>
      <c r="D235" s="12" t="s">
        <v>139</v>
      </c>
      <c r="E235" s="24">
        <v>45.95000076293945</v>
      </c>
      <c r="F235" s="25">
        <v>1072</v>
      </c>
      <c r="G235" s="12" t="s">
        <v>55</v>
      </c>
      <c r="H235" s="25">
        <v>53.6</v>
      </c>
      <c r="I235" s="25">
        <f>ROUND(H235*1.0, 2)</f>
      </c>
      <c r="J235" s="25">
        <f>ROUND(H235*0.95, 2)</f>
      </c>
      <c r="K235" s="25">
        <f>ROUND(H235*0.95, 2)</f>
      </c>
      <c r="L235" s="25">
        <f>ROUND(H235*1.05, 2)</f>
      </c>
      <c r="M235" s="25">
        <f>ROUND(H235*1.25, 2)</f>
      </c>
      <c r="N235" s="25">
        <f>ROUND(H235*1.55, 2)</f>
      </c>
      <c r="O235" s="25">
        <f>ROUND(H235*1.65, 2)</f>
      </c>
      <c r="P235" s="25">
        <f>SUM(I235:O235)</f>
      </c>
      <c r="Q235" s="25">
        <f>ROUND(H235*1.5, 2)</f>
      </c>
      <c r="R235" s="25">
        <f>ROUND(H235*2.0, 2)</f>
      </c>
      <c r="S235" s="12">
        <f>IF(F235&lt;=R235, "TRIGGER INDENT", "STOCK HEALTHY")</f>
      </c>
      <c r="T235" s="25">
        <f>IF(F235&lt;=R235, ROUND(MAX(H235, (I235+Q235)-F235), 2), 0)</f>
      </c>
    </row>
    <row r="236" ht="20" customHeight="1" spans="1:20" x14ac:dyDescent="0.25">
      <c r="A236" s="14" t="s">
        <v>617</v>
      </c>
      <c r="B236" s="14" t="s">
        <v>618</v>
      </c>
      <c r="C236" s="14" t="s">
        <v>126</v>
      </c>
      <c r="D236" s="14" t="s">
        <v>139</v>
      </c>
      <c r="E236" s="26">
        <v>74.2699966430664</v>
      </c>
      <c r="F236" s="27">
        <v>1392</v>
      </c>
      <c r="G236" s="14" t="s">
        <v>97</v>
      </c>
      <c r="H236" s="27">
        <v>69.6</v>
      </c>
      <c r="I236" s="27">
        <f>ROUND(H236*1.0, 2)</f>
      </c>
      <c r="J236" s="27">
        <f>ROUND(H236*0.95, 2)</f>
      </c>
      <c r="K236" s="27">
        <f>ROUND(H236*0.95, 2)</f>
      </c>
      <c r="L236" s="27">
        <f>ROUND(H236*1.05, 2)</f>
      </c>
      <c r="M236" s="27">
        <f>ROUND(H236*1.25, 2)</f>
      </c>
      <c r="N236" s="27">
        <f>ROUND(H236*1.55, 2)</f>
      </c>
      <c r="O236" s="27">
        <f>ROUND(H236*1.65, 2)</f>
      </c>
      <c r="P236" s="27">
        <f>SUM(I236:O236)</f>
      </c>
      <c r="Q236" s="27">
        <f>ROUND(H236*1.5, 2)</f>
      </c>
      <c r="R236" s="27">
        <f>ROUND(H236*2.0, 2)</f>
      </c>
      <c r="S236" s="14">
        <f>IF(F236&lt;=R236, "TRIGGER INDENT", "STOCK HEALTHY")</f>
      </c>
      <c r="T236" s="27">
        <f>IF(F236&lt;=R236, ROUND(MAX(H236, (I236+Q236)-F236), 2), 0)</f>
      </c>
    </row>
    <row r="237" ht="20" customHeight="1" spans="1:20" x14ac:dyDescent="0.25">
      <c r="A237" s="12" t="s">
        <v>619</v>
      </c>
      <c r="B237" s="12" t="s">
        <v>620</v>
      </c>
      <c r="C237" s="12" t="s">
        <v>126</v>
      </c>
      <c r="D237" s="12" t="s">
        <v>139</v>
      </c>
      <c r="E237" s="24">
        <v>66</v>
      </c>
      <c r="F237" s="25">
        <v>816</v>
      </c>
      <c r="G237" s="12" t="s">
        <v>55</v>
      </c>
      <c r="H237" s="25">
        <v>65.28</v>
      </c>
      <c r="I237" s="25">
        <f>ROUND(H237*1.0, 2)</f>
      </c>
      <c r="J237" s="25">
        <f>ROUND(H237*0.95, 2)</f>
      </c>
      <c r="K237" s="25">
        <f>ROUND(H237*0.95, 2)</f>
      </c>
      <c r="L237" s="25">
        <f>ROUND(H237*1.05, 2)</f>
      </c>
      <c r="M237" s="25">
        <f>ROUND(H237*1.25, 2)</f>
      </c>
      <c r="N237" s="25">
        <f>ROUND(H237*1.55, 2)</f>
      </c>
      <c r="O237" s="25">
        <f>ROUND(H237*1.65, 2)</f>
      </c>
      <c r="P237" s="25">
        <f>SUM(I237:O237)</f>
      </c>
      <c r="Q237" s="25">
        <f>ROUND(H237*1.5, 2)</f>
      </c>
      <c r="R237" s="25">
        <f>ROUND(H237*2.0, 2)</f>
      </c>
      <c r="S237" s="12">
        <f>IF(F237&lt;=R237, "TRIGGER INDENT", "STOCK HEALTHY")</f>
      </c>
      <c r="T237" s="25">
        <f>IF(F237&lt;=R237, ROUND(MAX(H237, (I237+Q237)-F237), 2), 0)</f>
      </c>
    </row>
    <row r="238" ht="20" customHeight="1" spans="1:20" x14ac:dyDescent="0.25">
      <c r="A238" s="14" t="s">
        <v>621</v>
      </c>
      <c r="B238" s="14" t="s">
        <v>622</v>
      </c>
      <c r="C238" s="14" t="s">
        <v>269</v>
      </c>
      <c r="D238" s="14" t="s">
        <v>139</v>
      </c>
      <c r="E238" s="26">
        <v>244.1999969482422</v>
      </c>
      <c r="F238" s="27">
        <v>32</v>
      </c>
      <c r="G238" s="14" t="s">
        <v>85</v>
      </c>
      <c r="H238" s="27">
        <v>6.4</v>
      </c>
      <c r="I238" s="27">
        <f>ROUND(H238*1.0, 2)</f>
      </c>
      <c r="J238" s="27">
        <f>ROUND(H238*0.95, 2)</f>
      </c>
      <c r="K238" s="27">
        <f>ROUND(H238*0.95, 2)</f>
      </c>
      <c r="L238" s="27">
        <f>ROUND(H238*1.05, 2)</f>
      </c>
      <c r="M238" s="27">
        <f>ROUND(H238*1.25, 2)</f>
      </c>
      <c r="N238" s="27">
        <f>ROUND(H238*1.55, 2)</f>
      </c>
      <c r="O238" s="27">
        <f>ROUND(H238*1.65, 2)</f>
      </c>
      <c r="P238" s="27">
        <f>SUM(I238:O238)</f>
      </c>
      <c r="Q238" s="27">
        <f>ROUND(H238*1.5, 2)</f>
      </c>
      <c r="R238" s="27">
        <f>ROUND(H238*2.0, 2)</f>
      </c>
      <c r="S238" s="14">
        <f>IF(F238&lt;=R238, "TRIGGER INDENT", "STOCK HEALTHY")</f>
      </c>
      <c r="T238" s="27">
        <f>IF(F238&lt;=R238, ROUND(MAX(H238, (I238+Q238)-F238), 2), 0)</f>
      </c>
    </row>
    <row r="239" ht="20" customHeight="1" spans="1:20" x14ac:dyDescent="0.25">
      <c r="A239" s="12" t="s">
        <v>623</v>
      </c>
      <c r="B239" s="12" t="s">
        <v>624</v>
      </c>
      <c r="C239" s="12" t="s">
        <v>154</v>
      </c>
      <c r="D239" s="12" t="s">
        <v>179</v>
      </c>
      <c r="E239" s="24">
        <v>90</v>
      </c>
      <c r="F239" s="25">
        <v>192</v>
      </c>
      <c r="G239" s="12" t="s">
        <v>61</v>
      </c>
      <c r="H239" s="25">
        <v>23.04</v>
      </c>
      <c r="I239" s="25">
        <f>ROUND(H239*1.0, 2)</f>
      </c>
      <c r="J239" s="25">
        <f>ROUND(H239*0.95, 2)</f>
      </c>
      <c r="K239" s="25">
        <f>ROUND(H239*0.95, 2)</f>
      </c>
      <c r="L239" s="25">
        <f>ROUND(H239*1.05, 2)</f>
      </c>
      <c r="M239" s="25">
        <f>ROUND(H239*1.25, 2)</f>
      </c>
      <c r="N239" s="25">
        <f>ROUND(H239*1.55, 2)</f>
      </c>
      <c r="O239" s="25">
        <f>ROUND(H239*1.65, 2)</f>
      </c>
      <c r="P239" s="25">
        <f>SUM(I239:O239)</f>
      </c>
      <c r="Q239" s="25">
        <f>ROUND(H239*1.5, 2)</f>
      </c>
      <c r="R239" s="25">
        <f>ROUND(H239*2.0, 2)</f>
      </c>
      <c r="S239" s="12">
        <f>IF(F239&lt;=R239, "TRIGGER INDENT", "STOCK HEALTHY")</f>
      </c>
      <c r="T239" s="25">
        <f>IF(F239&lt;=R239, ROUND(MAX(H239, (I239+Q239)-F239), 2), 0)</f>
      </c>
    </row>
    <row r="240" ht="20" customHeight="1" spans="1:20" x14ac:dyDescent="0.25">
      <c r="A240" s="14" t="s">
        <v>625</v>
      </c>
      <c r="B240" s="14" t="s">
        <v>626</v>
      </c>
      <c r="C240" s="14" t="s">
        <v>138</v>
      </c>
      <c r="D240" s="14" t="s">
        <v>139</v>
      </c>
      <c r="E240" s="26">
        <v>620</v>
      </c>
      <c r="F240" s="27">
        <v>16</v>
      </c>
      <c r="G240" s="14" t="s">
        <v>85</v>
      </c>
      <c r="H240" s="27">
        <v>20</v>
      </c>
      <c r="I240" s="27">
        <f>ROUND(H240*1.0, 2)</f>
      </c>
      <c r="J240" s="27">
        <f>ROUND(H240*0.95, 2)</f>
      </c>
      <c r="K240" s="27">
        <f>ROUND(H240*0.95, 2)</f>
      </c>
      <c r="L240" s="27">
        <f>ROUND(H240*1.05, 2)</f>
      </c>
      <c r="M240" s="27">
        <f>ROUND(H240*1.25, 2)</f>
      </c>
      <c r="N240" s="27">
        <f>ROUND(H240*1.55, 2)</f>
      </c>
      <c r="O240" s="27">
        <f>ROUND(H240*1.65, 2)</f>
      </c>
      <c r="P240" s="27">
        <f>SUM(I240:O240)</f>
      </c>
      <c r="Q240" s="27">
        <f>ROUND(H240*1.5, 2)</f>
      </c>
      <c r="R240" s="27">
        <f>ROUND(H240*2.0, 2)</f>
      </c>
      <c r="S240" s="14">
        <f>IF(F240&lt;=R240, "TRIGGER INDENT", "STOCK HEALTHY")</f>
      </c>
      <c r="T240" s="27">
        <f>IF(F240&lt;=R240, ROUND(MAX(H240, (I240+Q240)-F240), 2), 0)</f>
      </c>
    </row>
    <row r="241" ht="20" customHeight="1" spans="1:20" x14ac:dyDescent="0.25">
      <c r="A241" s="12" t="s">
        <v>627</v>
      </c>
      <c r="B241" s="12" t="s">
        <v>628</v>
      </c>
      <c r="C241" s="12" t="s">
        <v>221</v>
      </c>
      <c r="D241" s="12" t="s">
        <v>179</v>
      </c>
      <c r="E241" s="24">
        <v>49.279998779296875</v>
      </c>
      <c r="F241" s="25">
        <v>96</v>
      </c>
      <c r="G241" s="12" t="s">
        <v>45</v>
      </c>
      <c r="H241" s="25">
        <v>11.52</v>
      </c>
      <c r="I241" s="25">
        <f>ROUND(H241*1.0, 2)</f>
      </c>
      <c r="J241" s="25">
        <f>ROUND(H241*0.95, 2)</f>
      </c>
      <c r="K241" s="25">
        <f>ROUND(H241*0.95, 2)</f>
      </c>
      <c r="L241" s="25">
        <f>ROUND(H241*1.05, 2)</f>
      </c>
      <c r="M241" s="25">
        <f>ROUND(H241*1.25, 2)</f>
      </c>
      <c r="N241" s="25">
        <f>ROUND(H241*1.55, 2)</f>
      </c>
      <c r="O241" s="25">
        <f>ROUND(H241*1.65, 2)</f>
      </c>
      <c r="P241" s="25">
        <f>SUM(I241:O241)</f>
      </c>
      <c r="Q241" s="25">
        <f>ROUND(H241*1.5, 2)</f>
      </c>
      <c r="R241" s="25">
        <f>ROUND(H241*2.0, 2)</f>
      </c>
      <c r="S241" s="12">
        <f>IF(F241&lt;=R241, "TRIGGER INDENT", "STOCK HEALTHY")</f>
      </c>
      <c r="T241" s="25">
        <f>IF(F241&lt;=R241, ROUND(MAX(H241, (I241+Q241)-F241), 2), 0)</f>
      </c>
    </row>
    <row r="242" ht="20" customHeight="1" spans="1:20" x14ac:dyDescent="0.25">
      <c r="A242" s="14" t="s">
        <v>629</v>
      </c>
      <c r="B242" s="14" t="s">
        <v>630</v>
      </c>
      <c r="C242" s="14" t="s">
        <v>138</v>
      </c>
      <c r="D242" s="14" t="s">
        <v>139</v>
      </c>
      <c r="E242" s="26">
        <v>660</v>
      </c>
      <c r="F242" s="27">
        <v>48</v>
      </c>
      <c r="G242" s="14" t="s">
        <v>45</v>
      </c>
      <c r="H242" s="27">
        <v>9.6</v>
      </c>
      <c r="I242" s="27">
        <f>ROUND(H242*1.0, 2)</f>
      </c>
      <c r="J242" s="27">
        <f>ROUND(H242*0.95, 2)</f>
      </c>
      <c r="K242" s="27">
        <f>ROUND(H242*0.95, 2)</f>
      </c>
      <c r="L242" s="27">
        <f>ROUND(H242*1.05, 2)</f>
      </c>
      <c r="M242" s="27">
        <f>ROUND(H242*1.25, 2)</f>
      </c>
      <c r="N242" s="27">
        <f>ROUND(H242*1.55, 2)</f>
      </c>
      <c r="O242" s="27">
        <f>ROUND(H242*1.65, 2)</f>
      </c>
      <c r="P242" s="27">
        <f>SUM(I242:O242)</f>
      </c>
      <c r="Q242" s="27">
        <f>ROUND(H242*1.5, 2)</f>
      </c>
      <c r="R242" s="27">
        <f>ROUND(H242*2.0, 2)</f>
      </c>
      <c r="S242" s="14">
        <f>IF(F242&lt;=R242, "TRIGGER INDENT", "STOCK HEALTHY")</f>
      </c>
      <c r="T242" s="27">
        <f>IF(F242&lt;=R242, ROUND(MAX(H242, (I242+Q242)-F242), 2), 0)</f>
      </c>
    </row>
    <row r="243" ht="20" customHeight="1" spans="1:20" x14ac:dyDescent="0.25">
      <c r="A243" s="12" t="s">
        <v>631</v>
      </c>
      <c r="B243" s="12" t="s">
        <v>632</v>
      </c>
      <c r="C243" s="12" t="s">
        <v>138</v>
      </c>
      <c r="D243" s="12" t="s">
        <v>139</v>
      </c>
      <c r="E243" s="24">
        <v>358.82000732421875</v>
      </c>
      <c r="F243" s="25">
        <v>152</v>
      </c>
      <c r="G243" s="12" t="s">
        <v>61</v>
      </c>
      <c r="H243" s="25">
        <v>18.24</v>
      </c>
      <c r="I243" s="25">
        <f>ROUND(H243*1.0, 2)</f>
      </c>
      <c r="J243" s="25">
        <f>ROUND(H243*0.95, 2)</f>
      </c>
      <c r="K243" s="25">
        <f>ROUND(H243*0.95, 2)</f>
      </c>
      <c r="L243" s="25">
        <f>ROUND(H243*1.05, 2)</f>
      </c>
      <c r="M243" s="25">
        <f>ROUND(H243*1.25, 2)</f>
      </c>
      <c r="N243" s="25">
        <f>ROUND(H243*1.55, 2)</f>
      </c>
      <c r="O243" s="25">
        <f>ROUND(H243*1.65, 2)</f>
      </c>
      <c r="P243" s="25">
        <f>SUM(I243:O243)</f>
      </c>
      <c r="Q243" s="25">
        <f>ROUND(H243*1.5, 2)</f>
      </c>
      <c r="R243" s="25">
        <f>ROUND(H243*2.0, 2)</f>
      </c>
      <c r="S243" s="12">
        <f>IF(F243&lt;=R243, "TRIGGER INDENT", "STOCK HEALTHY")</f>
      </c>
      <c r="T243" s="25">
        <f>IF(F243&lt;=R243, ROUND(MAX(H243, (I243+Q243)-F243), 2), 0)</f>
      </c>
    </row>
    <row r="244" ht="20" customHeight="1" spans="1:20" x14ac:dyDescent="0.25">
      <c r="A244" s="14" t="s">
        <v>633</v>
      </c>
      <c r="B244" s="14" t="s">
        <v>634</v>
      </c>
      <c r="C244" s="14" t="s">
        <v>192</v>
      </c>
      <c r="D244" s="14" t="s">
        <v>139</v>
      </c>
      <c r="E244" s="26">
        <v>99.33000183105469</v>
      </c>
      <c r="F244" s="27">
        <v>1035.2001</v>
      </c>
      <c r="G244" s="14" t="s">
        <v>97</v>
      </c>
      <c r="H244" s="27">
        <v>51.76</v>
      </c>
      <c r="I244" s="27">
        <f>ROUND(H244*1.0, 2)</f>
      </c>
      <c r="J244" s="27">
        <f>ROUND(H244*0.95, 2)</f>
      </c>
      <c r="K244" s="27">
        <f>ROUND(H244*0.95, 2)</f>
      </c>
      <c r="L244" s="27">
        <f>ROUND(H244*1.05, 2)</f>
      </c>
      <c r="M244" s="27">
        <f>ROUND(H244*1.25, 2)</f>
      </c>
      <c r="N244" s="27">
        <f>ROUND(H244*1.55, 2)</f>
      </c>
      <c r="O244" s="27">
        <f>ROUND(H244*1.65, 2)</f>
      </c>
      <c r="P244" s="27">
        <f>SUM(I244:O244)</f>
      </c>
      <c r="Q244" s="27">
        <f>ROUND(H244*1.5, 2)</f>
      </c>
      <c r="R244" s="27">
        <f>ROUND(H244*2.0, 2)</f>
      </c>
      <c r="S244" s="14">
        <f>IF(F244&lt;=R244, "TRIGGER INDENT", "STOCK HEALTHY")</f>
      </c>
      <c r="T244" s="27">
        <f>IF(F244&lt;=R244, ROUND(MAX(H244, (I244+Q244)-F244), 2), 0)</f>
      </c>
    </row>
    <row r="245" ht="20" customHeight="1" spans="1:20" x14ac:dyDescent="0.25">
      <c r="A245" s="12" t="s">
        <v>635</v>
      </c>
      <c r="B245" s="12" t="s">
        <v>636</v>
      </c>
      <c r="C245" s="12" t="s">
        <v>160</v>
      </c>
      <c r="D245" s="12" t="s">
        <v>139</v>
      </c>
      <c r="E245" s="24">
        <v>1050</v>
      </c>
      <c r="F245" s="25">
        <v>1.5100002</v>
      </c>
      <c r="G245" s="12" t="s">
        <v>85</v>
      </c>
      <c r="H245" s="25">
        <v>1</v>
      </c>
      <c r="I245" s="25">
        <f>ROUND(H245*1.0, 2)</f>
      </c>
      <c r="J245" s="25">
        <f>ROUND(H245*0.95, 2)</f>
      </c>
      <c r="K245" s="25">
        <f>ROUND(H245*0.95, 2)</f>
      </c>
      <c r="L245" s="25">
        <f>ROUND(H245*1.05, 2)</f>
      </c>
      <c r="M245" s="25">
        <f>ROUND(H245*1.25, 2)</f>
      </c>
      <c r="N245" s="25">
        <f>ROUND(H245*1.55, 2)</f>
      </c>
      <c r="O245" s="25">
        <f>ROUND(H245*1.65, 2)</f>
      </c>
      <c r="P245" s="25">
        <f>SUM(I245:O245)</f>
      </c>
      <c r="Q245" s="25">
        <f>ROUND(H245*1.5, 2)</f>
      </c>
      <c r="R245" s="25">
        <f>ROUND(H245*2.0, 2)</f>
      </c>
      <c r="S245" s="12">
        <f>IF(F245&lt;=R245, "TRIGGER INDENT", "STOCK HEALTHY")</f>
      </c>
      <c r="T245" s="25">
        <f>IF(F245&lt;=R245, ROUND(MAX(H245, (I245+Q245)-F245), 2), 0)</f>
      </c>
    </row>
    <row r="246" ht="20" customHeight="1" spans="1:20" x14ac:dyDescent="0.25">
      <c r="A246" s="14" t="s">
        <v>637</v>
      </c>
      <c r="B246" s="14" t="s">
        <v>638</v>
      </c>
      <c r="C246" s="14" t="s">
        <v>168</v>
      </c>
      <c r="D246" s="14" t="s">
        <v>127</v>
      </c>
      <c r="E246" s="26">
        <v>42.0099983215332</v>
      </c>
      <c r="F246" s="27">
        <v>640</v>
      </c>
      <c r="G246" s="14" t="s">
        <v>79</v>
      </c>
      <c r="H246" s="27">
        <v>51.2</v>
      </c>
      <c r="I246" s="27">
        <f>ROUND(H246*1.0, 2)</f>
      </c>
      <c r="J246" s="27">
        <f>ROUND(H246*0.95, 2)</f>
      </c>
      <c r="K246" s="27">
        <f>ROUND(H246*0.95, 2)</f>
      </c>
      <c r="L246" s="27">
        <f>ROUND(H246*1.05, 2)</f>
      </c>
      <c r="M246" s="27">
        <f>ROUND(H246*1.25, 2)</f>
      </c>
      <c r="N246" s="27">
        <f>ROUND(H246*1.55, 2)</f>
      </c>
      <c r="O246" s="27">
        <f>ROUND(H246*1.65, 2)</f>
      </c>
      <c r="P246" s="27">
        <f>SUM(I246:O246)</f>
      </c>
      <c r="Q246" s="27">
        <f>ROUND(H246*1.5, 2)</f>
      </c>
      <c r="R246" s="27">
        <f>ROUND(H246*2.0, 2)</f>
      </c>
      <c r="S246" s="14">
        <f>IF(F246&lt;=R246, "TRIGGER INDENT", "STOCK HEALTHY")</f>
      </c>
      <c r="T246" s="27">
        <f>IF(F246&lt;=R246, ROUND(MAX(H246, (I246+Q246)-F246), 2), 0)</f>
      </c>
    </row>
    <row r="247" ht="20" customHeight="1" spans="1:20" x14ac:dyDescent="0.25">
      <c r="A247" s="12" t="s">
        <v>639</v>
      </c>
      <c r="B247" s="12" t="s">
        <v>640</v>
      </c>
      <c r="C247" s="12" t="s">
        <v>144</v>
      </c>
      <c r="D247" s="12" t="s">
        <v>127</v>
      </c>
      <c r="E247" s="24">
        <v>93.61000061035156</v>
      </c>
      <c r="F247" s="25">
        <v>1.5100002</v>
      </c>
      <c r="G247" s="12" t="s">
        <v>79</v>
      </c>
      <c r="H247" s="25">
        <v>1</v>
      </c>
      <c r="I247" s="25">
        <f>ROUND(H247*1.0, 2)</f>
      </c>
      <c r="J247" s="25">
        <f>ROUND(H247*0.95, 2)</f>
      </c>
      <c r="K247" s="25">
        <f>ROUND(H247*0.95, 2)</f>
      </c>
      <c r="L247" s="25">
        <f>ROUND(H247*1.05, 2)</f>
      </c>
      <c r="M247" s="25">
        <f>ROUND(H247*1.25, 2)</f>
      </c>
      <c r="N247" s="25">
        <f>ROUND(H247*1.55, 2)</f>
      </c>
      <c r="O247" s="25">
        <f>ROUND(H247*1.65, 2)</f>
      </c>
      <c r="P247" s="25">
        <f>SUM(I247:O247)</f>
      </c>
      <c r="Q247" s="25">
        <f>ROUND(H247*1.5, 2)</f>
      </c>
      <c r="R247" s="25">
        <f>ROUND(H247*2.0, 2)</f>
      </c>
      <c r="S247" s="12">
        <f>IF(F247&lt;=R247, "TRIGGER INDENT", "STOCK HEALTHY")</f>
      </c>
      <c r="T247" s="25">
        <f>IF(F247&lt;=R247, ROUND(MAX(H247, (I247+Q247)-F247), 2), 0)</f>
      </c>
    </row>
    <row r="248" ht="20" customHeight="1" spans="1:20" x14ac:dyDescent="0.25">
      <c r="A248" s="14" t="s">
        <v>641</v>
      </c>
      <c r="B248" s="14" t="s">
        <v>642</v>
      </c>
      <c r="C248" s="14" t="s">
        <v>134</v>
      </c>
      <c r="D248" s="14" t="s">
        <v>135</v>
      </c>
      <c r="E248" s="26">
        <v>248.3300018310547</v>
      </c>
      <c r="F248" s="27">
        <v>16</v>
      </c>
      <c r="G248" s="14" t="s">
        <v>61</v>
      </c>
      <c r="H248" s="27">
        <v>3.2</v>
      </c>
      <c r="I248" s="27">
        <f>ROUND(H248*1.0, 2)</f>
      </c>
      <c r="J248" s="27">
        <f>ROUND(H248*0.95, 2)</f>
      </c>
      <c r="K248" s="27">
        <f>ROUND(H248*0.95, 2)</f>
      </c>
      <c r="L248" s="27">
        <f>ROUND(H248*1.05, 2)</f>
      </c>
      <c r="M248" s="27">
        <f>ROUND(H248*1.25, 2)</f>
      </c>
      <c r="N248" s="27">
        <f>ROUND(H248*1.55, 2)</f>
      </c>
      <c r="O248" s="27">
        <f>ROUND(H248*1.65, 2)</f>
      </c>
      <c r="P248" s="27">
        <f>SUM(I248:O248)</f>
      </c>
      <c r="Q248" s="27">
        <f>ROUND(H248*1.5, 2)</f>
      </c>
      <c r="R248" s="27">
        <f>ROUND(H248*2.0, 2)</f>
      </c>
      <c r="S248" s="14">
        <f>IF(F248&lt;=R248, "TRIGGER INDENT", "STOCK HEALTHY")</f>
      </c>
      <c r="T248" s="27">
        <f>IF(F248&lt;=R248, ROUND(MAX(H248, (I248+Q248)-F248), 2), 0)</f>
      </c>
    </row>
    <row r="249" ht="20" customHeight="1" spans="1:20" x14ac:dyDescent="0.25">
      <c r="A249" s="12" t="s">
        <v>643</v>
      </c>
      <c r="B249" s="12" t="s">
        <v>644</v>
      </c>
      <c r="C249" s="12" t="s">
        <v>160</v>
      </c>
      <c r="D249" s="12" t="s">
        <v>139</v>
      </c>
      <c r="E249" s="24">
        <v>2295</v>
      </c>
      <c r="F249" s="25">
        <v>8</v>
      </c>
      <c r="G249" s="12" t="s">
        <v>73</v>
      </c>
      <c r="H249" s="25">
        <v>1.6</v>
      </c>
      <c r="I249" s="25">
        <f>ROUND(H249*1.0, 2)</f>
      </c>
      <c r="J249" s="25">
        <f>ROUND(H249*0.95, 2)</f>
      </c>
      <c r="K249" s="25">
        <f>ROUND(H249*0.95, 2)</f>
      </c>
      <c r="L249" s="25">
        <f>ROUND(H249*1.05, 2)</f>
      </c>
      <c r="M249" s="25">
        <f>ROUND(H249*1.25, 2)</f>
      </c>
      <c r="N249" s="25">
        <f>ROUND(H249*1.55, 2)</f>
      </c>
      <c r="O249" s="25">
        <f>ROUND(H249*1.65, 2)</f>
      </c>
      <c r="P249" s="25">
        <f>SUM(I249:O249)</f>
      </c>
      <c r="Q249" s="25">
        <f>ROUND(H249*1.5, 2)</f>
      </c>
      <c r="R249" s="25">
        <f>ROUND(H249*2.0, 2)</f>
      </c>
      <c r="S249" s="12">
        <f>IF(F249&lt;=R249, "TRIGGER INDENT", "STOCK HEALTHY")</f>
      </c>
      <c r="T249" s="25">
        <f>IF(F249&lt;=R249, ROUND(MAX(H249, (I249+Q249)-F249), 2), 0)</f>
      </c>
    </row>
    <row r="250" ht="20" customHeight="1" spans="1:20" x14ac:dyDescent="0.25">
      <c r="A250" s="14" t="s">
        <v>645</v>
      </c>
      <c r="B250" s="14" t="s">
        <v>646</v>
      </c>
      <c r="C250" s="14" t="s">
        <v>154</v>
      </c>
      <c r="D250" s="14" t="s">
        <v>246</v>
      </c>
      <c r="E250" s="26">
        <v>360.3999938964844</v>
      </c>
      <c r="F250" s="27">
        <v>1.5100002</v>
      </c>
      <c r="G250" s="14" t="s">
        <v>85</v>
      </c>
      <c r="H250" s="27">
        <v>1</v>
      </c>
      <c r="I250" s="27">
        <f>ROUND(H250*1.0, 2)</f>
      </c>
      <c r="J250" s="27">
        <f>ROUND(H250*0.95, 2)</f>
      </c>
      <c r="K250" s="27">
        <f>ROUND(H250*0.95, 2)</f>
      </c>
      <c r="L250" s="27">
        <f>ROUND(H250*1.05, 2)</f>
      </c>
      <c r="M250" s="27">
        <f>ROUND(H250*1.25, 2)</f>
      </c>
      <c r="N250" s="27">
        <f>ROUND(H250*1.55, 2)</f>
      </c>
      <c r="O250" s="27">
        <f>ROUND(H250*1.65, 2)</f>
      </c>
      <c r="P250" s="27">
        <f>SUM(I250:O250)</f>
      </c>
      <c r="Q250" s="27">
        <f>ROUND(H250*1.5, 2)</f>
      </c>
      <c r="R250" s="27">
        <f>ROUND(H250*2.0, 2)</f>
      </c>
      <c r="S250" s="14">
        <f>IF(F250&lt;=R250, "TRIGGER INDENT", "STOCK HEALTHY")</f>
      </c>
      <c r="T250" s="27">
        <f>IF(F250&lt;=R250, ROUND(MAX(H250, (I250+Q250)-F250), 2), 0)</f>
      </c>
    </row>
    <row r="251" ht="20" customHeight="1" spans="1:20" x14ac:dyDescent="0.25">
      <c r="A251" s="12" t="s">
        <v>647</v>
      </c>
      <c r="B251" s="12" t="s">
        <v>648</v>
      </c>
      <c r="C251" s="12" t="s">
        <v>154</v>
      </c>
      <c r="D251" s="12" t="s">
        <v>179</v>
      </c>
      <c r="E251" s="24">
        <v>255.86000061035156</v>
      </c>
      <c r="F251" s="25">
        <v>48</v>
      </c>
      <c r="G251" s="12" t="s">
        <v>85</v>
      </c>
      <c r="H251" s="25">
        <v>9.6</v>
      </c>
      <c r="I251" s="25">
        <f>ROUND(H251*1.0, 2)</f>
      </c>
      <c r="J251" s="25">
        <f>ROUND(H251*0.95, 2)</f>
      </c>
      <c r="K251" s="25">
        <f>ROUND(H251*0.95, 2)</f>
      </c>
      <c r="L251" s="25">
        <f>ROUND(H251*1.05, 2)</f>
      </c>
      <c r="M251" s="25">
        <f>ROUND(H251*1.25, 2)</f>
      </c>
      <c r="N251" s="25">
        <f>ROUND(H251*1.55, 2)</f>
      </c>
      <c r="O251" s="25">
        <f>ROUND(H251*1.65, 2)</f>
      </c>
      <c r="P251" s="25">
        <f>SUM(I251:O251)</f>
      </c>
      <c r="Q251" s="25">
        <f>ROUND(H251*1.5, 2)</f>
      </c>
      <c r="R251" s="25">
        <f>ROUND(H251*2.0, 2)</f>
      </c>
      <c r="S251" s="12">
        <f>IF(F251&lt;=R251, "TRIGGER INDENT", "STOCK HEALTHY")</f>
      </c>
      <c r="T251" s="25">
        <f>IF(F251&lt;=R251, ROUND(MAX(H251, (I251+Q251)-F251), 2), 0)</f>
      </c>
    </row>
    <row r="252" ht="20" customHeight="1" spans="1:20" x14ac:dyDescent="0.25">
      <c r="A252" s="14" t="s">
        <v>649</v>
      </c>
      <c r="B252" s="14" t="s">
        <v>650</v>
      </c>
      <c r="C252" s="14" t="s">
        <v>126</v>
      </c>
      <c r="D252" s="14" t="s">
        <v>127</v>
      </c>
      <c r="E252" s="26">
        <v>8.5</v>
      </c>
      <c r="F252" s="27">
        <v>1280</v>
      </c>
      <c r="G252" s="14" t="s">
        <v>45</v>
      </c>
      <c r="H252" s="27">
        <v>64</v>
      </c>
      <c r="I252" s="27">
        <f>ROUND(H252*1.0, 2)</f>
      </c>
      <c r="J252" s="27">
        <f>ROUND(H252*0.95, 2)</f>
      </c>
      <c r="K252" s="27">
        <f>ROUND(H252*0.95, 2)</f>
      </c>
      <c r="L252" s="27">
        <f>ROUND(H252*1.05, 2)</f>
      </c>
      <c r="M252" s="27">
        <f>ROUND(H252*1.25, 2)</f>
      </c>
      <c r="N252" s="27">
        <f>ROUND(H252*1.55, 2)</f>
      </c>
      <c r="O252" s="27">
        <f>ROUND(H252*1.65, 2)</f>
      </c>
      <c r="P252" s="27">
        <f>SUM(I252:O252)</f>
      </c>
      <c r="Q252" s="27">
        <f>ROUND(H252*1.5, 2)</f>
      </c>
      <c r="R252" s="27">
        <f>ROUND(H252*2.0, 2)</f>
      </c>
      <c r="S252" s="14">
        <f>IF(F252&lt;=R252, "TRIGGER INDENT", "STOCK HEALTHY")</f>
      </c>
      <c r="T252" s="27">
        <f>IF(F252&lt;=R252, ROUND(MAX(H252, (I252+Q252)-F252), 2), 0)</f>
      </c>
    </row>
    <row r="253" ht="20" customHeight="1" spans="1:20" x14ac:dyDescent="0.25">
      <c r="A253" s="12" t="s">
        <v>651</v>
      </c>
      <c r="B253" s="12" t="s">
        <v>652</v>
      </c>
      <c r="C253" s="12" t="s">
        <v>126</v>
      </c>
      <c r="D253" s="12" t="s">
        <v>127</v>
      </c>
      <c r="E253" s="24">
        <v>350</v>
      </c>
      <c r="F253" s="25">
        <v>656</v>
      </c>
      <c r="G253" s="12" t="s">
        <v>45</v>
      </c>
      <c r="H253" s="25">
        <v>52.48</v>
      </c>
      <c r="I253" s="25">
        <f>ROUND(H253*1.0, 2)</f>
      </c>
      <c r="J253" s="25">
        <f>ROUND(H253*0.95, 2)</f>
      </c>
      <c r="K253" s="25">
        <f>ROUND(H253*0.95, 2)</f>
      </c>
      <c r="L253" s="25">
        <f>ROUND(H253*1.05, 2)</f>
      </c>
      <c r="M253" s="25">
        <f>ROUND(H253*1.25, 2)</f>
      </c>
      <c r="N253" s="25">
        <f>ROUND(H253*1.55, 2)</f>
      </c>
      <c r="O253" s="25">
        <f>ROUND(H253*1.65, 2)</f>
      </c>
      <c r="P253" s="25">
        <f>SUM(I253:O253)</f>
      </c>
      <c r="Q253" s="25">
        <f>ROUND(H253*1.5, 2)</f>
      </c>
      <c r="R253" s="25">
        <f>ROUND(H253*2.0, 2)</f>
      </c>
      <c r="S253" s="12">
        <f>IF(F253&lt;=R253, "TRIGGER INDENT", "STOCK HEALTHY")</f>
      </c>
      <c r="T253" s="25">
        <f>IF(F253&lt;=R253, ROUND(MAX(H253, (I253+Q253)-F253), 2), 0)</f>
      </c>
    </row>
    <row r="254" ht="20" customHeight="1" spans="1:20" x14ac:dyDescent="0.25">
      <c r="A254" s="14" t="s">
        <v>653</v>
      </c>
      <c r="B254" s="14" t="s">
        <v>654</v>
      </c>
      <c r="C254" s="14" t="s">
        <v>416</v>
      </c>
      <c r="D254" s="14" t="s">
        <v>179</v>
      </c>
      <c r="E254" s="26">
        <v>190</v>
      </c>
      <c r="F254" s="27">
        <v>256</v>
      </c>
      <c r="G254" s="14" t="s">
        <v>61</v>
      </c>
      <c r="H254" s="27">
        <v>20.48</v>
      </c>
      <c r="I254" s="27">
        <f>ROUND(H254*1.0, 2)</f>
      </c>
      <c r="J254" s="27">
        <f>ROUND(H254*0.95, 2)</f>
      </c>
      <c r="K254" s="27">
        <f>ROUND(H254*0.95, 2)</f>
      </c>
      <c r="L254" s="27">
        <f>ROUND(H254*1.05, 2)</f>
      </c>
      <c r="M254" s="27">
        <f>ROUND(H254*1.25, 2)</f>
      </c>
      <c r="N254" s="27">
        <f>ROUND(H254*1.55, 2)</f>
      </c>
      <c r="O254" s="27">
        <f>ROUND(H254*1.65, 2)</f>
      </c>
      <c r="P254" s="27">
        <f>SUM(I254:O254)</f>
      </c>
      <c r="Q254" s="27">
        <f>ROUND(H254*1.5, 2)</f>
      </c>
      <c r="R254" s="27">
        <f>ROUND(H254*2.0, 2)</f>
      </c>
      <c r="S254" s="14">
        <f>IF(F254&lt;=R254, "TRIGGER INDENT", "STOCK HEALTHY")</f>
      </c>
      <c r="T254" s="27">
        <f>IF(F254&lt;=R254, ROUND(MAX(H254, (I254+Q254)-F254), 2), 0)</f>
      </c>
    </row>
    <row r="255" ht="20" customHeight="1" spans="1:20" x14ac:dyDescent="0.25">
      <c r="A255" s="12" t="s">
        <v>655</v>
      </c>
      <c r="B255" s="12" t="s">
        <v>656</v>
      </c>
      <c r="C255" s="12" t="s">
        <v>395</v>
      </c>
      <c r="D255" s="12" t="s">
        <v>139</v>
      </c>
      <c r="E255" s="24">
        <v>14.489999771118164</v>
      </c>
      <c r="F255" s="25">
        <v>1488</v>
      </c>
      <c r="G255" s="12" t="s">
        <v>97</v>
      </c>
      <c r="H255" s="25">
        <v>20</v>
      </c>
      <c r="I255" s="25">
        <f>ROUND(H255*1.0, 2)</f>
      </c>
      <c r="J255" s="25">
        <f>ROUND(H255*0.95, 2)</f>
      </c>
      <c r="K255" s="25">
        <f>ROUND(H255*0.95, 2)</f>
      </c>
      <c r="L255" s="25">
        <f>ROUND(H255*1.05, 2)</f>
      </c>
      <c r="M255" s="25">
        <f>ROUND(H255*1.25, 2)</f>
      </c>
      <c r="N255" s="25">
        <f>ROUND(H255*1.55, 2)</f>
      </c>
      <c r="O255" s="25">
        <f>ROUND(H255*1.65, 2)</f>
      </c>
      <c r="P255" s="25">
        <f>SUM(I255:O255)</f>
      </c>
      <c r="Q255" s="25">
        <f>ROUND(H255*1.5, 2)</f>
      </c>
      <c r="R255" s="25">
        <f>ROUND(H255*2.0, 2)</f>
      </c>
      <c r="S255" s="12">
        <f>IF(F255&lt;=R255, "TRIGGER INDENT", "STOCK HEALTHY")</f>
      </c>
      <c r="T255" s="25">
        <f>IF(F255&lt;=R255, ROUND(MAX(H255, (I255+Q255)-F255), 2), 0)</f>
      </c>
    </row>
    <row r="256" ht="20" customHeight="1" spans="1:20" x14ac:dyDescent="0.25">
      <c r="A256" s="14" t="s">
        <v>657</v>
      </c>
      <c r="B256" s="14" t="s">
        <v>658</v>
      </c>
      <c r="C256" s="14" t="s">
        <v>269</v>
      </c>
      <c r="D256" s="14" t="s">
        <v>139</v>
      </c>
      <c r="E256" s="26">
        <v>417.989990234375</v>
      </c>
      <c r="F256" s="27">
        <v>96</v>
      </c>
      <c r="G256" s="14" t="s">
        <v>67</v>
      </c>
      <c r="H256" s="27">
        <v>11.52</v>
      </c>
      <c r="I256" s="27">
        <f>ROUND(H256*1.0, 2)</f>
      </c>
      <c r="J256" s="27">
        <f>ROUND(H256*0.95, 2)</f>
      </c>
      <c r="K256" s="27">
        <f>ROUND(H256*0.95, 2)</f>
      </c>
      <c r="L256" s="27">
        <f>ROUND(H256*1.05, 2)</f>
      </c>
      <c r="M256" s="27">
        <f>ROUND(H256*1.25, 2)</f>
      </c>
      <c r="N256" s="27">
        <f>ROUND(H256*1.55, 2)</f>
      </c>
      <c r="O256" s="27">
        <f>ROUND(H256*1.65, 2)</f>
      </c>
      <c r="P256" s="27">
        <f>SUM(I256:O256)</f>
      </c>
      <c r="Q256" s="27">
        <f>ROUND(H256*1.5, 2)</f>
      </c>
      <c r="R256" s="27">
        <f>ROUND(H256*2.0, 2)</f>
      </c>
      <c r="S256" s="14">
        <f>IF(F256&lt;=R256, "TRIGGER INDENT", "STOCK HEALTHY")</f>
      </c>
      <c r="T256" s="27">
        <f>IF(F256&lt;=R256, ROUND(MAX(H256, (I256+Q256)-F256), 2), 0)</f>
      </c>
    </row>
    <row r="257" ht="20" customHeight="1" spans="1:20" x14ac:dyDescent="0.25">
      <c r="A257" s="12" t="s">
        <v>659</v>
      </c>
      <c r="B257" s="12" t="s">
        <v>660</v>
      </c>
      <c r="C257" s="12" t="s">
        <v>221</v>
      </c>
      <c r="D257" s="12" t="s">
        <v>127</v>
      </c>
      <c r="E257" s="24">
        <v>25</v>
      </c>
      <c r="F257" s="25">
        <v>240</v>
      </c>
      <c r="G257" s="12" t="s">
        <v>61</v>
      </c>
      <c r="H257" s="25">
        <v>19.2</v>
      </c>
      <c r="I257" s="25">
        <f>ROUND(H257*1.0, 2)</f>
      </c>
      <c r="J257" s="25">
        <f>ROUND(H257*0.95, 2)</f>
      </c>
      <c r="K257" s="25">
        <f>ROUND(H257*0.95, 2)</f>
      </c>
      <c r="L257" s="25">
        <f>ROUND(H257*1.05, 2)</f>
      </c>
      <c r="M257" s="25">
        <f>ROUND(H257*1.25, 2)</f>
      </c>
      <c r="N257" s="25">
        <f>ROUND(H257*1.55, 2)</f>
      </c>
      <c r="O257" s="25">
        <f>ROUND(H257*1.65, 2)</f>
      </c>
      <c r="P257" s="25">
        <f>SUM(I257:O257)</f>
      </c>
      <c r="Q257" s="25">
        <f>ROUND(H257*1.5, 2)</f>
      </c>
      <c r="R257" s="25">
        <f>ROUND(H257*2.0, 2)</f>
      </c>
      <c r="S257" s="12">
        <f>IF(F257&lt;=R257, "TRIGGER INDENT", "STOCK HEALTHY")</f>
      </c>
      <c r="T257" s="25">
        <f>IF(F257&lt;=R257, ROUND(MAX(H257, (I257+Q257)-F257), 2), 0)</f>
      </c>
    </row>
    <row r="258" ht="20" customHeight="1" spans="1:20" x14ac:dyDescent="0.25">
      <c r="A258" s="14" t="s">
        <v>661</v>
      </c>
      <c r="B258" s="14" t="s">
        <v>662</v>
      </c>
      <c r="C258" s="14" t="s">
        <v>154</v>
      </c>
      <c r="D258" s="14" t="s">
        <v>139</v>
      </c>
      <c r="E258" s="26">
        <v>94.2699966430664</v>
      </c>
      <c r="F258" s="27">
        <v>512.7999</v>
      </c>
      <c r="G258" s="14" t="s">
        <v>97</v>
      </c>
      <c r="H258" s="27">
        <v>2</v>
      </c>
      <c r="I258" s="27">
        <f>ROUND(H258*1.0, 2)</f>
      </c>
      <c r="J258" s="27">
        <f>ROUND(H258*0.95, 2)</f>
      </c>
      <c r="K258" s="27">
        <f>ROUND(H258*0.95, 2)</f>
      </c>
      <c r="L258" s="27">
        <f>ROUND(H258*1.05, 2)</f>
      </c>
      <c r="M258" s="27">
        <f>ROUND(H258*1.25, 2)</f>
      </c>
      <c r="N258" s="27">
        <f>ROUND(H258*1.55, 2)</f>
      </c>
      <c r="O258" s="27">
        <f>ROUND(H258*1.65, 2)</f>
      </c>
      <c r="P258" s="27">
        <f>SUM(I258:O258)</f>
      </c>
      <c r="Q258" s="27">
        <f>ROUND(H258*1.5, 2)</f>
      </c>
      <c r="R258" s="27">
        <f>ROUND(H258*2.0, 2)</f>
      </c>
      <c r="S258" s="14">
        <f>IF(F258&lt;=R258, "TRIGGER INDENT", "STOCK HEALTHY")</f>
      </c>
      <c r="T258" s="27">
        <f>IF(F258&lt;=R258, ROUND(MAX(H258, (I258+Q258)-F258), 2), 0)</f>
      </c>
    </row>
    <row r="259" ht="20" customHeight="1" spans="1:20" x14ac:dyDescent="0.25">
      <c r="A259" s="12" t="s">
        <v>663</v>
      </c>
      <c r="B259" s="12" t="s">
        <v>664</v>
      </c>
      <c r="C259" s="12" t="s">
        <v>151</v>
      </c>
      <c r="D259" s="12" t="s">
        <v>139</v>
      </c>
      <c r="E259" s="24">
        <v>70.16999816894531</v>
      </c>
      <c r="F259" s="25">
        <v>48</v>
      </c>
      <c r="G259" s="12" t="s">
        <v>97</v>
      </c>
      <c r="H259" s="25">
        <v>2.5</v>
      </c>
      <c r="I259" s="25">
        <f>ROUND(H259*1.0, 2)</f>
      </c>
      <c r="J259" s="25">
        <f>ROUND(H259*0.95, 2)</f>
      </c>
      <c r="K259" s="25">
        <f>ROUND(H259*0.95, 2)</f>
      </c>
      <c r="L259" s="25">
        <f>ROUND(H259*1.05, 2)</f>
      </c>
      <c r="M259" s="25">
        <f>ROUND(H259*1.25, 2)</f>
      </c>
      <c r="N259" s="25">
        <f>ROUND(H259*1.55, 2)</f>
      </c>
      <c r="O259" s="25">
        <f>ROUND(H259*1.65, 2)</f>
      </c>
      <c r="P259" s="25">
        <f>SUM(I259:O259)</f>
      </c>
      <c r="Q259" s="25">
        <f>ROUND(H259*1.5, 2)</f>
      </c>
      <c r="R259" s="25">
        <f>ROUND(H259*2.0, 2)</f>
      </c>
      <c r="S259" s="12">
        <f>IF(F259&lt;=R259, "TRIGGER INDENT", "STOCK HEALTHY")</f>
      </c>
      <c r="T259" s="25">
        <f>IF(F259&lt;=R259, ROUND(MAX(H259, (I259+Q259)-F259), 2), 0)</f>
      </c>
    </row>
    <row r="260" ht="20" customHeight="1" spans="1:20" x14ac:dyDescent="0.25">
      <c r="A260" s="14" t="s">
        <v>665</v>
      </c>
      <c r="B260" s="14" t="s">
        <v>666</v>
      </c>
      <c r="C260" s="14" t="s">
        <v>154</v>
      </c>
      <c r="D260" s="14" t="s">
        <v>139</v>
      </c>
      <c r="E260" s="26">
        <v>102.25</v>
      </c>
      <c r="F260" s="27">
        <v>395.20004</v>
      </c>
      <c r="G260" s="14" t="s">
        <v>97</v>
      </c>
      <c r="H260" s="27">
        <v>100</v>
      </c>
      <c r="I260" s="27">
        <f>ROUND(H260*1.0, 2)</f>
      </c>
      <c r="J260" s="27">
        <f>ROUND(H260*0.95, 2)</f>
      </c>
      <c r="K260" s="27">
        <f>ROUND(H260*0.95, 2)</f>
      </c>
      <c r="L260" s="27">
        <f>ROUND(H260*1.05, 2)</f>
      </c>
      <c r="M260" s="27">
        <f>ROUND(H260*1.25, 2)</f>
      </c>
      <c r="N260" s="27">
        <f>ROUND(H260*1.55, 2)</f>
      </c>
      <c r="O260" s="27">
        <f>ROUND(H260*1.65, 2)</f>
      </c>
      <c r="P260" s="27">
        <f>SUM(I260:O260)</f>
      </c>
      <c r="Q260" s="27">
        <f>ROUND(H260*1.5, 2)</f>
      </c>
      <c r="R260" s="27">
        <f>ROUND(H260*2.0, 2)</f>
      </c>
      <c r="S260" s="14">
        <f>IF(F260&lt;=R260, "TRIGGER INDENT", "STOCK HEALTHY")</f>
      </c>
      <c r="T260" s="27">
        <f>IF(F260&lt;=R260, ROUND(MAX(H260, (I260+Q260)-F260), 2), 0)</f>
      </c>
    </row>
    <row r="261" ht="20" customHeight="1" spans="1:20" x14ac:dyDescent="0.25">
      <c r="A261" s="12" t="s">
        <v>667</v>
      </c>
      <c r="B261" s="12" t="s">
        <v>668</v>
      </c>
      <c r="C261" s="12" t="s">
        <v>192</v>
      </c>
      <c r="D261" s="12" t="s">
        <v>139</v>
      </c>
      <c r="E261" s="24">
        <v>90.83000183105469</v>
      </c>
      <c r="F261" s="25">
        <v>43.20001</v>
      </c>
      <c r="G261" s="12" t="s">
        <v>85</v>
      </c>
      <c r="H261" s="25">
        <v>8.64</v>
      </c>
      <c r="I261" s="25">
        <f>ROUND(H261*1.0, 2)</f>
      </c>
      <c r="J261" s="25">
        <f>ROUND(H261*0.95, 2)</f>
      </c>
      <c r="K261" s="25">
        <f>ROUND(H261*0.95, 2)</f>
      </c>
      <c r="L261" s="25">
        <f>ROUND(H261*1.05, 2)</f>
      </c>
      <c r="M261" s="25">
        <f>ROUND(H261*1.25, 2)</f>
      </c>
      <c r="N261" s="25">
        <f>ROUND(H261*1.55, 2)</f>
      </c>
      <c r="O261" s="25">
        <f>ROUND(H261*1.65, 2)</f>
      </c>
      <c r="P261" s="25">
        <f>SUM(I261:O261)</f>
      </c>
      <c r="Q261" s="25">
        <f>ROUND(H261*1.5, 2)</f>
      </c>
      <c r="R261" s="25">
        <f>ROUND(H261*2.0, 2)</f>
      </c>
      <c r="S261" s="12">
        <f>IF(F261&lt;=R261, "TRIGGER INDENT", "STOCK HEALTHY")</f>
      </c>
      <c r="T261" s="25">
        <f>IF(F261&lt;=R261, ROUND(MAX(H261, (I261+Q261)-F261), 2), 0)</f>
      </c>
    </row>
    <row r="262" ht="20" customHeight="1" spans="1:20" x14ac:dyDescent="0.25">
      <c r="A262" s="14" t="s">
        <v>669</v>
      </c>
      <c r="B262" s="14" t="s">
        <v>670</v>
      </c>
      <c r="C262" s="14" t="s">
        <v>126</v>
      </c>
      <c r="D262" s="14" t="s">
        <v>127</v>
      </c>
      <c r="E262" s="26">
        <v>110</v>
      </c>
      <c r="F262" s="27">
        <v>80</v>
      </c>
      <c r="G262" s="14" t="s">
        <v>73</v>
      </c>
      <c r="H262" s="27">
        <v>9.6</v>
      </c>
      <c r="I262" s="27">
        <f>ROUND(H262*1.0, 2)</f>
      </c>
      <c r="J262" s="27">
        <f>ROUND(H262*0.95, 2)</f>
      </c>
      <c r="K262" s="27">
        <f>ROUND(H262*0.95, 2)</f>
      </c>
      <c r="L262" s="27">
        <f>ROUND(H262*1.05, 2)</f>
      </c>
      <c r="M262" s="27">
        <f>ROUND(H262*1.25, 2)</f>
      </c>
      <c r="N262" s="27">
        <f>ROUND(H262*1.55, 2)</f>
      </c>
      <c r="O262" s="27">
        <f>ROUND(H262*1.65, 2)</f>
      </c>
      <c r="P262" s="27">
        <f>SUM(I262:O262)</f>
      </c>
      <c r="Q262" s="27">
        <f>ROUND(H262*1.5, 2)</f>
      </c>
      <c r="R262" s="27">
        <f>ROUND(H262*2.0, 2)</f>
      </c>
      <c r="S262" s="14">
        <f>IF(F262&lt;=R262, "TRIGGER INDENT", "STOCK HEALTHY")</f>
      </c>
      <c r="T262" s="27">
        <f>IF(F262&lt;=R262, ROUND(MAX(H262, (I262+Q262)-F262), 2), 0)</f>
      </c>
    </row>
    <row r="263" ht="20" customHeight="1" spans="1:20" x14ac:dyDescent="0.25">
      <c r="A263" s="12" t="s">
        <v>671</v>
      </c>
      <c r="B263" s="12" t="s">
        <v>672</v>
      </c>
      <c r="C263" s="12" t="s">
        <v>126</v>
      </c>
      <c r="D263" s="12" t="s">
        <v>127</v>
      </c>
      <c r="E263" s="24">
        <v>9.520000457763672</v>
      </c>
      <c r="F263" s="25">
        <v>800</v>
      </c>
      <c r="G263" s="12" t="s">
        <v>55</v>
      </c>
      <c r="H263" s="25">
        <v>64</v>
      </c>
      <c r="I263" s="25">
        <f>ROUND(H263*1.0, 2)</f>
      </c>
      <c r="J263" s="25">
        <f>ROUND(H263*0.95, 2)</f>
      </c>
      <c r="K263" s="25">
        <f>ROUND(H263*0.95, 2)</f>
      </c>
      <c r="L263" s="25">
        <f>ROUND(H263*1.05, 2)</f>
      </c>
      <c r="M263" s="25">
        <f>ROUND(H263*1.25, 2)</f>
      </c>
      <c r="N263" s="25">
        <f>ROUND(H263*1.55, 2)</f>
      </c>
      <c r="O263" s="25">
        <f>ROUND(H263*1.65, 2)</f>
      </c>
      <c r="P263" s="25">
        <f>SUM(I263:O263)</f>
      </c>
      <c r="Q263" s="25">
        <f>ROUND(H263*1.5, 2)</f>
      </c>
      <c r="R263" s="25">
        <f>ROUND(H263*2.0, 2)</f>
      </c>
      <c r="S263" s="12">
        <f>IF(F263&lt;=R263, "TRIGGER INDENT", "STOCK HEALTHY")</f>
      </c>
      <c r="T263" s="25">
        <f>IF(F263&lt;=R263, ROUND(MAX(H263, (I263+Q263)-F263), 2), 0)</f>
      </c>
    </row>
    <row r="264" ht="20" customHeight="1" spans="1:20" x14ac:dyDescent="0.25">
      <c r="A264" s="14" t="s">
        <v>673</v>
      </c>
      <c r="B264" s="14" t="s">
        <v>674</v>
      </c>
      <c r="C264" s="14" t="s">
        <v>138</v>
      </c>
      <c r="D264" s="14" t="s">
        <v>139</v>
      </c>
      <c r="E264" s="26">
        <v>261.3399963378906</v>
      </c>
      <c r="F264" s="27">
        <v>304.8</v>
      </c>
      <c r="G264" s="14" t="s">
        <v>97</v>
      </c>
      <c r="H264" s="27">
        <v>24.38</v>
      </c>
      <c r="I264" s="27">
        <f>ROUND(H264*1.0, 2)</f>
      </c>
      <c r="J264" s="27">
        <f>ROUND(H264*0.95, 2)</f>
      </c>
      <c r="K264" s="27">
        <f>ROUND(H264*0.95, 2)</f>
      </c>
      <c r="L264" s="27">
        <f>ROUND(H264*1.05, 2)</f>
      </c>
      <c r="M264" s="27">
        <f>ROUND(H264*1.25, 2)</f>
      </c>
      <c r="N264" s="27">
        <f>ROUND(H264*1.55, 2)</f>
      </c>
      <c r="O264" s="27">
        <f>ROUND(H264*1.65, 2)</f>
      </c>
      <c r="P264" s="27">
        <f>SUM(I264:O264)</f>
      </c>
      <c r="Q264" s="27">
        <f>ROUND(H264*1.5, 2)</f>
      </c>
      <c r="R264" s="27">
        <f>ROUND(H264*2.0, 2)</f>
      </c>
      <c r="S264" s="14">
        <f>IF(F264&lt;=R264, "TRIGGER INDENT", "STOCK HEALTHY")</f>
      </c>
      <c r="T264" s="27">
        <f>IF(F264&lt;=R264, ROUND(MAX(H264, (I264+Q264)-F264), 2), 0)</f>
      </c>
    </row>
    <row r="265" ht="20" customHeight="1" spans="1:20" x14ac:dyDescent="0.25">
      <c r="A265" s="12" t="s">
        <v>675</v>
      </c>
      <c r="B265" s="12" t="s">
        <v>676</v>
      </c>
      <c r="C265" s="12" t="s">
        <v>416</v>
      </c>
      <c r="D265" s="12" t="s">
        <v>135</v>
      </c>
      <c r="E265" s="24">
        <v>37.5</v>
      </c>
      <c r="F265" s="25">
        <v>336</v>
      </c>
      <c r="G265" s="12" t="s">
        <v>55</v>
      </c>
      <c r="H265" s="25">
        <v>26.88</v>
      </c>
      <c r="I265" s="25">
        <f>ROUND(H265*1.0, 2)</f>
      </c>
      <c r="J265" s="25">
        <f>ROUND(H265*0.95, 2)</f>
      </c>
      <c r="K265" s="25">
        <f>ROUND(H265*0.95, 2)</f>
      </c>
      <c r="L265" s="25">
        <f>ROUND(H265*1.05, 2)</f>
      </c>
      <c r="M265" s="25">
        <f>ROUND(H265*1.25, 2)</f>
      </c>
      <c r="N265" s="25">
        <f>ROUND(H265*1.55, 2)</f>
      </c>
      <c r="O265" s="25">
        <f>ROUND(H265*1.65, 2)</f>
      </c>
      <c r="P265" s="25">
        <f>SUM(I265:O265)</f>
      </c>
      <c r="Q265" s="25">
        <f>ROUND(H265*1.5, 2)</f>
      </c>
      <c r="R265" s="25">
        <f>ROUND(H265*2.0, 2)</f>
      </c>
      <c r="S265" s="12">
        <f>IF(F265&lt;=R265, "TRIGGER INDENT", "STOCK HEALTHY")</f>
      </c>
      <c r="T265" s="25">
        <f>IF(F265&lt;=R265, ROUND(MAX(H265, (I265+Q265)-F265), 2), 0)</f>
      </c>
    </row>
    <row r="266" ht="20" customHeight="1" spans="1:20" x14ac:dyDescent="0.25">
      <c r="A266" s="14" t="s">
        <v>677</v>
      </c>
      <c r="B266" s="14" t="s">
        <v>678</v>
      </c>
      <c r="C266" s="14" t="s">
        <v>154</v>
      </c>
      <c r="D266" s="14" t="s">
        <v>139</v>
      </c>
      <c r="E266" s="26">
        <v>91.37999725341797</v>
      </c>
      <c r="F266" s="27">
        <v>52.40001</v>
      </c>
      <c r="G266" s="14" t="s">
        <v>97</v>
      </c>
      <c r="H266" s="27">
        <v>6.29</v>
      </c>
      <c r="I266" s="27">
        <f>ROUND(H266*1.0, 2)</f>
      </c>
      <c r="J266" s="27">
        <f>ROUND(H266*0.95, 2)</f>
      </c>
      <c r="K266" s="27">
        <f>ROUND(H266*0.95, 2)</f>
      </c>
      <c r="L266" s="27">
        <f>ROUND(H266*1.05, 2)</f>
      </c>
      <c r="M266" s="27">
        <f>ROUND(H266*1.25, 2)</f>
      </c>
      <c r="N266" s="27">
        <f>ROUND(H266*1.55, 2)</f>
      </c>
      <c r="O266" s="27">
        <f>ROUND(H266*1.65, 2)</f>
      </c>
      <c r="P266" s="27">
        <f>SUM(I266:O266)</f>
      </c>
      <c r="Q266" s="27">
        <f>ROUND(H266*1.5, 2)</f>
      </c>
      <c r="R266" s="27">
        <f>ROUND(H266*2.0, 2)</f>
      </c>
      <c r="S266" s="14">
        <f>IF(F266&lt;=R266, "TRIGGER INDENT", "STOCK HEALTHY")</f>
      </c>
      <c r="T266" s="27">
        <f>IF(F266&lt;=R266, ROUND(MAX(H266, (I266+Q266)-F266), 2), 0)</f>
      </c>
    </row>
    <row r="267" ht="20" customHeight="1" spans="1:20" x14ac:dyDescent="0.25">
      <c r="A267" s="12" t="s">
        <v>679</v>
      </c>
      <c r="B267" s="12" t="s">
        <v>680</v>
      </c>
      <c r="C267" s="12" t="s">
        <v>154</v>
      </c>
      <c r="D267" s="12" t="s">
        <v>127</v>
      </c>
      <c r="E267" s="24">
        <v>112.94999694824219</v>
      </c>
      <c r="F267" s="25">
        <v>160</v>
      </c>
      <c r="G267" s="12" t="s">
        <v>79</v>
      </c>
      <c r="H267" s="25">
        <v>19.2</v>
      </c>
      <c r="I267" s="25">
        <f>ROUND(H267*1.0, 2)</f>
      </c>
      <c r="J267" s="25">
        <f>ROUND(H267*0.95, 2)</f>
      </c>
      <c r="K267" s="25">
        <f>ROUND(H267*0.95, 2)</f>
      </c>
      <c r="L267" s="25">
        <f>ROUND(H267*1.05, 2)</f>
      </c>
      <c r="M267" s="25">
        <f>ROUND(H267*1.25, 2)</f>
      </c>
      <c r="N267" s="25">
        <f>ROUND(H267*1.55, 2)</f>
      </c>
      <c r="O267" s="25">
        <f>ROUND(H267*1.65, 2)</f>
      </c>
      <c r="P267" s="25">
        <f>SUM(I267:O267)</f>
      </c>
      <c r="Q267" s="25">
        <f>ROUND(H267*1.5, 2)</f>
      </c>
      <c r="R267" s="25">
        <f>ROUND(H267*2.0, 2)</f>
      </c>
      <c r="S267" s="12">
        <f>IF(F267&lt;=R267, "TRIGGER INDENT", "STOCK HEALTHY")</f>
      </c>
      <c r="T267" s="25">
        <f>IF(F267&lt;=R267, ROUND(MAX(H267, (I267+Q267)-F267), 2), 0)</f>
      </c>
    </row>
    <row r="268" ht="20" customHeight="1" spans="1:20" x14ac:dyDescent="0.25">
      <c r="A268" s="14" t="s">
        <v>681</v>
      </c>
      <c r="B268" s="14" t="s">
        <v>682</v>
      </c>
      <c r="C268" s="14" t="s">
        <v>134</v>
      </c>
      <c r="D268" s="14" t="s">
        <v>135</v>
      </c>
      <c r="E268" s="26">
        <v>130.6699981689453</v>
      </c>
      <c r="F268" s="27">
        <v>32</v>
      </c>
      <c r="G268" s="14" t="s">
        <v>61</v>
      </c>
      <c r="H268" s="27">
        <v>6.4</v>
      </c>
      <c r="I268" s="27">
        <f>ROUND(H268*1.0, 2)</f>
      </c>
      <c r="J268" s="27">
        <f>ROUND(H268*0.95, 2)</f>
      </c>
      <c r="K268" s="27">
        <f>ROUND(H268*0.95, 2)</f>
      </c>
      <c r="L268" s="27">
        <f>ROUND(H268*1.05, 2)</f>
      </c>
      <c r="M268" s="27">
        <f>ROUND(H268*1.25, 2)</f>
      </c>
      <c r="N268" s="27">
        <f>ROUND(H268*1.55, 2)</f>
      </c>
      <c r="O268" s="27">
        <f>ROUND(H268*1.65, 2)</f>
      </c>
      <c r="P268" s="27">
        <f>SUM(I268:O268)</f>
      </c>
      <c r="Q268" s="27">
        <f>ROUND(H268*1.5, 2)</f>
      </c>
      <c r="R268" s="27">
        <f>ROUND(H268*2.0, 2)</f>
      </c>
      <c r="S268" s="14">
        <f>IF(F268&lt;=R268, "TRIGGER INDENT", "STOCK HEALTHY")</f>
      </c>
      <c r="T268" s="27">
        <f>IF(F268&lt;=R268, ROUND(MAX(H268, (I268+Q268)-F268), 2), 0)</f>
      </c>
    </row>
    <row r="269" ht="20" customHeight="1" spans="1:20" x14ac:dyDescent="0.25">
      <c r="A269" s="12" t="s">
        <v>683</v>
      </c>
      <c r="B269" s="12" t="s">
        <v>684</v>
      </c>
      <c r="C269" s="12" t="s">
        <v>154</v>
      </c>
      <c r="D269" s="12" t="s">
        <v>135</v>
      </c>
      <c r="E269" s="24">
        <v>44.47999954223633</v>
      </c>
      <c r="F269" s="25">
        <v>112</v>
      </c>
      <c r="G269" s="12" t="s">
        <v>67</v>
      </c>
      <c r="H269" s="25">
        <v>13.44</v>
      </c>
      <c r="I269" s="25">
        <f>ROUND(H269*1.0, 2)</f>
      </c>
      <c r="J269" s="25">
        <f>ROUND(H269*0.95, 2)</f>
      </c>
      <c r="K269" s="25">
        <f>ROUND(H269*0.95, 2)</f>
      </c>
      <c r="L269" s="25">
        <f>ROUND(H269*1.05, 2)</f>
      </c>
      <c r="M269" s="25">
        <f>ROUND(H269*1.25, 2)</f>
      </c>
      <c r="N269" s="25">
        <f>ROUND(H269*1.55, 2)</f>
      </c>
      <c r="O269" s="25">
        <f>ROUND(H269*1.65, 2)</f>
      </c>
      <c r="P269" s="25">
        <f>SUM(I269:O269)</f>
      </c>
      <c r="Q269" s="25">
        <f>ROUND(H269*1.5, 2)</f>
      </c>
      <c r="R269" s="25">
        <f>ROUND(H269*2.0, 2)</f>
      </c>
      <c r="S269" s="12">
        <f>IF(F269&lt;=R269, "TRIGGER INDENT", "STOCK HEALTHY")</f>
      </c>
      <c r="T269" s="25">
        <f>IF(F269&lt;=R269, ROUND(MAX(H269, (I269+Q269)-F269), 2), 0)</f>
      </c>
    </row>
    <row r="270" ht="20" customHeight="1" spans="1:20" x14ac:dyDescent="0.25">
      <c r="A270" s="14" t="s">
        <v>685</v>
      </c>
      <c r="B270" s="14" t="s">
        <v>686</v>
      </c>
      <c r="C270" s="14" t="s">
        <v>126</v>
      </c>
      <c r="D270" s="14" t="s">
        <v>127</v>
      </c>
      <c r="E270" s="26">
        <v>170</v>
      </c>
      <c r="F270" s="27">
        <v>1.5100002</v>
      </c>
      <c r="G270" s="14" t="s">
        <v>45</v>
      </c>
      <c r="H270" s="27">
        <v>1</v>
      </c>
      <c r="I270" s="27">
        <f>ROUND(H270*1.0, 2)</f>
      </c>
      <c r="J270" s="27">
        <f>ROUND(H270*0.95, 2)</f>
      </c>
      <c r="K270" s="27">
        <f>ROUND(H270*0.95, 2)</f>
      </c>
      <c r="L270" s="27">
        <f>ROUND(H270*1.05, 2)</f>
      </c>
      <c r="M270" s="27">
        <f>ROUND(H270*1.25, 2)</f>
      </c>
      <c r="N270" s="27">
        <f>ROUND(H270*1.55, 2)</f>
      </c>
      <c r="O270" s="27">
        <f>ROUND(H270*1.65, 2)</f>
      </c>
      <c r="P270" s="27">
        <f>SUM(I270:O270)</f>
      </c>
      <c r="Q270" s="27">
        <f>ROUND(H270*1.5, 2)</f>
      </c>
      <c r="R270" s="27">
        <f>ROUND(H270*2.0, 2)</f>
      </c>
      <c r="S270" s="14">
        <f>IF(F270&lt;=R270, "TRIGGER INDENT", "STOCK HEALTHY")</f>
      </c>
      <c r="T270" s="27">
        <f>IF(F270&lt;=R270, ROUND(MAX(H270, (I270+Q270)-F270), 2), 0)</f>
      </c>
    </row>
    <row r="271" ht="20" customHeight="1" spans="1:20" x14ac:dyDescent="0.25">
      <c r="A271" s="12" t="s">
        <v>687</v>
      </c>
      <c r="B271" s="12" t="s">
        <v>688</v>
      </c>
      <c r="C271" s="12" t="s">
        <v>154</v>
      </c>
      <c r="D271" s="12" t="s">
        <v>139</v>
      </c>
      <c r="E271" s="24">
        <v>137</v>
      </c>
      <c r="F271" s="25">
        <v>632</v>
      </c>
      <c r="G271" s="12" t="s">
        <v>97</v>
      </c>
      <c r="H271" s="25">
        <v>50.56</v>
      </c>
      <c r="I271" s="25">
        <f>ROUND(H271*1.0, 2)</f>
      </c>
      <c r="J271" s="25">
        <f>ROUND(H271*0.95, 2)</f>
      </c>
      <c r="K271" s="25">
        <f>ROUND(H271*0.95, 2)</f>
      </c>
      <c r="L271" s="25">
        <f>ROUND(H271*1.05, 2)</f>
      </c>
      <c r="M271" s="25">
        <f>ROUND(H271*1.25, 2)</f>
      </c>
      <c r="N271" s="25">
        <f>ROUND(H271*1.55, 2)</f>
      </c>
      <c r="O271" s="25">
        <f>ROUND(H271*1.65, 2)</f>
      </c>
      <c r="P271" s="25">
        <f>SUM(I271:O271)</f>
      </c>
      <c r="Q271" s="25">
        <f>ROUND(H271*1.5, 2)</f>
      </c>
      <c r="R271" s="25">
        <f>ROUND(H271*2.0, 2)</f>
      </c>
      <c r="S271" s="12">
        <f>IF(F271&lt;=R271, "TRIGGER INDENT", "STOCK HEALTHY")</f>
      </c>
      <c r="T271" s="25">
        <f>IF(F271&lt;=R271, ROUND(MAX(H271, (I271+Q271)-F271), 2), 0)</f>
      </c>
    </row>
    <row r="272" ht="20" customHeight="1" spans="1:20" x14ac:dyDescent="0.25">
      <c r="A272" s="14" t="s">
        <v>689</v>
      </c>
      <c r="B272" s="14" t="s">
        <v>690</v>
      </c>
      <c r="C272" s="14" t="s">
        <v>154</v>
      </c>
      <c r="D272" s="14" t="s">
        <v>139</v>
      </c>
      <c r="E272" s="26">
        <v>355</v>
      </c>
      <c r="F272" s="27">
        <v>22.72</v>
      </c>
      <c r="G272" s="14" t="s">
        <v>61</v>
      </c>
      <c r="H272" s="27">
        <v>4.54</v>
      </c>
      <c r="I272" s="27">
        <f>ROUND(H272*1.0, 2)</f>
      </c>
      <c r="J272" s="27">
        <f>ROUND(H272*0.95, 2)</f>
      </c>
      <c r="K272" s="27">
        <f>ROUND(H272*0.95, 2)</f>
      </c>
      <c r="L272" s="27">
        <f>ROUND(H272*1.05, 2)</f>
      </c>
      <c r="M272" s="27">
        <f>ROUND(H272*1.25, 2)</f>
      </c>
      <c r="N272" s="27">
        <f>ROUND(H272*1.55, 2)</f>
      </c>
      <c r="O272" s="27">
        <f>ROUND(H272*1.65, 2)</f>
      </c>
      <c r="P272" s="27">
        <f>SUM(I272:O272)</f>
      </c>
      <c r="Q272" s="27">
        <f>ROUND(H272*1.5, 2)</f>
      </c>
      <c r="R272" s="27">
        <f>ROUND(H272*2.0, 2)</f>
      </c>
      <c r="S272" s="14">
        <f>IF(F272&lt;=R272, "TRIGGER INDENT", "STOCK HEALTHY")</f>
      </c>
      <c r="T272" s="27">
        <f>IF(F272&lt;=R272, ROUND(MAX(H272, (I272+Q272)-F272), 2), 0)</f>
      </c>
    </row>
    <row r="273" ht="20" customHeight="1" spans="1:20" x14ac:dyDescent="0.25">
      <c r="A273" s="12" t="s">
        <v>691</v>
      </c>
      <c r="B273" s="12" t="s">
        <v>692</v>
      </c>
      <c r="C273" s="12" t="s">
        <v>154</v>
      </c>
      <c r="D273" s="12" t="s">
        <v>139</v>
      </c>
      <c r="E273" s="24">
        <v>77</v>
      </c>
      <c r="F273" s="25">
        <v>25.359997</v>
      </c>
      <c r="G273" s="12" t="s">
        <v>45</v>
      </c>
      <c r="H273" s="25">
        <v>5.07</v>
      </c>
      <c r="I273" s="25">
        <f>ROUND(H273*1.0, 2)</f>
      </c>
      <c r="J273" s="25">
        <f>ROUND(H273*0.95, 2)</f>
      </c>
      <c r="K273" s="25">
        <f>ROUND(H273*0.95, 2)</f>
      </c>
      <c r="L273" s="25">
        <f>ROUND(H273*1.05, 2)</f>
      </c>
      <c r="M273" s="25">
        <f>ROUND(H273*1.25, 2)</f>
      </c>
      <c r="N273" s="25">
        <f>ROUND(H273*1.55, 2)</f>
      </c>
      <c r="O273" s="25">
        <f>ROUND(H273*1.65, 2)</f>
      </c>
      <c r="P273" s="25">
        <f>SUM(I273:O273)</f>
      </c>
      <c r="Q273" s="25">
        <f>ROUND(H273*1.5, 2)</f>
      </c>
      <c r="R273" s="25">
        <f>ROUND(H273*2.0, 2)</f>
      </c>
      <c r="S273" s="12">
        <f>IF(F273&lt;=R273, "TRIGGER INDENT", "STOCK HEALTHY")</f>
      </c>
      <c r="T273" s="25">
        <f>IF(F273&lt;=R273, ROUND(MAX(H273, (I273+Q273)-F273), 2), 0)</f>
      </c>
    </row>
    <row r="274" ht="20" customHeight="1" spans="1:20" x14ac:dyDescent="0.25">
      <c r="A274" s="14" t="s">
        <v>693</v>
      </c>
      <c r="B274" s="14" t="s">
        <v>694</v>
      </c>
      <c r="C274" s="14" t="s">
        <v>160</v>
      </c>
      <c r="D274" s="14" t="s">
        <v>127</v>
      </c>
      <c r="E274" s="26">
        <v>150.52999877929688</v>
      </c>
      <c r="F274" s="27">
        <v>112</v>
      </c>
      <c r="G274" s="14" t="s">
        <v>61</v>
      </c>
      <c r="H274" s="27">
        <v>13.44</v>
      </c>
      <c r="I274" s="27">
        <f>ROUND(H274*1.0, 2)</f>
      </c>
      <c r="J274" s="27">
        <f>ROUND(H274*0.95, 2)</f>
      </c>
      <c r="K274" s="27">
        <f>ROUND(H274*0.95, 2)</f>
      </c>
      <c r="L274" s="27">
        <f>ROUND(H274*1.05, 2)</f>
      </c>
      <c r="M274" s="27">
        <f>ROUND(H274*1.25, 2)</f>
      </c>
      <c r="N274" s="27">
        <f>ROUND(H274*1.55, 2)</f>
      </c>
      <c r="O274" s="27">
        <f>ROUND(H274*1.65, 2)</f>
      </c>
      <c r="P274" s="27">
        <f>SUM(I274:O274)</f>
      </c>
      <c r="Q274" s="27">
        <f>ROUND(H274*1.5, 2)</f>
      </c>
      <c r="R274" s="27">
        <f>ROUND(H274*2.0, 2)</f>
      </c>
      <c r="S274" s="14">
        <f>IF(F274&lt;=R274, "TRIGGER INDENT", "STOCK HEALTHY")</f>
      </c>
      <c r="T274" s="27">
        <f>IF(F274&lt;=R274, ROUND(MAX(H274, (I274+Q274)-F274), 2), 0)</f>
      </c>
    </row>
    <row r="275" ht="20" customHeight="1" spans="1:20" x14ac:dyDescent="0.25">
      <c r="A275" s="12" t="s">
        <v>695</v>
      </c>
      <c r="B275" s="12" t="s">
        <v>696</v>
      </c>
      <c r="C275" s="12" t="s">
        <v>138</v>
      </c>
      <c r="D275" s="12" t="s">
        <v>139</v>
      </c>
      <c r="E275" s="24">
        <v>1252.1700439453125</v>
      </c>
      <c r="F275" s="25">
        <v>10.4</v>
      </c>
      <c r="G275" s="12" t="s">
        <v>85</v>
      </c>
      <c r="H275" s="25">
        <v>2.08</v>
      </c>
      <c r="I275" s="25">
        <f>ROUND(H275*1.0, 2)</f>
      </c>
      <c r="J275" s="25">
        <f>ROUND(H275*0.95, 2)</f>
      </c>
      <c r="K275" s="25">
        <f>ROUND(H275*0.95, 2)</f>
      </c>
      <c r="L275" s="25">
        <f>ROUND(H275*1.05, 2)</f>
      </c>
      <c r="M275" s="25">
        <f>ROUND(H275*1.25, 2)</f>
      </c>
      <c r="N275" s="25">
        <f>ROUND(H275*1.55, 2)</f>
      </c>
      <c r="O275" s="25">
        <f>ROUND(H275*1.65, 2)</f>
      </c>
      <c r="P275" s="25">
        <f>SUM(I275:O275)</f>
      </c>
      <c r="Q275" s="25">
        <f>ROUND(H275*1.5, 2)</f>
      </c>
      <c r="R275" s="25">
        <f>ROUND(H275*2.0, 2)</f>
      </c>
      <c r="S275" s="12">
        <f>IF(F275&lt;=R275, "TRIGGER INDENT", "STOCK HEALTHY")</f>
      </c>
      <c r="T275" s="25">
        <f>IF(F275&lt;=R275, ROUND(MAX(H275, (I275+Q275)-F275), 2), 0)</f>
      </c>
    </row>
    <row r="276" ht="20" customHeight="1" spans="1:20" x14ac:dyDescent="0.25">
      <c r="A276" s="14" t="s">
        <v>697</v>
      </c>
      <c r="B276" s="14" t="s">
        <v>698</v>
      </c>
      <c r="C276" s="14" t="s">
        <v>154</v>
      </c>
      <c r="D276" s="14" t="s">
        <v>179</v>
      </c>
      <c r="E276" s="26">
        <v>12.180000305175781</v>
      </c>
      <c r="F276" s="27">
        <v>1136</v>
      </c>
      <c r="G276" s="14" t="s">
        <v>67</v>
      </c>
      <c r="H276" s="27">
        <v>56.8</v>
      </c>
      <c r="I276" s="27">
        <f>ROUND(H276*1.0, 2)</f>
      </c>
      <c r="J276" s="27">
        <f>ROUND(H276*0.95, 2)</f>
      </c>
      <c r="K276" s="27">
        <f>ROUND(H276*0.95, 2)</f>
      </c>
      <c r="L276" s="27">
        <f>ROUND(H276*1.05, 2)</f>
      </c>
      <c r="M276" s="27">
        <f>ROUND(H276*1.25, 2)</f>
      </c>
      <c r="N276" s="27">
        <f>ROUND(H276*1.55, 2)</f>
      </c>
      <c r="O276" s="27">
        <f>ROUND(H276*1.65, 2)</f>
      </c>
      <c r="P276" s="27">
        <f>SUM(I276:O276)</f>
      </c>
      <c r="Q276" s="27">
        <f>ROUND(H276*1.5, 2)</f>
      </c>
      <c r="R276" s="27">
        <f>ROUND(H276*2.0, 2)</f>
      </c>
      <c r="S276" s="14">
        <f>IF(F276&lt;=R276, "TRIGGER INDENT", "STOCK HEALTHY")</f>
      </c>
      <c r="T276" s="27">
        <f>IF(F276&lt;=R276, ROUND(MAX(H276, (I276+Q276)-F276), 2), 0)</f>
      </c>
    </row>
    <row r="277" ht="20" customHeight="1" spans="1:20" x14ac:dyDescent="0.25">
      <c r="A277" s="12" t="s">
        <v>699</v>
      </c>
      <c r="B277" s="12" t="s">
        <v>700</v>
      </c>
      <c r="C277" s="12" t="s">
        <v>126</v>
      </c>
      <c r="D277" s="12" t="s">
        <v>127</v>
      </c>
      <c r="E277" s="24">
        <v>3.5999999046325684</v>
      </c>
      <c r="F277" s="25">
        <v>1.5100002</v>
      </c>
      <c r="G277" s="12" t="s">
        <v>61</v>
      </c>
      <c r="H277" s="25">
        <v>1</v>
      </c>
      <c r="I277" s="25">
        <f>ROUND(H277*1.0, 2)</f>
      </c>
      <c r="J277" s="25">
        <f>ROUND(H277*0.95, 2)</f>
      </c>
      <c r="K277" s="25">
        <f>ROUND(H277*0.95, 2)</f>
      </c>
      <c r="L277" s="25">
        <f>ROUND(H277*1.05, 2)</f>
      </c>
      <c r="M277" s="25">
        <f>ROUND(H277*1.25, 2)</f>
      </c>
      <c r="N277" s="25">
        <f>ROUND(H277*1.55, 2)</f>
      </c>
      <c r="O277" s="25">
        <f>ROUND(H277*1.65, 2)</f>
      </c>
      <c r="P277" s="25">
        <f>SUM(I277:O277)</f>
      </c>
      <c r="Q277" s="25">
        <f>ROUND(H277*1.5, 2)</f>
      </c>
      <c r="R277" s="25">
        <f>ROUND(H277*2.0, 2)</f>
      </c>
      <c r="S277" s="12">
        <f>IF(F277&lt;=R277, "TRIGGER INDENT", "STOCK HEALTHY")</f>
      </c>
      <c r="T277" s="25">
        <f>IF(F277&lt;=R277, ROUND(MAX(H277, (I277+Q277)-F277), 2), 0)</f>
      </c>
    </row>
    <row r="278" ht="20" customHeight="1" spans="1:20" x14ac:dyDescent="0.25">
      <c r="A278" s="14" t="s">
        <v>701</v>
      </c>
      <c r="B278" s="14" t="s">
        <v>702</v>
      </c>
      <c r="C278" s="14" t="s">
        <v>221</v>
      </c>
      <c r="D278" s="14" t="s">
        <v>179</v>
      </c>
      <c r="E278" s="26">
        <v>120</v>
      </c>
      <c r="F278" s="27">
        <v>32</v>
      </c>
      <c r="G278" s="14" t="s">
        <v>61</v>
      </c>
      <c r="H278" s="27">
        <v>6.4</v>
      </c>
      <c r="I278" s="27">
        <f>ROUND(H278*1.0, 2)</f>
      </c>
      <c r="J278" s="27">
        <f>ROUND(H278*0.95, 2)</f>
      </c>
      <c r="K278" s="27">
        <f>ROUND(H278*0.95, 2)</f>
      </c>
      <c r="L278" s="27">
        <f>ROUND(H278*1.05, 2)</f>
      </c>
      <c r="M278" s="27">
        <f>ROUND(H278*1.25, 2)</f>
      </c>
      <c r="N278" s="27">
        <f>ROUND(H278*1.55, 2)</f>
      </c>
      <c r="O278" s="27">
        <f>ROUND(H278*1.65, 2)</f>
      </c>
      <c r="P278" s="27">
        <f>SUM(I278:O278)</f>
      </c>
      <c r="Q278" s="27">
        <f>ROUND(H278*1.5, 2)</f>
      </c>
      <c r="R278" s="27">
        <f>ROUND(H278*2.0, 2)</f>
      </c>
      <c r="S278" s="14">
        <f>IF(F278&lt;=R278, "TRIGGER INDENT", "STOCK HEALTHY")</f>
      </c>
      <c r="T278" s="27">
        <f>IF(F278&lt;=R278, ROUND(MAX(H278, (I278+Q278)-F278), 2), 0)</f>
      </c>
    </row>
    <row r="279" ht="20" customHeight="1" spans="1:20" x14ac:dyDescent="0.25">
      <c r="A279" s="12" t="s">
        <v>703</v>
      </c>
      <c r="B279" s="12" t="s">
        <v>704</v>
      </c>
      <c r="C279" s="12" t="s">
        <v>416</v>
      </c>
      <c r="D279" s="12" t="s">
        <v>179</v>
      </c>
      <c r="E279" s="24">
        <v>141.52999877929688</v>
      </c>
      <c r="F279" s="25">
        <v>176</v>
      </c>
      <c r="G279" s="12" t="s">
        <v>55</v>
      </c>
      <c r="H279" s="25">
        <v>21.12</v>
      </c>
      <c r="I279" s="25">
        <f>ROUND(H279*1.0, 2)</f>
      </c>
      <c r="J279" s="25">
        <f>ROUND(H279*0.95, 2)</f>
      </c>
      <c r="K279" s="25">
        <f>ROUND(H279*0.95, 2)</f>
      </c>
      <c r="L279" s="25">
        <f>ROUND(H279*1.05, 2)</f>
      </c>
      <c r="M279" s="25">
        <f>ROUND(H279*1.25, 2)</f>
      </c>
      <c r="N279" s="25">
        <f>ROUND(H279*1.55, 2)</f>
      </c>
      <c r="O279" s="25">
        <f>ROUND(H279*1.65, 2)</f>
      </c>
      <c r="P279" s="25">
        <f>SUM(I279:O279)</f>
      </c>
      <c r="Q279" s="25">
        <f>ROUND(H279*1.5, 2)</f>
      </c>
      <c r="R279" s="25">
        <f>ROUND(H279*2.0, 2)</f>
      </c>
      <c r="S279" s="12">
        <f>IF(F279&lt;=R279, "TRIGGER INDENT", "STOCK HEALTHY")</f>
      </c>
      <c r="T279" s="25">
        <f>IF(F279&lt;=R279, ROUND(MAX(H279, (I279+Q279)-F279), 2), 0)</f>
      </c>
    </row>
    <row r="280" ht="20" customHeight="1" spans="1:20" x14ac:dyDescent="0.25">
      <c r="A280" s="14" t="s">
        <v>705</v>
      </c>
      <c r="B280" s="14" t="s">
        <v>706</v>
      </c>
      <c r="C280" s="14" t="s">
        <v>416</v>
      </c>
      <c r="D280" s="14" t="s">
        <v>135</v>
      </c>
      <c r="E280" s="26">
        <v>140.69000244140625</v>
      </c>
      <c r="F280" s="27">
        <v>32</v>
      </c>
      <c r="G280" s="14" t="s">
        <v>55</v>
      </c>
      <c r="H280" s="27">
        <v>6.4</v>
      </c>
      <c r="I280" s="27">
        <f>ROUND(H280*1.0, 2)</f>
      </c>
      <c r="J280" s="27">
        <f>ROUND(H280*0.95, 2)</f>
      </c>
      <c r="K280" s="27">
        <f>ROUND(H280*0.95, 2)</f>
      </c>
      <c r="L280" s="27">
        <f>ROUND(H280*1.05, 2)</f>
      </c>
      <c r="M280" s="27">
        <f>ROUND(H280*1.25, 2)</f>
      </c>
      <c r="N280" s="27">
        <f>ROUND(H280*1.55, 2)</f>
      </c>
      <c r="O280" s="27">
        <f>ROUND(H280*1.65, 2)</f>
      </c>
      <c r="P280" s="27">
        <f>SUM(I280:O280)</f>
      </c>
      <c r="Q280" s="27">
        <f>ROUND(H280*1.5, 2)</f>
      </c>
      <c r="R280" s="27">
        <f>ROUND(H280*2.0, 2)</f>
      </c>
      <c r="S280" s="14">
        <f>IF(F280&lt;=R280, "TRIGGER INDENT", "STOCK HEALTHY")</f>
      </c>
      <c r="T280" s="27">
        <f>IF(F280&lt;=R280, ROUND(MAX(H280, (I280+Q280)-F280), 2), 0)</f>
      </c>
    </row>
    <row r="281" ht="20" customHeight="1" spans="1:20" x14ac:dyDescent="0.25">
      <c r="A281" s="12" t="s">
        <v>707</v>
      </c>
      <c r="B281" s="12" t="s">
        <v>708</v>
      </c>
      <c r="C281" s="12" t="s">
        <v>126</v>
      </c>
      <c r="D281" s="12" t="s">
        <v>127</v>
      </c>
      <c r="E281" s="24">
        <v>15</v>
      </c>
      <c r="F281" s="25">
        <v>640</v>
      </c>
      <c r="G281" s="12" t="s">
        <v>45</v>
      </c>
      <c r="H281" s="25">
        <v>51.2</v>
      </c>
      <c r="I281" s="25">
        <f>ROUND(H281*1.0, 2)</f>
      </c>
      <c r="J281" s="25">
        <f>ROUND(H281*0.95, 2)</f>
      </c>
      <c r="K281" s="25">
        <f>ROUND(H281*0.95, 2)</f>
      </c>
      <c r="L281" s="25">
        <f>ROUND(H281*1.05, 2)</f>
      </c>
      <c r="M281" s="25">
        <f>ROUND(H281*1.25, 2)</f>
      </c>
      <c r="N281" s="25">
        <f>ROUND(H281*1.55, 2)</f>
      </c>
      <c r="O281" s="25">
        <f>ROUND(H281*1.65, 2)</f>
      </c>
      <c r="P281" s="25">
        <f>SUM(I281:O281)</f>
      </c>
      <c r="Q281" s="25">
        <f>ROUND(H281*1.5, 2)</f>
      </c>
      <c r="R281" s="25">
        <f>ROUND(H281*2.0, 2)</f>
      </c>
      <c r="S281" s="12">
        <f>IF(F281&lt;=R281, "TRIGGER INDENT", "STOCK HEALTHY")</f>
      </c>
      <c r="T281" s="25">
        <f>IF(F281&lt;=R281, ROUND(MAX(H281, (I281+Q281)-F281), 2), 0)</f>
      </c>
    </row>
    <row r="282" ht="20" customHeight="1" spans="1:20" x14ac:dyDescent="0.25">
      <c r="A282" s="14" t="s">
        <v>709</v>
      </c>
      <c r="B282" s="14" t="s">
        <v>710</v>
      </c>
      <c r="C282" s="14" t="s">
        <v>126</v>
      </c>
      <c r="D282" s="14" t="s">
        <v>127</v>
      </c>
      <c r="E282" s="26">
        <v>13.329999923706055</v>
      </c>
      <c r="F282" s="27">
        <v>528</v>
      </c>
      <c r="G282" s="14" t="s">
        <v>45</v>
      </c>
      <c r="H282" s="27">
        <v>42.24</v>
      </c>
      <c r="I282" s="27">
        <f>ROUND(H282*1.0, 2)</f>
      </c>
      <c r="J282" s="27">
        <f>ROUND(H282*0.95, 2)</f>
      </c>
      <c r="K282" s="27">
        <f>ROUND(H282*0.95, 2)</f>
      </c>
      <c r="L282" s="27">
        <f>ROUND(H282*1.05, 2)</f>
      </c>
      <c r="M282" s="27">
        <f>ROUND(H282*1.25, 2)</f>
      </c>
      <c r="N282" s="27">
        <f>ROUND(H282*1.55, 2)</f>
      </c>
      <c r="O282" s="27">
        <f>ROUND(H282*1.65, 2)</f>
      </c>
      <c r="P282" s="27">
        <f>SUM(I282:O282)</f>
      </c>
      <c r="Q282" s="27">
        <f>ROUND(H282*1.5, 2)</f>
      </c>
      <c r="R282" s="27">
        <f>ROUND(H282*2.0, 2)</f>
      </c>
      <c r="S282" s="14">
        <f>IF(F282&lt;=R282, "TRIGGER INDENT", "STOCK HEALTHY")</f>
      </c>
      <c r="T282" s="27">
        <f>IF(F282&lt;=R282, ROUND(MAX(H282, (I282+Q282)-F282), 2), 0)</f>
      </c>
    </row>
    <row r="283" ht="20" customHeight="1" spans="1:20" x14ac:dyDescent="0.25">
      <c r="A283" s="12" t="s">
        <v>711</v>
      </c>
      <c r="B283" s="12" t="s">
        <v>712</v>
      </c>
      <c r="C283" s="12" t="s">
        <v>126</v>
      </c>
      <c r="D283" s="12" t="s">
        <v>127</v>
      </c>
      <c r="E283" s="24">
        <v>18</v>
      </c>
      <c r="F283" s="25">
        <v>896</v>
      </c>
      <c r="G283" s="12" t="s">
        <v>45</v>
      </c>
      <c r="H283" s="25">
        <v>71.68</v>
      </c>
      <c r="I283" s="25">
        <f>ROUND(H283*1.0, 2)</f>
      </c>
      <c r="J283" s="25">
        <f>ROUND(H283*0.95, 2)</f>
      </c>
      <c r="K283" s="25">
        <f>ROUND(H283*0.95, 2)</f>
      </c>
      <c r="L283" s="25">
        <f>ROUND(H283*1.05, 2)</f>
      </c>
      <c r="M283" s="25">
        <f>ROUND(H283*1.25, 2)</f>
      </c>
      <c r="N283" s="25">
        <f>ROUND(H283*1.55, 2)</f>
      </c>
      <c r="O283" s="25">
        <f>ROUND(H283*1.65, 2)</f>
      </c>
      <c r="P283" s="25">
        <f>SUM(I283:O283)</f>
      </c>
      <c r="Q283" s="25">
        <f>ROUND(H283*1.5, 2)</f>
      </c>
      <c r="R283" s="25">
        <f>ROUND(H283*2.0, 2)</f>
      </c>
      <c r="S283" s="12">
        <f>IF(F283&lt;=R283, "TRIGGER INDENT", "STOCK HEALTHY")</f>
      </c>
      <c r="T283" s="25">
        <f>IF(F283&lt;=R283, ROUND(MAX(H283, (I283+Q283)-F283), 2), 0)</f>
      </c>
    </row>
    <row r="284" ht="20" customHeight="1" spans="1:20" x14ac:dyDescent="0.25">
      <c r="A284" s="14" t="s">
        <v>713</v>
      </c>
      <c r="B284" s="14" t="s">
        <v>714</v>
      </c>
      <c r="C284" s="14" t="s">
        <v>154</v>
      </c>
      <c r="D284" s="14" t="s">
        <v>179</v>
      </c>
      <c r="E284" s="26">
        <v>90</v>
      </c>
      <c r="F284" s="27">
        <v>448</v>
      </c>
      <c r="G284" s="14" t="s">
        <v>61</v>
      </c>
      <c r="H284" s="27">
        <v>35.84</v>
      </c>
      <c r="I284" s="27">
        <f>ROUND(H284*1.0, 2)</f>
      </c>
      <c r="J284" s="27">
        <f>ROUND(H284*0.95, 2)</f>
      </c>
      <c r="K284" s="27">
        <f>ROUND(H284*0.95, 2)</f>
      </c>
      <c r="L284" s="27">
        <f>ROUND(H284*1.05, 2)</f>
      </c>
      <c r="M284" s="27">
        <f>ROUND(H284*1.25, 2)</f>
      </c>
      <c r="N284" s="27">
        <f>ROUND(H284*1.55, 2)</f>
      </c>
      <c r="O284" s="27">
        <f>ROUND(H284*1.65, 2)</f>
      </c>
      <c r="P284" s="27">
        <f>SUM(I284:O284)</f>
      </c>
      <c r="Q284" s="27">
        <f>ROUND(H284*1.5, 2)</f>
      </c>
      <c r="R284" s="27">
        <f>ROUND(H284*2.0, 2)</f>
      </c>
      <c r="S284" s="14">
        <f>IF(F284&lt;=R284, "TRIGGER INDENT", "STOCK HEALTHY")</f>
      </c>
      <c r="T284" s="27">
        <f>IF(F284&lt;=R284, ROUND(MAX(H284, (I284+Q284)-F284), 2), 0)</f>
      </c>
    </row>
    <row r="285" ht="20" customHeight="1" spans="1:20" x14ac:dyDescent="0.25">
      <c r="A285" s="12" t="s">
        <v>715</v>
      </c>
      <c r="B285" s="12" t="s">
        <v>716</v>
      </c>
      <c r="C285" s="12" t="s">
        <v>154</v>
      </c>
      <c r="D285" s="12" t="s">
        <v>127</v>
      </c>
      <c r="E285" s="24">
        <v>0.7699999809265137</v>
      </c>
      <c r="F285" s="25">
        <v>17920</v>
      </c>
      <c r="G285" s="12" t="s">
        <v>79</v>
      </c>
      <c r="H285" s="25">
        <v>896</v>
      </c>
      <c r="I285" s="25">
        <f>ROUND(H285*1.0, 2)</f>
      </c>
      <c r="J285" s="25">
        <f>ROUND(H285*0.95, 2)</f>
      </c>
      <c r="K285" s="25">
        <f>ROUND(H285*0.95, 2)</f>
      </c>
      <c r="L285" s="25">
        <f>ROUND(H285*1.05, 2)</f>
      </c>
      <c r="M285" s="25">
        <f>ROUND(H285*1.25, 2)</f>
      </c>
      <c r="N285" s="25">
        <f>ROUND(H285*1.55, 2)</f>
      </c>
      <c r="O285" s="25">
        <f>ROUND(H285*1.65, 2)</f>
      </c>
      <c r="P285" s="25">
        <f>SUM(I285:O285)</f>
      </c>
      <c r="Q285" s="25">
        <f>ROUND(H285*1.5, 2)</f>
      </c>
      <c r="R285" s="25">
        <f>ROUND(H285*2.0, 2)</f>
      </c>
      <c r="S285" s="12">
        <f>IF(F285&lt;=R285, "TRIGGER INDENT", "STOCK HEALTHY")</f>
      </c>
      <c r="T285" s="25">
        <f>IF(F285&lt;=R285, ROUND(MAX(H285, (I285+Q285)-F285), 2), 0)</f>
      </c>
    </row>
    <row r="286" ht="20" customHeight="1" spans="1:20" x14ac:dyDescent="0.25">
      <c r="A286" s="14" t="s">
        <v>717</v>
      </c>
      <c r="B286" s="14" t="s">
        <v>718</v>
      </c>
      <c r="C286" s="14" t="s">
        <v>154</v>
      </c>
      <c r="D286" s="14" t="s">
        <v>127</v>
      </c>
      <c r="E286" s="26">
        <v>5.5</v>
      </c>
      <c r="F286" s="27">
        <v>30304</v>
      </c>
      <c r="G286" s="14" t="s">
        <v>79</v>
      </c>
      <c r="H286" s="27">
        <v>1515.2</v>
      </c>
      <c r="I286" s="27">
        <f>ROUND(H286*1.0, 2)</f>
      </c>
      <c r="J286" s="27">
        <f>ROUND(H286*0.95, 2)</f>
      </c>
      <c r="K286" s="27">
        <f>ROUND(H286*0.95, 2)</f>
      </c>
      <c r="L286" s="27">
        <f>ROUND(H286*1.05, 2)</f>
      </c>
      <c r="M286" s="27">
        <f>ROUND(H286*1.25, 2)</f>
      </c>
      <c r="N286" s="27">
        <f>ROUND(H286*1.55, 2)</f>
      </c>
      <c r="O286" s="27">
        <f>ROUND(H286*1.65, 2)</f>
      </c>
      <c r="P286" s="27">
        <f>SUM(I286:O286)</f>
      </c>
      <c r="Q286" s="27">
        <f>ROUND(H286*1.5, 2)</f>
      </c>
      <c r="R286" s="27">
        <f>ROUND(H286*2.0, 2)</f>
      </c>
      <c r="S286" s="14">
        <f>IF(F286&lt;=R286, "TRIGGER INDENT", "STOCK HEALTHY")</f>
      </c>
      <c r="T286" s="27">
        <f>IF(F286&lt;=R286, ROUND(MAX(H286, (I286+Q286)-F286), 2), 0)</f>
      </c>
    </row>
    <row r="287" ht="20" customHeight="1" spans="1:20" x14ac:dyDescent="0.25">
      <c r="A287" s="12" t="s">
        <v>719</v>
      </c>
      <c r="B287" s="12" t="s">
        <v>720</v>
      </c>
      <c r="C287" s="12" t="s">
        <v>154</v>
      </c>
      <c r="D287" s="12" t="s">
        <v>127</v>
      </c>
      <c r="E287" s="24">
        <v>5.5</v>
      </c>
      <c r="F287" s="25">
        <v>29600</v>
      </c>
      <c r="G287" s="12" t="s">
        <v>79</v>
      </c>
      <c r="H287" s="25">
        <v>1480</v>
      </c>
      <c r="I287" s="25">
        <f>ROUND(H287*1.0, 2)</f>
      </c>
      <c r="J287" s="25">
        <f>ROUND(H287*0.95, 2)</f>
      </c>
      <c r="K287" s="25">
        <f>ROUND(H287*0.95, 2)</f>
      </c>
      <c r="L287" s="25">
        <f>ROUND(H287*1.05, 2)</f>
      </c>
      <c r="M287" s="25">
        <f>ROUND(H287*1.25, 2)</f>
      </c>
      <c r="N287" s="25">
        <f>ROUND(H287*1.55, 2)</f>
      </c>
      <c r="O287" s="25">
        <f>ROUND(H287*1.65, 2)</f>
      </c>
      <c r="P287" s="25">
        <f>SUM(I287:O287)</f>
      </c>
      <c r="Q287" s="25">
        <f>ROUND(H287*1.5, 2)</f>
      </c>
      <c r="R287" s="25">
        <f>ROUND(H287*2.0, 2)</f>
      </c>
      <c r="S287" s="12">
        <f>IF(F287&lt;=R287, "TRIGGER INDENT", "STOCK HEALTHY")</f>
      </c>
      <c r="T287" s="25">
        <f>IF(F287&lt;=R287, ROUND(MAX(H287, (I287+Q287)-F287), 2), 0)</f>
      </c>
    </row>
    <row r="288" ht="20" customHeight="1" spans="1:20" x14ac:dyDescent="0.25">
      <c r="A288" s="14" t="s">
        <v>721</v>
      </c>
      <c r="B288" s="14" t="s">
        <v>722</v>
      </c>
      <c r="C288" s="14" t="s">
        <v>126</v>
      </c>
      <c r="D288" s="14" t="s">
        <v>127</v>
      </c>
      <c r="E288" s="26">
        <v>4.039999961853027</v>
      </c>
      <c r="F288" s="27">
        <v>4000</v>
      </c>
      <c r="G288" s="14" t="s">
        <v>61</v>
      </c>
      <c r="H288" s="27">
        <v>200</v>
      </c>
      <c r="I288" s="27">
        <f>ROUND(H288*1.0, 2)</f>
      </c>
      <c r="J288" s="27">
        <f>ROUND(H288*0.95, 2)</f>
      </c>
      <c r="K288" s="27">
        <f>ROUND(H288*0.95, 2)</f>
      </c>
      <c r="L288" s="27">
        <f>ROUND(H288*1.05, 2)</f>
      </c>
      <c r="M288" s="27">
        <f>ROUND(H288*1.25, 2)</f>
      </c>
      <c r="N288" s="27">
        <f>ROUND(H288*1.55, 2)</f>
      </c>
      <c r="O288" s="27">
        <f>ROUND(H288*1.65, 2)</f>
      </c>
      <c r="P288" s="27">
        <f>SUM(I288:O288)</f>
      </c>
      <c r="Q288" s="27">
        <f>ROUND(H288*1.5, 2)</f>
      </c>
      <c r="R288" s="27">
        <f>ROUND(H288*2.0, 2)</f>
      </c>
      <c r="S288" s="14">
        <f>IF(F288&lt;=R288, "TRIGGER INDENT", "STOCK HEALTHY")</f>
      </c>
      <c r="T288" s="27">
        <f>IF(F288&lt;=R288, ROUND(MAX(H288, (I288+Q288)-F288), 2), 0)</f>
      </c>
    </row>
    <row r="289" ht="20" customHeight="1" spans="1:20" x14ac:dyDescent="0.25">
      <c r="A289" s="12" t="s">
        <v>723</v>
      </c>
      <c r="B289" s="12" t="s">
        <v>724</v>
      </c>
      <c r="C289" s="12" t="s">
        <v>126</v>
      </c>
      <c r="D289" s="12" t="s">
        <v>127</v>
      </c>
      <c r="E289" s="24">
        <v>350</v>
      </c>
      <c r="F289" s="25">
        <v>16</v>
      </c>
      <c r="G289" s="12" t="s">
        <v>61</v>
      </c>
      <c r="H289" s="25">
        <v>3.2</v>
      </c>
      <c r="I289" s="25">
        <f>ROUND(H289*1.0, 2)</f>
      </c>
      <c r="J289" s="25">
        <f>ROUND(H289*0.95, 2)</f>
      </c>
      <c r="K289" s="25">
        <f>ROUND(H289*0.95, 2)</f>
      </c>
      <c r="L289" s="25">
        <f>ROUND(H289*1.05, 2)</f>
      </c>
      <c r="M289" s="25">
        <f>ROUND(H289*1.25, 2)</f>
      </c>
      <c r="N289" s="25">
        <f>ROUND(H289*1.55, 2)</f>
      </c>
      <c r="O289" s="25">
        <f>ROUND(H289*1.65, 2)</f>
      </c>
      <c r="P289" s="25">
        <f>SUM(I289:O289)</f>
      </c>
      <c r="Q289" s="25">
        <f>ROUND(H289*1.5, 2)</f>
      </c>
      <c r="R289" s="25">
        <f>ROUND(H289*2.0, 2)</f>
      </c>
      <c r="S289" s="12">
        <f>IF(F289&lt;=R289, "TRIGGER INDENT", "STOCK HEALTHY")</f>
      </c>
      <c r="T289" s="25">
        <f>IF(F289&lt;=R289, ROUND(MAX(H289, (I289+Q289)-F289), 2), 0)</f>
      </c>
    </row>
    <row r="290" ht="20" customHeight="1" spans="1:20" x14ac:dyDescent="0.25">
      <c r="A290" s="14" t="s">
        <v>725</v>
      </c>
      <c r="B290" s="14" t="s">
        <v>726</v>
      </c>
      <c r="C290" s="14" t="s">
        <v>126</v>
      </c>
      <c r="D290" s="14" t="s">
        <v>127</v>
      </c>
      <c r="E290" s="26">
        <v>45</v>
      </c>
      <c r="F290" s="27">
        <v>656</v>
      </c>
      <c r="G290" s="14" t="s">
        <v>45</v>
      </c>
      <c r="H290" s="27">
        <v>52.48</v>
      </c>
      <c r="I290" s="27">
        <f>ROUND(H290*1.0, 2)</f>
      </c>
      <c r="J290" s="27">
        <f>ROUND(H290*0.95, 2)</f>
      </c>
      <c r="K290" s="27">
        <f>ROUND(H290*0.95, 2)</f>
      </c>
      <c r="L290" s="27">
        <f>ROUND(H290*1.05, 2)</f>
      </c>
      <c r="M290" s="27">
        <f>ROUND(H290*1.25, 2)</f>
      </c>
      <c r="N290" s="27">
        <f>ROUND(H290*1.55, 2)</f>
      </c>
      <c r="O290" s="27">
        <f>ROUND(H290*1.65, 2)</f>
      </c>
      <c r="P290" s="27">
        <f>SUM(I290:O290)</f>
      </c>
      <c r="Q290" s="27">
        <f>ROUND(H290*1.5, 2)</f>
      </c>
      <c r="R290" s="27">
        <f>ROUND(H290*2.0, 2)</f>
      </c>
      <c r="S290" s="14">
        <f>IF(F290&lt;=R290, "TRIGGER INDENT", "STOCK HEALTHY")</f>
      </c>
      <c r="T290" s="27">
        <f>IF(F290&lt;=R290, ROUND(MAX(H290, (I290+Q290)-F290), 2), 0)</f>
      </c>
    </row>
    <row r="291" ht="20" customHeight="1" spans="1:20" x14ac:dyDescent="0.25">
      <c r="A291" s="12" t="s">
        <v>727</v>
      </c>
      <c r="B291" s="12" t="s">
        <v>728</v>
      </c>
      <c r="C291" s="12" t="s">
        <v>126</v>
      </c>
      <c r="D291" s="12" t="s">
        <v>127</v>
      </c>
      <c r="E291" s="24">
        <v>50</v>
      </c>
      <c r="F291" s="25">
        <v>272</v>
      </c>
      <c r="G291" s="12" t="s">
        <v>97</v>
      </c>
      <c r="H291" s="25">
        <v>21.76</v>
      </c>
      <c r="I291" s="25">
        <f>ROUND(H291*1.0, 2)</f>
      </c>
      <c r="J291" s="25">
        <f>ROUND(H291*0.95, 2)</f>
      </c>
      <c r="K291" s="25">
        <f>ROUND(H291*0.95, 2)</f>
      </c>
      <c r="L291" s="25">
        <f>ROUND(H291*1.05, 2)</f>
      </c>
      <c r="M291" s="25">
        <f>ROUND(H291*1.25, 2)</f>
      </c>
      <c r="N291" s="25">
        <f>ROUND(H291*1.55, 2)</f>
      </c>
      <c r="O291" s="25">
        <f>ROUND(H291*1.65, 2)</f>
      </c>
      <c r="P291" s="25">
        <f>SUM(I291:O291)</f>
      </c>
      <c r="Q291" s="25">
        <f>ROUND(H291*1.5, 2)</f>
      </c>
      <c r="R291" s="25">
        <f>ROUND(H291*2.0, 2)</f>
      </c>
      <c r="S291" s="12">
        <f>IF(F291&lt;=R291, "TRIGGER INDENT", "STOCK HEALTHY")</f>
      </c>
      <c r="T291" s="25">
        <f>IF(F291&lt;=R291, ROUND(MAX(H291, (I291+Q291)-F291), 2), 0)</f>
      </c>
    </row>
    <row r="292" ht="20" customHeight="1" spans="1:20" x14ac:dyDescent="0.25">
      <c r="A292" s="14" t="s">
        <v>729</v>
      </c>
      <c r="B292" s="14" t="s">
        <v>730</v>
      </c>
      <c r="C292" s="14" t="s">
        <v>126</v>
      </c>
      <c r="D292" s="14" t="s">
        <v>127</v>
      </c>
      <c r="E292" s="26">
        <v>65</v>
      </c>
      <c r="F292" s="27">
        <v>416</v>
      </c>
      <c r="G292" s="14" t="s">
        <v>97</v>
      </c>
      <c r="H292" s="27">
        <v>33.28</v>
      </c>
      <c r="I292" s="27">
        <f>ROUND(H292*1.0, 2)</f>
      </c>
      <c r="J292" s="27">
        <f>ROUND(H292*0.95, 2)</f>
      </c>
      <c r="K292" s="27">
        <f>ROUND(H292*0.95, 2)</f>
      </c>
      <c r="L292" s="27">
        <f>ROUND(H292*1.05, 2)</f>
      </c>
      <c r="M292" s="27">
        <f>ROUND(H292*1.25, 2)</f>
      </c>
      <c r="N292" s="27">
        <f>ROUND(H292*1.55, 2)</f>
      </c>
      <c r="O292" s="27">
        <f>ROUND(H292*1.65, 2)</f>
      </c>
      <c r="P292" s="27">
        <f>SUM(I292:O292)</f>
      </c>
      <c r="Q292" s="27">
        <f>ROUND(H292*1.5, 2)</f>
      </c>
      <c r="R292" s="27">
        <f>ROUND(H292*2.0, 2)</f>
      </c>
      <c r="S292" s="14">
        <f>IF(F292&lt;=R292, "TRIGGER INDENT", "STOCK HEALTHY")</f>
      </c>
      <c r="T292" s="27">
        <f>IF(F292&lt;=R292, ROUND(MAX(H292, (I292+Q292)-F292), 2), 0)</f>
      </c>
    </row>
    <row r="293" ht="20" customHeight="1" spans="1:20" x14ac:dyDescent="0.25">
      <c r="A293" s="12" t="s">
        <v>731</v>
      </c>
      <c r="B293" s="12" t="s">
        <v>732</v>
      </c>
      <c r="C293" s="12" t="s">
        <v>126</v>
      </c>
      <c r="D293" s="12" t="s">
        <v>127</v>
      </c>
      <c r="E293" s="24">
        <v>90</v>
      </c>
      <c r="F293" s="25">
        <v>208</v>
      </c>
      <c r="G293" s="12" t="s">
        <v>67</v>
      </c>
      <c r="H293" s="25">
        <v>16.64</v>
      </c>
      <c r="I293" s="25">
        <f>ROUND(H293*1.0, 2)</f>
      </c>
      <c r="J293" s="25">
        <f>ROUND(H293*0.95, 2)</f>
      </c>
      <c r="K293" s="25">
        <f>ROUND(H293*0.95, 2)</f>
      </c>
      <c r="L293" s="25">
        <f>ROUND(H293*1.05, 2)</f>
      </c>
      <c r="M293" s="25">
        <f>ROUND(H293*1.25, 2)</f>
      </c>
      <c r="N293" s="25">
        <f>ROUND(H293*1.55, 2)</f>
      </c>
      <c r="O293" s="25">
        <f>ROUND(H293*1.65, 2)</f>
      </c>
      <c r="P293" s="25">
        <f>SUM(I293:O293)</f>
      </c>
      <c r="Q293" s="25">
        <f>ROUND(H293*1.5, 2)</f>
      </c>
      <c r="R293" s="25">
        <f>ROUND(H293*2.0, 2)</f>
      </c>
      <c r="S293" s="12">
        <f>IF(F293&lt;=R293, "TRIGGER INDENT", "STOCK HEALTHY")</f>
      </c>
      <c r="T293" s="25">
        <f>IF(F293&lt;=R293, ROUND(MAX(H293, (I293+Q293)-F293), 2), 0)</f>
      </c>
    </row>
    <row r="294" ht="20" customHeight="1" spans="1:20" x14ac:dyDescent="0.25">
      <c r="A294" s="14" t="s">
        <v>733</v>
      </c>
      <c r="B294" s="14" t="s">
        <v>734</v>
      </c>
      <c r="C294" s="14" t="s">
        <v>126</v>
      </c>
      <c r="D294" s="14" t="s">
        <v>127</v>
      </c>
      <c r="E294" s="26">
        <v>120</v>
      </c>
      <c r="F294" s="27">
        <v>192</v>
      </c>
      <c r="G294" s="14" t="s">
        <v>45</v>
      </c>
      <c r="H294" s="27">
        <v>23.04</v>
      </c>
      <c r="I294" s="27">
        <f>ROUND(H294*1.0, 2)</f>
      </c>
      <c r="J294" s="27">
        <f>ROUND(H294*0.95, 2)</f>
      </c>
      <c r="K294" s="27">
        <f>ROUND(H294*0.95, 2)</f>
      </c>
      <c r="L294" s="27">
        <f>ROUND(H294*1.05, 2)</f>
      </c>
      <c r="M294" s="27">
        <f>ROUND(H294*1.25, 2)</f>
      </c>
      <c r="N294" s="27">
        <f>ROUND(H294*1.55, 2)</f>
      </c>
      <c r="O294" s="27">
        <f>ROUND(H294*1.65, 2)</f>
      </c>
      <c r="P294" s="27">
        <f>SUM(I294:O294)</f>
      </c>
      <c r="Q294" s="27">
        <f>ROUND(H294*1.5, 2)</f>
      </c>
      <c r="R294" s="27">
        <f>ROUND(H294*2.0, 2)</f>
      </c>
      <c r="S294" s="14">
        <f>IF(F294&lt;=R294, "TRIGGER INDENT", "STOCK HEALTHY")</f>
      </c>
      <c r="T294" s="27">
        <f>IF(F294&lt;=R294, ROUND(MAX(H294, (I294+Q294)-F294), 2), 0)</f>
      </c>
    </row>
    <row r="295" ht="20" customHeight="1" spans="1:20" x14ac:dyDescent="0.25">
      <c r="A295" s="12" t="s">
        <v>735</v>
      </c>
      <c r="B295" s="12" t="s">
        <v>736</v>
      </c>
      <c r="C295" s="12" t="s">
        <v>395</v>
      </c>
      <c r="D295" s="12" t="s">
        <v>179</v>
      </c>
      <c r="E295" s="24">
        <v>34.849998474121094</v>
      </c>
      <c r="F295" s="25">
        <v>272</v>
      </c>
      <c r="G295" s="12" t="s">
        <v>85</v>
      </c>
      <c r="H295" s="25">
        <v>21.76</v>
      </c>
      <c r="I295" s="25">
        <f>ROUND(H295*1.0, 2)</f>
      </c>
      <c r="J295" s="25">
        <f>ROUND(H295*0.95, 2)</f>
      </c>
      <c r="K295" s="25">
        <f>ROUND(H295*0.95, 2)</f>
      </c>
      <c r="L295" s="25">
        <f>ROUND(H295*1.05, 2)</f>
      </c>
      <c r="M295" s="25">
        <f>ROUND(H295*1.25, 2)</f>
      </c>
      <c r="N295" s="25">
        <f>ROUND(H295*1.55, 2)</f>
      </c>
      <c r="O295" s="25">
        <f>ROUND(H295*1.65, 2)</f>
      </c>
      <c r="P295" s="25">
        <f>SUM(I295:O295)</f>
      </c>
      <c r="Q295" s="25">
        <f>ROUND(H295*1.5, 2)</f>
      </c>
      <c r="R295" s="25">
        <f>ROUND(H295*2.0, 2)</f>
      </c>
      <c r="S295" s="12">
        <f>IF(F295&lt;=R295, "TRIGGER INDENT", "STOCK HEALTHY")</f>
      </c>
      <c r="T295" s="25">
        <f>IF(F295&lt;=R295, ROUND(MAX(H295, (I295+Q295)-F295), 2), 0)</f>
      </c>
    </row>
    <row r="296" ht="20" customHeight="1" spans="1:20" x14ac:dyDescent="0.25">
      <c r="A296" s="14" t="s">
        <v>737</v>
      </c>
      <c r="B296" s="14" t="s">
        <v>738</v>
      </c>
      <c r="C296" s="14" t="s">
        <v>379</v>
      </c>
      <c r="D296" s="14" t="s">
        <v>305</v>
      </c>
      <c r="E296" s="26">
        <v>41.470001220703125</v>
      </c>
      <c r="F296" s="27">
        <v>1408</v>
      </c>
      <c r="G296" s="14" t="s">
        <v>73</v>
      </c>
      <c r="H296" s="27">
        <v>70.4</v>
      </c>
      <c r="I296" s="27">
        <f>ROUND(H296*1.0, 2)</f>
      </c>
      <c r="J296" s="27">
        <f>ROUND(H296*0.95, 2)</f>
      </c>
      <c r="K296" s="27">
        <f>ROUND(H296*0.95, 2)</f>
      </c>
      <c r="L296" s="27">
        <f>ROUND(H296*1.05, 2)</f>
      </c>
      <c r="M296" s="27">
        <f>ROUND(H296*1.25, 2)</f>
      </c>
      <c r="N296" s="27">
        <f>ROUND(H296*1.55, 2)</f>
      </c>
      <c r="O296" s="27">
        <f>ROUND(H296*1.65, 2)</f>
      </c>
      <c r="P296" s="27">
        <f>SUM(I296:O296)</f>
      </c>
      <c r="Q296" s="27">
        <f>ROUND(H296*1.5, 2)</f>
      </c>
      <c r="R296" s="27">
        <f>ROUND(H296*2.0, 2)</f>
      </c>
      <c r="S296" s="14">
        <f>IF(F296&lt;=R296, "TRIGGER INDENT", "STOCK HEALTHY")</f>
      </c>
      <c r="T296" s="27">
        <f>IF(F296&lt;=R296, ROUND(MAX(H296, (I296+Q296)-F296), 2), 0)</f>
      </c>
    </row>
    <row r="297" ht="20" customHeight="1" spans="1:20" x14ac:dyDescent="0.25">
      <c r="A297" s="12" t="s">
        <v>739</v>
      </c>
      <c r="B297" s="12" t="s">
        <v>740</v>
      </c>
      <c r="C297" s="12" t="s">
        <v>154</v>
      </c>
      <c r="D297" s="12" t="s">
        <v>127</v>
      </c>
      <c r="E297" s="24">
        <v>2.5799999237060547</v>
      </c>
      <c r="F297" s="25">
        <v>26400</v>
      </c>
      <c r="G297" s="12" t="s">
        <v>79</v>
      </c>
      <c r="H297" s="25">
        <v>1320</v>
      </c>
      <c r="I297" s="25">
        <f>ROUND(H297*1.0, 2)</f>
      </c>
      <c r="J297" s="25">
        <f>ROUND(H297*0.95, 2)</f>
      </c>
      <c r="K297" s="25">
        <f>ROUND(H297*0.95, 2)</f>
      </c>
      <c r="L297" s="25">
        <f>ROUND(H297*1.05, 2)</f>
      </c>
      <c r="M297" s="25">
        <f>ROUND(H297*1.25, 2)</f>
      </c>
      <c r="N297" s="25">
        <f>ROUND(H297*1.55, 2)</f>
      </c>
      <c r="O297" s="25">
        <f>ROUND(H297*1.65, 2)</f>
      </c>
      <c r="P297" s="25">
        <f>SUM(I297:O297)</f>
      </c>
      <c r="Q297" s="25">
        <f>ROUND(H297*1.5, 2)</f>
      </c>
      <c r="R297" s="25">
        <f>ROUND(H297*2.0, 2)</f>
      </c>
      <c r="S297" s="12">
        <f>IF(F297&lt;=R297, "TRIGGER INDENT", "STOCK HEALTHY")</f>
      </c>
      <c r="T297" s="25">
        <f>IF(F297&lt;=R297, ROUND(MAX(H297, (I297+Q297)-F297), 2), 0)</f>
      </c>
    </row>
    <row r="298" ht="20" customHeight="1" spans="1:20" x14ac:dyDescent="0.25">
      <c r="A298" s="14" t="s">
        <v>741</v>
      </c>
      <c r="B298" s="14" t="s">
        <v>742</v>
      </c>
      <c r="C298" s="14" t="s">
        <v>314</v>
      </c>
      <c r="D298" s="14" t="s">
        <v>135</v>
      </c>
      <c r="E298" s="26">
        <v>16</v>
      </c>
      <c r="F298" s="27">
        <v>128</v>
      </c>
      <c r="G298" s="14" t="s">
        <v>61</v>
      </c>
      <c r="H298" s="27">
        <v>15.36</v>
      </c>
      <c r="I298" s="27">
        <f>ROUND(H298*1.0, 2)</f>
      </c>
      <c r="J298" s="27">
        <f>ROUND(H298*0.95, 2)</f>
      </c>
      <c r="K298" s="27">
        <f>ROUND(H298*0.95, 2)</f>
      </c>
      <c r="L298" s="27">
        <f>ROUND(H298*1.05, 2)</f>
      </c>
      <c r="M298" s="27">
        <f>ROUND(H298*1.25, 2)</f>
      </c>
      <c r="N298" s="27">
        <f>ROUND(H298*1.55, 2)</f>
      </c>
      <c r="O298" s="27">
        <f>ROUND(H298*1.65, 2)</f>
      </c>
      <c r="P298" s="27">
        <f>SUM(I298:O298)</f>
      </c>
      <c r="Q298" s="27">
        <f>ROUND(H298*1.5, 2)</f>
      </c>
      <c r="R298" s="27">
        <f>ROUND(H298*2.0, 2)</f>
      </c>
      <c r="S298" s="14">
        <f>IF(F298&lt;=R298, "TRIGGER INDENT", "STOCK HEALTHY")</f>
      </c>
      <c r="T298" s="27">
        <f>IF(F298&lt;=R298, ROUND(MAX(H298, (I298+Q298)-F298), 2), 0)</f>
      </c>
    </row>
    <row r="299" ht="20" customHeight="1" spans="1:20" x14ac:dyDescent="0.25">
      <c r="A299" s="12" t="s">
        <v>743</v>
      </c>
      <c r="B299" s="12" t="s">
        <v>744</v>
      </c>
      <c r="C299" s="12" t="s">
        <v>245</v>
      </c>
      <c r="D299" s="12" t="s">
        <v>305</v>
      </c>
      <c r="E299" s="24">
        <v>183.5399932861328</v>
      </c>
      <c r="F299" s="25">
        <v>144</v>
      </c>
      <c r="G299" s="12" t="s">
        <v>45</v>
      </c>
      <c r="H299" s="25">
        <v>17.28</v>
      </c>
      <c r="I299" s="25">
        <f>ROUND(H299*1.0, 2)</f>
      </c>
      <c r="J299" s="25">
        <f>ROUND(H299*0.95, 2)</f>
      </c>
      <c r="K299" s="25">
        <f>ROUND(H299*0.95, 2)</f>
      </c>
      <c r="L299" s="25">
        <f>ROUND(H299*1.05, 2)</f>
      </c>
      <c r="M299" s="25">
        <f>ROUND(H299*1.25, 2)</f>
      </c>
      <c r="N299" s="25">
        <f>ROUND(H299*1.55, 2)</f>
      </c>
      <c r="O299" s="25">
        <f>ROUND(H299*1.65, 2)</f>
      </c>
      <c r="P299" s="25">
        <f>SUM(I299:O299)</f>
      </c>
      <c r="Q299" s="25">
        <f>ROUND(H299*1.5, 2)</f>
      </c>
      <c r="R299" s="25">
        <f>ROUND(H299*2.0, 2)</f>
      </c>
      <c r="S299" s="12">
        <f>IF(F299&lt;=R299, "TRIGGER INDENT", "STOCK HEALTHY")</f>
      </c>
      <c r="T299" s="25">
        <f>IF(F299&lt;=R299, ROUND(MAX(H299, (I299+Q299)-F299), 2), 0)</f>
      </c>
    </row>
    <row r="300" ht="20" customHeight="1" spans="1:20" x14ac:dyDescent="0.25">
      <c r="A300" s="14" t="s">
        <v>745</v>
      </c>
      <c r="B300" s="14" t="s">
        <v>746</v>
      </c>
      <c r="C300" s="14" t="s">
        <v>245</v>
      </c>
      <c r="D300" s="14" t="s">
        <v>305</v>
      </c>
      <c r="E300" s="26">
        <v>166.1199951171875</v>
      </c>
      <c r="F300" s="27">
        <v>1.5100002</v>
      </c>
      <c r="G300" s="14" t="s">
        <v>45</v>
      </c>
      <c r="H300" s="27">
        <v>1</v>
      </c>
      <c r="I300" s="27">
        <f>ROUND(H300*1.0, 2)</f>
      </c>
      <c r="J300" s="27">
        <f>ROUND(H300*0.95, 2)</f>
      </c>
      <c r="K300" s="27">
        <f>ROUND(H300*0.95, 2)</f>
      </c>
      <c r="L300" s="27">
        <f>ROUND(H300*1.05, 2)</f>
      </c>
      <c r="M300" s="27">
        <f>ROUND(H300*1.25, 2)</f>
      </c>
      <c r="N300" s="27">
        <f>ROUND(H300*1.55, 2)</f>
      </c>
      <c r="O300" s="27">
        <f>ROUND(H300*1.65, 2)</f>
      </c>
      <c r="P300" s="27">
        <f>SUM(I300:O300)</f>
      </c>
      <c r="Q300" s="27">
        <f>ROUND(H300*1.5, 2)</f>
      </c>
      <c r="R300" s="27">
        <f>ROUND(H300*2.0, 2)</f>
      </c>
      <c r="S300" s="14">
        <f>IF(F300&lt;=R300, "TRIGGER INDENT", "STOCK HEALTHY")</f>
      </c>
      <c r="T300" s="27">
        <f>IF(F300&lt;=R300, ROUND(MAX(H300, (I300+Q300)-F300), 2), 0)</f>
      </c>
    </row>
    <row r="301" ht="20" customHeight="1" spans="1:20" x14ac:dyDescent="0.25">
      <c r="A301" s="12" t="s">
        <v>747</v>
      </c>
      <c r="B301" s="12" t="s">
        <v>748</v>
      </c>
      <c r="C301" s="12" t="s">
        <v>154</v>
      </c>
      <c r="D301" s="12" t="s">
        <v>139</v>
      </c>
      <c r="E301" s="24">
        <v>220</v>
      </c>
      <c r="F301" s="25">
        <v>192</v>
      </c>
      <c r="G301" s="12" t="s">
        <v>73</v>
      </c>
      <c r="H301" s="25">
        <v>23.04</v>
      </c>
      <c r="I301" s="25">
        <f>ROUND(H301*1.0, 2)</f>
      </c>
      <c r="J301" s="25">
        <f>ROUND(H301*0.95, 2)</f>
      </c>
      <c r="K301" s="25">
        <f>ROUND(H301*0.95, 2)</f>
      </c>
      <c r="L301" s="25">
        <f>ROUND(H301*1.05, 2)</f>
      </c>
      <c r="M301" s="25">
        <f>ROUND(H301*1.25, 2)</f>
      </c>
      <c r="N301" s="25">
        <f>ROUND(H301*1.55, 2)</f>
      </c>
      <c r="O301" s="25">
        <f>ROUND(H301*1.65, 2)</f>
      </c>
      <c r="P301" s="25">
        <f>SUM(I301:O301)</f>
      </c>
      <c r="Q301" s="25">
        <f>ROUND(H301*1.5, 2)</f>
      </c>
      <c r="R301" s="25">
        <f>ROUND(H301*2.0, 2)</f>
      </c>
      <c r="S301" s="12">
        <f>IF(F301&lt;=R301, "TRIGGER INDENT", "STOCK HEALTHY")</f>
      </c>
      <c r="T301" s="25">
        <f>IF(F301&lt;=R301, ROUND(MAX(H301, (I301+Q301)-F301), 2), 0)</f>
      </c>
    </row>
    <row r="302" ht="20" customHeight="1" spans="1:20" x14ac:dyDescent="0.25">
      <c r="A302" s="14" t="s">
        <v>749</v>
      </c>
      <c r="B302" s="14" t="s">
        <v>750</v>
      </c>
      <c r="C302" s="14" t="s">
        <v>154</v>
      </c>
      <c r="D302" s="14" t="s">
        <v>139</v>
      </c>
      <c r="E302" s="26">
        <v>94.70999908447266</v>
      </c>
      <c r="F302" s="27">
        <v>168</v>
      </c>
      <c r="G302" s="14" t="s">
        <v>73</v>
      </c>
      <c r="H302" s="27">
        <v>20.16</v>
      </c>
      <c r="I302" s="27">
        <f>ROUND(H302*1.0, 2)</f>
      </c>
      <c r="J302" s="27">
        <f>ROUND(H302*0.95, 2)</f>
      </c>
      <c r="K302" s="27">
        <f>ROUND(H302*0.95, 2)</f>
      </c>
      <c r="L302" s="27">
        <f>ROUND(H302*1.05, 2)</f>
      </c>
      <c r="M302" s="27">
        <f>ROUND(H302*1.25, 2)</f>
      </c>
      <c r="N302" s="27">
        <f>ROUND(H302*1.55, 2)</f>
      </c>
      <c r="O302" s="27">
        <f>ROUND(H302*1.65, 2)</f>
      </c>
      <c r="P302" s="27">
        <f>SUM(I302:O302)</f>
      </c>
      <c r="Q302" s="27">
        <f>ROUND(H302*1.5, 2)</f>
      </c>
      <c r="R302" s="27">
        <f>ROUND(H302*2.0, 2)</f>
      </c>
      <c r="S302" s="14">
        <f>IF(F302&lt;=R302, "TRIGGER INDENT", "STOCK HEALTHY")</f>
      </c>
      <c r="T302" s="27">
        <f>IF(F302&lt;=R302, ROUND(MAX(H302, (I302+Q302)-F302), 2), 0)</f>
      </c>
    </row>
    <row r="303" ht="20" customHeight="1" spans="1:20" x14ac:dyDescent="0.25">
      <c r="A303" s="12" t="s">
        <v>751</v>
      </c>
      <c r="B303" s="12" t="s">
        <v>752</v>
      </c>
      <c r="C303" s="12" t="s">
        <v>416</v>
      </c>
      <c r="D303" s="12" t="s">
        <v>135</v>
      </c>
      <c r="E303" s="24">
        <v>35.41999816894531</v>
      </c>
      <c r="F303" s="25">
        <v>80</v>
      </c>
      <c r="G303" s="12" t="s">
        <v>67</v>
      </c>
      <c r="H303" s="25">
        <v>9.6</v>
      </c>
      <c r="I303" s="25">
        <f>ROUND(H303*1.0, 2)</f>
      </c>
      <c r="J303" s="25">
        <f>ROUND(H303*0.95, 2)</f>
      </c>
      <c r="K303" s="25">
        <f>ROUND(H303*0.95, 2)</f>
      </c>
      <c r="L303" s="25">
        <f>ROUND(H303*1.05, 2)</f>
      </c>
      <c r="M303" s="25">
        <f>ROUND(H303*1.25, 2)</f>
      </c>
      <c r="N303" s="25">
        <f>ROUND(H303*1.55, 2)</f>
      </c>
      <c r="O303" s="25">
        <f>ROUND(H303*1.65, 2)</f>
      </c>
      <c r="P303" s="25">
        <f>SUM(I303:O303)</f>
      </c>
      <c r="Q303" s="25">
        <f>ROUND(H303*1.5, 2)</f>
      </c>
      <c r="R303" s="25">
        <f>ROUND(H303*2.0, 2)</f>
      </c>
      <c r="S303" s="12">
        <f>IF(F303&lt;=R303, "TRIGGER INDENT", "STOCK HEALTHY")</f>
      </c>
      <c r="T303" s="25">
        <f>IF(F303&lt;=R303, ROUND(MAX(H303, (I303+Q303)-F303), 2), 0)</f>
      </c>
    </row>
    <row r="304" ht="20" customHeight="1" spans="1:20" x14ac:dyDescent="0.25">
      <c r="A304" s="14" t="s">
        <v>753</v>
      </c>
      <c r="B304" s="14" t="s">
        <v>754</v>
      </c>
      <c r="C304" s="14" t="s">
        <v>238</v>
      </c>
      <c r="D304" s="14" t="s">
        <v>305</v>
      </c>
      <c r="E304" s="26">
        <v>64</v>
      </c>
      <c r="F304" s="27">
        <v>320</v>
      </c>
      <c r="G304" s="14" t="s">
        <v>85</v>
      </c>
      <c r="H304" s="27">
        <v>25.6</v>
      </c>
      <c r="I304" s="27">
        <f>ROUND(H304*1.0, 2)</f>
      </c>
      <c r="J304" s="27">
        <f>ROUND(H304*0.95, 2)</f>
      </c>
      <c r="K304" s="27">
        <f>ROUND(H304*0.95, 2)</f>
      </c>
      <c r="L304" s="27">
        <f>ROUND(H304*1.05, 2)</f>
      </c>
      <c r="M304" s="27">
        <f>ROUND(H304*1.25, 2)</f>
      </c>
      <c r="N304" s="27">
        <f>ROUND(H304*1.55, 2)</f>
      </c>
      <c r="O304" s="27">
        <f>ROUND(H304*1.65, 2)</f>
      </c>
      <c r="P304" s="27">
        <f>SUM(I304:O304)</f>
      </c>
      <c r="Q304" s="27">
        <f>ROUND(H304*1.5, 2)</f>
      </c>
      <c r="R304" s="27">
        <f>ROUND(H304*2.0, 2)</f>
      </c>
      <c r="S304" s="14">
        <f>IF(F304&lt;=R304, "TRIGGER INDENT", "STOCK HEALTHY")</f>
      </c>
      <c r="T304" s="27">
        <f>IF(F304&lt;=R304, ROUND(MAX(H304, (I304+Q304)-F304), 2), 0)</f>
      </c>
    </row>
    <row r="305" ht="20" customHeight="1" spans="1:20" x14ac:dyDescent="0.25">
      <c r="A305" s="12" t="s">
        <v>755</v>
      </c>
      <c r="B305" s="12" t="s">
        <v>756</v>
      </c>
      <c r="C305" s="12" t="s">
        <v>126</v>
      </c>
      <c r="D305" s="12" t="s">
        <v>127</v>
      </c>
      <c r="E305" s="24">
        <v>11.670000076293945</v>
      </c>
      <c r="F305" s="25">
        <v>752</v>
      </c>
      <c r="G305" s="12" t="s">
        <v>73</v>
      </c>
      <c r="H305" s="25">
        <v>60.16</v>
      </c>
      <c r="I305" s="25">
        <f>ROUND(H305*1.0, 2)</f>
      </c>
      <c r="J305" s="25">
        <f>ROUND(H305*0.95, 2)</f>
      </c>
      <c r="K305" s="25">
        <f>ROUND(H305*0.95, 2)</f>
      </c>
      <c r="L305" s="25">
        <f>ROUND(H305*1.05, 2)</f>
      </c>
      <c r="M305" s="25">
        <f>ROUND(H305*1.25, 2)</f>
      </c>
      <c r="N305" s="25">
        <f>ROUND(H305*1.55, 2)</f>
      </c>
      <c r="O305" s="25">
        <f>ROUND(H305*1.65, 2)</f>
      </c>
      <c r="P305" s="25">
        <f>SUM(I305:O305)</f>
      </c>
      <c r="Q305" s="25">
        <f>ROUND(H305*1.5, 2)</f>
      </c>
      <c r="R305" s="25">
        <f>ROUND(H305*2.0, 2)</f>
      </c>
      <c r="S305" s="12">
        <f>IF(F305&lt;=R305, "TRIGGER INDENT", "STOCK HEALTHY")</f>
      </c>
      <c r="T305" s="25">
        <f>IF(F305&lt;=R305, ROUND(MAX(H305, (I305+Q305)-F305), 2), 0)</f>
      </c>
    </row>
    <row r="306" ht="20" customHeight="1" spans="1:20" x14ac:dyDescent="0.25">
      <c r="A306" s="14" t="s">
        <v>757</v>
      </c>
      <c r="B306" s="14" t="s">
        <v>758</v>
      </c>
      <c r="C306" s="14" t="s">
        <v>382</v>
      </c>
      <c r="D306" s="14" t="s">
        <v>179</v>
      </c>
      <c r="E306" s="26">
        <v>296.1400146484375</v>
      </c>
      <c r="F306" s="27">
        <v>160</v>
      </c>
      <c r="G306" s="14" t="s">
        <v>55</v>
      </c>
      <c r="H306" s="27">
        <v>19.2</v>
      </c>
      <c r="I306" s="27">
        <f>ROUND(H306*1.0, 2)</f>
      </c>
      <c r="J306" s="27">
        <f>ROUND(H306*0.95, 2)</f>
      </c>
      <c r="K306" s="27">
        <f>ROUND(H306*0.95, 2)</f>
      </c>
      <c r="L306" s="27">
        <f>ROUND(H306*1.05, 2)</f>
      </c>
      <c r="M306" s="27">
        <f>ROUND(H306*1.25, 2)</f>
      </c>
      <c r="N306" s="27">
        <f>ROUND(H306*1.55, 2)</f>
      </c>
      <c r="O306" s="27">
        <f>ROUND(H306*1.65, 2)</f>
      </c>
      <c r="P306" s="27">
        <f>SUM(I306:O306)</f>
      </c>
      <c r="Q306" s="27">
        <f>ROUND(H306*1.5, 2)</f>
      </c>
      <c r="R306" s="27">
        <f>ROUND(H306*2.0, 2)</f>
      </c>
      <c r="S306" s="14">
        <f>IF(F306&lt;=R306, "TRIGGER INDENT", "STOCK HEALTHY")</f>
      </c>
      <c r="T306" s="27">
        <f>IF(F306&lt;=R306, ROUND(MAX(H306, (I306+Q306)-F306), 2), 0)</f>
      </c>
    </row>
    <row r="307" ht="20" customHeight="1" spans="1:20" x14ac:dyDescent="0.25">
      <c r="A307" s="12" t="s">
        <v>759</v>
      </c>
      <c r="B307" s="12" t="s">
        <v>760</v>
      </c>
      <c r="C307" s="12" t="s">
        <v>314</v>
      </c>
      <c r="D307" s="12" t="s">
        <v>135</v>
      </c>
      <c r="E307" s="24">
        <v>32.97999954223633</v>
      </c>
      <c r="F307" s="25">
        <v>2160</v>
      </c>
      <c r="G307" s="12" t="s">
        <v>61</v>
      </c>
      <c r="H307" s="25">
        <v>108</v>
      </c>
      <c r="I307" s="25">
        <f>ROUND(H307*1.0, 2)</f>
      </c>
      <c r="J307" s="25">
        <f>ROUND(H307*0.95, 2)</f>
      </c>
      <c r="K307" s="25">
        <f>ROUND(H307*0.95, 2)</f>
      </c>
      <c r="L307" s="25">
        <f>ROUND(H307*1.05, 2)</f>
      </c>
      <c r="M307" s="25">
        <f>ROUND(H307*1.25, 2)</f>
      </c>
      <c r="N307" s="25">
        <f>ROUND(H307*1.55, 2)</f>
      </c>
      <c r="O307" s="25">
        <f>ROUND(H307*1.65, 2)</f>
      </c>
      <c r="P307" s="25">
        <f>SUM(I307:O307)</f>
      </c>
      <c r="Q307" s="25">
        <f>ROUND(H307*1.5, 2)</f>
      </c>
      <c r="R307" s="25">
        <f>ROUND(H307*2.0, 2)</f>
      </c>
      <c r="S307" s="12">
        <f>IF(F307&lt;=R307, "TRIGGER INDENT", "STOCK HEALTHY")</f>
      </c>
      <c r="T307" s="25">
        <f>IF(F307&lt;=R307, ROUND(MAX(H307, (I307+Q307)-F307), 2), 0)</f>
      </c>
    </row>
    <row r="308" ht="20" customHeight="1" spans="1:20" x14ac:dyDescent="0.25">
      <c r="A308" s="14" t="s">
        <v>761</v>
      </c>
      <c r="B308" s="14" t="s">
        <v>762</v>
      </c>
      <c r="C308" s="14" t="s">
        <v>138</v>
      </c>
      <c r="D308" s="14" t="s">
        <v>139</v>
      </c>
      <c r="E308" s="26">
        <v>693.75</v>
      </c>
      <c r="F308" s="27">
        <v>34.72</v>
      </c>
      <c r="G308" s="14" t="s">
        <v>67</v>
      </c>
      <c r="H308" s="27">
        <v>6.94</v>
      </c>
      <c r="I308" s="27">
        <f>ROUND(H308*1.0, 2)</f>
      </c>
      <c r="J308" s="27">
        <f>ROUND(H308*0.95, 2)</f>
      </c>
      <c r="K308" s="27">
        <f>ROUND(H308*0.95, 2)</f>
      </c>
      <c r="L308" s="27">
        <f>ROUND(H308*1.05, 2)</f>
      </c>
      <c r="M308" s="27">
        <f>ROUND(H308*1.25, 2)</f>
      </c>
      <c r="N308" s="27">
        <f>ROUND(H308*1.55, 2)</f>
      </c>
      <c r="O308" s="27">
        <f>ROUND(H308*1.65, 2)</f>
      </c>
      <c r="P308" s="27">
        <f>SUM(I308:O308)</f>
      </c>
      <c r="Q308" s="27">
        <f>ROUND(H308*1.5, 2)</f>
      </c>
      <c r="R308" s="27">
        <f>ROUND(H308*2.0, 2)</f>
      </c>
      <c r="S308" s="14">
        <f>IF(F308&lt;=R308, "TRIGGER INDENT", "STOCK HEALTHY")</f>
      </c>
      <c r="T308" s="27">
        <f>IF(F308&lt;=R308, ROUND(MAX(H308, (I308+Q308)-F308), 2), 0)</f>
      </c>
    </row>
    <row r="309" ht="20" customHeight="1" spans="1:20" x14ac:dyDescent="0.25">
      <c r="A309" s="12" t="s">
        <v>763</v>
      </c>
      <c r="B309" s="12" t="s">
        <v>764</v>
      </c>
      <c r="C309" s="12" t="s">
        <v>134</v>
      </c>
      <c r="D309" s="12" t="s">
        <v>135</v>
      </c>
      <c r="E309" s="24">
        <v>211</v>
      </c>
      <c r="F309" s="25">
        <v>1.5100002</v>
      </c>
      <c r="G309" s="12" t="s">
        <v>85</v>
      </c>
      <c r="H309" s="25">
        <v>1</v>
      </c>
      <c r="I309" s="25">
        <f>ROUND(H309*1.0, 2)</f>
      </c>
      <c r="J309" s="25">
        <f>ROUND(H309*0.95, 2)</f>
      </c>
      <c r="K309" s="25">
        <f>ROUND(H309*0.95, 2)</f>
      </c>
      <c r="L309" s="25">
        <f>ROUND(H309*1.05, 2)</f>
      </c>
      <c r="M309" s="25">
        <f>ROUND(H309*1.25, 2)</f>
      </c>
      <c r="N309" s="25">
        <f>ROUND(H309*1.55, 2)</f>
      </c>
      <c r="O309" s="25">
        <f>ROUND(H309*1.65, 2)</f>
      </c>
      <c r="P309" s="25">
        <f>SUM(I309:O309)</f>
      </c>
      <c r="Q309" s="25">
        <f>ROUND(H309*1.5, 2)</f>
      </c>
      <c r="R309" s="25">
        <f>ROUND(H309*2.0, 2)</f>
      </c>
      <c r="S309" s="12">
        <f>IF(F309&lt;=R309, "TRIGGER INDENT", "STOCK HEALTHY")</f>
      </c>
      <c r="T309" s="25">
        <f>IF(F309&lt;=R309, ROUND(MAX(H309, (I309+Q309)-F309), 2), 0)</f>
      </c>
    </row>
    <row r="310" ht="20" customHeight="1" spans="1:20" x14ac:dyDescent="0.25">
      <c r="A310" s="14" t="s">
        <v>765</v>
      </c>
      <c r="B310" s="14" t="s">
        <v>766</v>
      </c>
      <c r="C310" s="14" t="s">
        <v>245</v>
      </c>
      <c r="D310" s="14" t="s">
        <v>246</v>
      </c>
      <c r="E310" s="26">
        <v>526</v>
      </c>
      <c r="F310" s="27">
        <v>1.5100002</v>
      </c>
      <c r="G310" s="14" t="s">
        <v>85</v>
      </c>
      <c r="H310" s="27">
        <v>1</v>
      </c>
      <c r="I310" s="27">
        <f>ROUND(H310*1.0, 2)</f>
      </c>
      <c r="J310" s="27">
        <f>ROUND(H310*0.95, 2)</f>
      </c>
      <c r="K310" s="27">
        <f>ROUND(H310*0.95, 2)</f>
      </c>
      <c r="L310" s="27">
        <f>ROUND(H310*1.05, 2)</f>
      </c>
      <c r="M310" s="27">
        <f>ROUND(H310*1.25, 2)</f>
      </c>
      <c r="N310" s="27">
        <f>ROUND(H310*1.55, 2)</f>
      </c>
      <c r="O310" s="27">
        <f>ROUND(H310*1.65, 2)</f>
      </c>
      <c r="P310" s="27">
        <f>SUM(I310:O310)</f>
      </c>
      <c r="Q310" s="27">
        <f>ROUND(H310*1.5, 2)</f>
      </c>
      <c r="R310" s="27">
        <f>ROUND(H310*2.0, 2)</f>
      </c>
      <c r="S310" s="14">
        <f>IF(F310&lt;=R310, "TRIGGER INDENT", "STOCK HEALTHY")</f>
      </c>
      <c r="T310" s="27">
        <f>IF(F310&lt;=R310, ROUND(MAX(H310, (I310+Q310)-F310), 2), 0)</f>
      </c>
    </row>
    <row r="311" ht="20" customHeight="1" spans="1:20" x14ac:dyDescent="0.25">
      <c r="A311" s="12" t="s">
        <v>767</v>
      </c>
      <c r="B311" s="12" t="s">
        <v>768</v>
      </c>
      <c r="C311" s="12" t="s">
        <v>126</v>
      </c>
      <c r="D311" s="12" t="s">
        <v>179</v>
      </c>
      <c r="E311" s="24">
        <v>28.270000457763672</v>
      </c>
      <c r="F311" s="25">
        <v>3584</v>
      </c>
      <c r="G311" s="12" t="s">
        <v>61</v>
      </c>
      <c r="H311" s="25">
        <v>179.2</v>
      </c>
      <c r="I311" s="25">
        <f>ROUND(H311*1.0, 2)</f>
      </c>
      <c r="J311" s="25">
        <f>ROUND(H311*0.95, 2)</f>
      </c>
      <c r="K311" s="25">
        <f>ROUND(H311*0.95, 2)</f>
      </c>
      <c r="L311" s="25">
        <f>ROUND(H311*1.05, 2)</f>
      </c>
      <c r="M311" s="25">
        <f>ROUND(H311*1.25, 2)</f>
      </c>
      <c r="N311" s="25">
        <f>ROUND(H311*1.55, 2)</f>
      </c>
      <c r="O311" s="25">
        <f>ROUND(H311*1.65, 2)</f>
      </c>
      <c r="P311" s="25">
        <f>SUM(I311:O311)</f>
      </c>
      <c r="Q311" s="25">
        <f>ROUND(H311*1.5, 2)</f>
      </c>
      <c r="R311" s="25">
        <f>ROUND(H311*2.0, 2)</f>
      </c>
      <c r="S311" s="12">
        <f>IF(F311&lt;=R311, "TRIGGER INDENT", "STOCK HEALTHY")</f>
      </c>
      <c r="T311" s="25">
        <f>IF(F311&lt;=R311, ROUND(MAX(H311, (I311+Q311)-F311), 2), 0)</f>
      </c>
    </row>
    <row r="312" ht="20" customHeight="1" spans="1:20" x14ac:dyDescent="0.25">
      <c r="A312" s="14" t="s">
        <v>769</v>
      </c>
      <c r="B312" s="14" t="s">
        <v>770</v>
      </c>
      <c r="C312" s="14" t="s">
        <v>126</v>
      </c>
      <c r="D312" s="14" t="s">
        <v>179</v>
      </c>
      <c r="E312" s="26">
        <v>40.25</v>
      </c>
      <c r="F312" s="27">
        <v>320</v>
      </c>
      <c r="G312" s="14" t="s">
        <v>73</v>
      </c>
      <c r="H312" s="27">
        <v>25.6</v>
      </c>
      <c r="I312" s="27">
        <f>ROUND(H312*1.0, 2)</f>
      </c>
      <c r="J312" s="27">
        <f>ROUND(H312*0.95, 2)</f>
      </c>
      <c r="K312" s="27">
        <f>ROUND(H312*0.95, 2)</f>
      </c>
      <c r="L312" s="27">
        <f>ROUND(H312*1.05, 2)</f>
      </c>
      <c r="M312" s="27">
        <f>ROUND(H312*1.25, 2)</f>
      </c>
      <c r="N312" s="27">
        <f>ROUND(H312*1.55, 2)</f>
      </c>
      <c r="O312" s="27">
        <f>ROUND(H312*1.65, 2)</f>
      </c>
      <c r="P312" s="27">
        <f>SUM(I312:O312)</f>
      </c>
      <c r="Q312" s="27">
        <f>ROUND(H312*1.5, 2)</f>
      </c>
      <c r="R312" s="27">
        <f>ROUND(H312*2.0, 2)</f>
      </c>
      <c r="S312" s="14">
        <f>IF(F312&lt;=R312, "TRIGGER INDENT", "STOCK HEALTHY")</f>
      </c>
      <c r="T312" s="27">
        <f>IF(F312&lt;=R312, ROUND(MAX(H312, (I312+Q312)-F312), 2), 0)</f>
      </c>
    </row>
    <row r="313" ht="20" customHeight="1" spans="1:20" x14ac:dyDescent="0.25">
      <c r="A313" s="12" t="s">
        <v>771</v>
      </c>
      <c r="B313" s="12" t="s">
        <v>772</v>
      </c>
      <c r="C313" s="12" t="s">
        <v>154</v>
      </c>
      <c r="D313" s="12" t="s">
        <v>139</v>
      </c>
      <c r="E313" s="24">
        <v>41.11000061035156</v>
      </c>
      <c r="F313" s="25">
        <v>1371.6798</v>
      </c>
      <c r="G313" s="12" t="s">
        <v>79</v>
      </c>
      <c r="H313" s="25">
        <v>68.58</v>
      </c>
      <c r="I313" s="25">
        <f>ROUND(H313*1.0, 2)</f>
      </c>
      <c r="J313" s="25">
        <f>ROUND(H313*0.95, 2)</f>
      </c>
      <c r="K313" s="25">
        <f>ROUND(H313*0.95, 2)</f>
      </c>
      <c r="L313" s="25">
        <f>ROUND(H313*1.05, 2)</f>
      </c>
      <c r="M313" s="25">
        <f>ROUND(H313*1.25, 2)</f>
      </c>
      <c r="N313" s="25">
        <f>ROUND(H313*1.55, 2)</f>
      </c>
      <c r="O313" s="25">
        <f>ROUND(H313*1.65, 2)</f>
      </c>
      <c r="P313" s="25">
        <f>SUM(I313:O313)</f>
      </c>
      <c r="Q313" s="25">
        <f>ROUND(H313*1.5, 2)</f>
      </c>
      <c r="R313" s="25">
        <f>ROUND(H313*2.0, 2)</f>
      </c>
      <c r="S313" s="12">
        <f>IF(F313&lt;=R313, "TRIGGER INDENT", "STOCK HEALTHY")</f>
      </c>
      <c r="T313" s="25">
        <f>IF(F313&lt;=R313, ROUND(MAX(H313, (I313+Q313)-F313), 2), 0)</f>
      </c>
    </row>
    <row r="314" ht="20" customHeight="1" spans="1:20" x14ac:dyDescent="0.25">
      <c r="A314" s="14" t="s">
        <v>773</v>
      </c>
      <c r="B314" s="14" t="s">
        <v>774</v>
      </c>
      <c r="C314" s="14" t="s">
        <v>304</v>
      </c>
      <c r="D314" s="14" t="s">
        <v>305</v>
      </c>
      <c r="E314" s="26">
        <v>158.57000732421875</v>
      </c>
      <c r="F314" s="27">
        <v>8788.799</v>
      </c>
      <c r="G314" s="14" t="s">
        <v>55</v>
      </c>
      <c r="H314" s="27">
        <v>439.44</v>
      </c>
      <c r="I314" s="27">
        <f>ROUND(H314*1.0, 2)</f>
      </c>
      <c r="J314" s="27">
        <f>ROUND(H314*0.95, 2)</f>
      </c>
      <c r="K314" s="27">
        <f>ROUND(H314*0.95, 2)</f>
      </c>
      <c r="L314" s="27">
        <f>ROUND(H314*1.05, 2)</f>
      </c>
      <c r="M314" s="27">
        <f>ROUND(H314*1.25, 2)</f>
      </c>
      <c r="N314" s="27">
        <f>ROUND(H314*1.55, 2)</f>
      </c>
      <c r="O314" s="27">
        <f>ROUND(H314*1.65, 2)</f>
      </c>
      <c r="P314" s="27">
        <f>SUM(I314:O314)</f>
      </c>
      <c r="Q314" s="27">
        <f>ROUND(H314*1.5, 2)</f>
      </c>
      <c r="R314" s="27">
        <f>ROUND(H314*2.0, 2)</f>
      </c>
      <c r="S314" s="14">
        <f>IF(F314&lt;=R314, "TRIGGER INDENT", "STOCK HEALTHY")</f>
      </c>
      <c r="T314" s="27">
        <f>IF(F314&lt;=R314, ROUND(MAX(H314, (I314+Q314)-F314), 2), 0)</f>
      </c>
    </row>
    <row r="315" ht="20" customHeight="1" spans="1:20" x14ac:dyDescent="0.25">
      <c r="A315" s="12" t="s">
        <v>775</v>
      </c>
      <c r="B315" s="12" t="s">
        <v>776</v>
      </c>
      <c r="C315" s="12" t="s">
        <v>379</v>
      </c>
      <c r="D315" s="12" t="s">
        <v>139</v>
      </c>
      <c r="E315" s="24">
        <v>58.56999969482422</v>
      </c>
      <c r="F315" s="25">
        <v>320</v>
      </c>
      <c r="G315" s="12" t="s">
        <v>85</v>
      </c>
      <c r="H315" s="25">
        <v>25.6</v>
      </c>
      <c r="I315" s="25">
        <f>ROUND(H315*1.0, 2)</f>
      </c>
      <c r="J315" s="25">
        <f>ROUND(H315*0.95, 2)</f>
      </c>
      <c r="K315" s="25">
        <f>ROUND(H315*0.95, 2)</f>
      </c>
      <c r="L315" s="25">
        <f>ROUND(H315*1.05, 2)</f>
      </c>
      <c r="M315" s="25">
        <f>ROUND(H315*1.25, 2)</f>
      </c>
      <c r="N315" s="25">
        <f>ROUND(H315*1.55, 2)</f>
      </c>
      <c r="O315" s="25">
        <f>ROUND(H315*1.65, 2)</f>
      </c>
      <c r="P315" s="25">
        <f>SUM(I315:O315)</f>
      </c>
      <c r="Q315" s="25">
        <f>ROUND(H315*1.5, 2)</f>
      </c>
      <c r="R315" s="25">
        <f>ROUND(H315*2.0, 2)</f>
      </c>
      <c r="S315" s="12">
        <f>IF(F315&lt;=R315, "TRIGGER INDENT", "STOCK HEALTHY")</f>
      </c>
      <c r="T315" s="25">
        <f>IF(F315&lt;=R315, ROUND(MAX(H315, (I315+Q315)-F315), 2), 0)</f>
      </c>
    </row>
    <row r="316" ht="20" customHeight="1" spans="1:20" x14ac:dyDescent="0.25">
      <c r="A316" s="14" t="s">
        <v>777</v>
      </c>
      <c r="B316" s="14" t="s">
        <v>778</v>
      </c>
      <c r="C316" s="14" t="s">
        <v>154</v>
      </c>
      <c r="D316" s="14" t="s">
        <v>179</v>
      </c>
      <c r="E316" s="26">
        <v>100</v>
      </c>
      <c r="F316" s="27">
        <v>1.5100002</v>
      </c>
      <c r="G316" s="14" t="s">
        <v>85</v>
      </c>
      <c r="H316" s="27">
        <v>1</v>
      </c>
      <c r="I316" s="27">
        <f>ROUND(H316*1.0, 2)</f>
      </c>
      <c r="J316" s="27">
        <f>ROUND(H316*0.95, 2)</f>
      </c>
      <c r="K316" s="27">
        <f>ROUND(H316*0.95, 2)</f>
      </c>
      <c r="L316" s="27">
        <f>ROUND(H316*1.05, 2)</f>
      </c>
      <c r="M316" s="27">
        <f>ROUND(H316*1.25, 2)</f>
      </c>
      <c r="N316" s="27">
        <f>ROUND(H316*1.55, 2)</f>
      </c>
      <c r="O316" s="27">
        <f>ROUND(H316*1.65, 2)</f>
      </c>
      <c r="P316" s="27">
        <f>SUM(I316:O316)</f>
      </c>
      <c r="Q316" s="27">
        <f>ROUND(H316*1.5, 2)</f>
      </c>
      <c r="R316" s="27">
        <f>ROUND(H316*2.0, 2)</f>
      </c>
      <c r="S316" s="14">
        <f>IF(F316&lt;=R316, "TRIGGER INDENT", "STOCK HEALTHY")</f>
      </c>
      <c r="T316" s="27">
        <f>IF(F316&lt;=R316, ROUND(MAX(H316, (I316+Q316)-F316), 2), 0)</f>
      </c>
    </row>
    <row r="317" ht="20" customHeight="1" spans="1:20" x14ac:dyDescent="0.25">
      <c r="A317" s="12" t="s">
        <v>779</v>
      </c>
      <c r="B317" s="12" t="s">
        <v>780</v>
      </c>
      <c r="C317" s="12" t="s">
        <v>382</v>
      </c>
      <c r="D317" s="12" t="s">
        <v>179</v>
      </c>
      <c r="E317" s="24">
        <v>310</v>
      </c>
      <c r="F317" s="25">
        <v>16</v>
      </c>
      <c r="G317" s="12" t="s">
        <v>85</v>
      </c>
      <c r="H317" s="25">
        <v>3.2</v>
      </c>
      <c r="I317" s="25">
        <f>ROUND(H317*1.0, 2)</f>
      </c>
      <c r="J317" s="25">
        <f>ROUND(H317*0.95, 2)</f>
      </c>
      <c r="K317" s="25">
        <f>ROUND(H317*0.95, 2)</f>
      </c>
      <c r="L317" s="25">
        <f>ROUND(H317*1.05, 2)</f>
      </c>
      <c r="M317" s="25">
        <f>ROUND(H317*1.25, 2)</f>
      </c>
      <c r="N317" s="25">
        <f>ROUND(H317*1.55, 2)</f>
      </c>
      <c r="O317" s="25">
        <f>ROUND(H317*1.65, 2)</f>
      </c>
      <c r="P317" s="25">
        <f>SUM(I317:O317)</f>
      </c>
      <c r="Q317" s="25">
        <f>ROUND(H317*1.5, 2)</f>
      </c>
      <c r="R317" s="25">
        <f>ROUND(H317*2.0, 2)</f>
      </c>
      <c r="S317" s="12">
        <f>IF(F317&lt;=R317, "TRIGGER INDENT", "STOCK HEALTHY")</f>
      </c>
      <c r="T317" s="25">
        <f>IF(F317&lt;=R317, ROUND(MAX(H317, (I317+Q317)-F317), 2), 0)</f>
      </c>
    </row>
    <row r="318" ht="20" customHeight="1" spans="1:20" x14ac:dyDescent="0.25">
      <c r="A318" s="14" t="s">
        <v>781</v>
      </c>
      <c r="B318" s="14" t="s">
        <v>782</v>
      </c>
      <c r="C318" s="14" t="s">
        <v>154</v>
      </c>
      <c r="D318" s="14" t="s">
        <v>179</v>
      </c>
      <c r="E318" s="26">
        <v>85.26000213623047</v>
      </c>
      <c r="F318" s="27">
        <v>80</v>
      </c>
      <c r="G318" s="14" t="s">
        <v>67</v>
      </c>
      <c r="H318" s="27">
        <v>9.6</v>
      </c>
      <c r="I318" s="27">
        <f>ROUND(H318*1.0, 2)</f>
      </c>
      <c r="J318" s="27">
        <f>ROUND(H318*0.95, 2)</f>
      </c>
      <c r="K318" s="27">
        <f>ROUND(H318*0.95, 2)</f>
      </c>
      <c r="L318" s="27">
        <f>ROUND(H318*1.05, 2)</f>
      </c>
      <c r="M318" s="27">
        <f>ROUND(H318*1.25, 2)</f>
      </c>
      <c r="N318" s="27">
        <f>ROUND(H318*1.55, 2)</f>
      </c>
      <c r="O318" s="27">
        <f>ROUND(H318*1.65, 2)</f>
      </c>
      <c r="P318" s="27">
        <f>SUM(I318:O318)</f>
      </c>
      <c r="Q318" s="27">
        <f>ROUND(H318*1.5, 2)</f>
      </c>
      <c r="R318" s="27">
        <f>ROUND(H318*2.0, 2)</f>
      </c>
      <c r="S318" s="14">
        <f>IF(F318&lt;=R318, "TRIGGER INDENT", "STOCK HEALTHY")</f>
      </c>
      <c r="T318" s="27">
        <f>IF(F318&lt;=R318, ROUND(MAX(H318, (I318+Q318)-F318), 2), 0)</f>
      </c>
    </row>
    <row r="319" ht="20" customHeight="1" spans="1:20" x14ac:dyDescent="0.25">
      <c r="A319" s="12" t="s">
        <v>783</v>
      </c>
      <c r="B319" s="12" t="s">
        <v>784</v>
      </c>
      <c r="C319" s="12" t="s">
        <v>154</v>
      </c>
      <c r="D319" s="12" t="s">
        <v>157</v>
      </c>
      <c r="E319" s="24">
        <v>50</v>
      </c>
      <c r="F319" s="25">
        <v>112</v>
      </c>
      <c r="G319" s="12" t="s">
        <v>67</v>
      </c>
      <c r="H319" s="25">
        <v>13.44</v>
      </c>
      <c r="I319" s="25">
        <f>ROUND(H319*1.0, 2)</f>
      </c>
      <c r="J319" s="25">
        <f>ROUND(H319*0.95, 2)</f>
      </c>
      <c r="K319" s="25">
        <f>ROUND(H319*0.95, 2)</f>
      </c>
      <c r="L319" s="25">
        <f>ROUND(H319*1.05, 2)</f>
      </c>
      <c r="M319" s="25">
        <f>ROUND(H319*1.25, 2)</f>
      </c>
      <c r="N319" s="25">
        <f>ROUND(H319*1.55, 2)</f>
      </c>
      <c r="O319" s="25">
        <f>ROUND(H319*1.65, 2)</f>
      </c>
      <c r="P319" s="25">
        <f>SUM(I319:O319)</f>
      </c>
      <c r="Q319" s="25">
        <f>ROUND(H319*1.5, 2)</f>
      </c>
      <c r="R319" s="25">
        <f>ROUND(H319*2.0, 2)</f>
      </c>
      <c r="S319" s="12">
        <f>IF(F319&lt;=R319, "TRIGGER INDENT", "STOCK HEALTHY")</f>
      </c>
      <c r="T319" s="25">
        <f>IF(F319&lt;=R319, ROUND(MAX(H319, (I319+Q319)-F319), 2), 0)</f>
      </c>
    </row>
    <row r="320" ht="20" customHeight="1" spans="1:20" x14ac:dyDescent="0.25">
      <c r="A320" s="14" t="s">
        <v>785</v>
      </c>
      <c r="B320" s="14" t="s">
        <v>786</v>
      </c>
      <c r="C320" s="14" t="s">
        <v>154</v>
      </c>
      <c r="D320" s="14" t="s">
        <v>139</v>
      </c>
      <c r="E320" s="26">
        <v>110</v>
      </c>
      <c r="F320" s="27">
        <v>556.7999</v>
      </c>
      <c r="G320" s="14" t="s">
        <v>45</v>
      </c>
      <c r="H320" s="27">
        <v>44.54</v>
      </c>
      <c r="I320" s="27">
        <f>ROUND(H320*1.0, 2)</f>
      </c>
      <c r="J320" s="27">
        <f>ROUND(H320*0.95, 2)</f>
      </c>
      <c r="K320" s="27">
        <f>ROUND(H320*0.95, 2)</f>
      </c>
      <c r="L320" s="27">
        <f>ROUND(H320*1.05, 2)</f>
      </c>
      <c r="M320" s="27">
        <f>ROUND(H320*1.25, 2)</f>
      </c>
      <c r="N320" s="27">
        <f>ROUND(H320*1.55, 2)</f>
      </c>
      <c r="O320" s="27">
        <f>ROUND(H320*1.65, 2)</f>
      </c>
      <c r="P320" s="27">
        <f>SUM(I320:O320)</f>
      </c>
      <c r="Q320" s="27">
        <f>ROUND(H320*1.5, 2)</f>
      </c>
      <c r="R320" s="27">
        <f>ROUND(H320*2.0, 2)</f>
      </c>
      <c r="S320" s="14">
        <f>IF(F320&lt;=R320, "TRIGGER INDENT", "STOCK HEALTHY")</f>
      </c>
      <c r="T320" s="27">
        <f>IF(F320&lt;=R320, ROUND(MAX(H320, (I320+Q320)-F320), 2), 0)</f>
      </c>
    </row>
    <row r="321" ht="20" customHeight="1" spans="1:20" x14ac:dyDescent="0.25">
      <c r="A321" s="12" t="s">
        <v>787</v>
      </c>
      <c r="B321" s="12" t="s">
        <v>788</v>
      </c>
      <c r="C321" s="12" t="s">
        <v>154</v>
      </c>
      <c r="D321" s="12" t="s">
        <v>179</v>
      </c>
      <c r="E321" s="24">
        <v>161.19000244140625</v>
      </c>
      <c r="F321" s="25">
        <v>1.5100002</v>
      </c>
      <c r="G321" s="12" t="s">
        <v>85</v>
      </c>
      <c r="H321" s="25">
        <v>1</v>
      </c>
      <c r="I321" s="25">
        <f>ROUND(H321*1.0, 2)</f>
      </c>
      <c r="J321" s="25">
        <f>ROUND(H321*0.95, 2)</f>
      </c>
      <c r="K321" s="25">
        <f>ROUND(H321*0.95, 2)</f>
      </c>
      <c r="L321" s="25">
        <f>ROUND(H321*1.05, 2)</f>
      </c>
      <c r="M321" s="25">
        <f>ROUND(H321*1.25, 2)</f>
      </c>
      <c r="N321" s="25">
        <f>ROUND(H321*1.55, 2)</f>
      </c>
      <c r="O321" s="25">
        <f>ROUND(H321*1.65, 2)</f>
      </c>
      <c r="P321" s="25">
        <f>SUM(I321:O321)</f>
      </c>
      <c r="Q321" s="25">
        <f>ROUND(H321*1.5, 2)</f>
      </c>
      <c r="R321" s="25">
        <f>ROUND(H321*2.0, 2)</f>
      </c>
      <c r="S321" s="12">
        <f>IF(F321&lt;=R321, "TRIGGER INDENT", "STOCK HEALTHY")</f>
      </c>
      <c r="T321" s="25">
        <f>IF(F321&lt;=R321, ROUND(MAX(H321, (I321+Q321)-F321), 2), 0)</f>
      </c>
    </row>
    <row r="322" ht="20" customHeight="1" spans="1:20" x14ac:dyDescent="0.25">
      <c r="A322" s="14" t="s">
        <v>789</v>
      </c>
      <c r="B322" s="14" t="s">
        <v>790</v>
      </c>
      <c r="C322" s="14" t="s">
        <v>160</v>
      </c>
      <c r="D322" s="14" t="s">
        <v>139</v>
      </c>
      <c r="E322" s="26">
        <v>641.239990234375</v>
      </c>
      <c r="F322" s="27">
        <v>118.40002</v>
      </c>
      <c r="G322" s="14" t="s">
        <v>67</v>
      </c>
      <c r="H322" s="27">
        <v>14.21</v>
      </c>
      <c r="I322" s="27">
        <f>ROUND(H322*1.0, 2)</f>
      </c>
      <c r="J322" s="27">
        <f>ROUND(H322*0.95, 2)</f>
      </c>
      <c r="K322" s="27">
        <f>ROUND(H322*0.95, 2)</f>
      </c>
      <c r="L322" s="27">
        <f>ROUND(H322*1.05, 2)</f>
      </c>
      <c r="M322" s="27">
        <f>ROUND(H322*1.25, 2)</f>
      </c>
      <c r="N322" s="27">
        <f>ROUND(H322*1.55, 2)</f>
      </c>
      <c r="O322" s="27">
        <f>ROUND(H322*1.65, 2)</f>
      </c>
      <c r="P322" s="27">
        <f>SUM(I322:O322)</f>
      </c>
      <c r="Q322" s="27">
        <f>ROUND(H322*1.5, 2)</f>
      </c>
      <c r="R322" s="27">
        <f>ROUND(H322*2.0, 2)</f>
      </c>
      <c r="S322" s="14">
        <f>IF(F322&lt;=R322, "TRIGGER INDENT", "STOCK HEALTHY")</f>
      </c>
      <c r="T322" s="27">
        <f>IF(F322&lt;=R322, ROUND(MAX(H322, (I322+Q322)-F322), 2), 0)</f>
      </c>
    </row>
    <row r="323" ht="20" customHeight="1" spans="1:20" x14ac:dyDescent="0.25">
      <c r="A323" s="12" t="s">
        <v>791</v>
      </c>
      <c r="B323" s="12" t="s">
        <v>792</v>
      </c>
      <c r="C323" s="12" t="s">
        <v>154</v>
      </c>
      <c r="D323" s="12" t="s">
        <v>179</v>
      </c>
      <c r="E323" s="24">
        <v>25.239999771118164</v>
      </c>
      <c r="F323" s="25">
        <v>1488</v>
      </c>
      <c r="G323" s="12" t="s">
        <v>67</v>
      </c>
      <c r="H323" s="25">
        <v>74.4</v>
      </c>
      <c r="I323" s="25">
        <f>ROUND(H323*1.0, 2)</f>
      </c>
      <c r="J323" s="25">
        <f>ROUND(H323*0.95, 2)</f>
      </c>
      <c r="K323" s="25">
        <f>ROUND(H323*0.95, 2)</f>
      </c>
      <c r="L323" s="25">
        <f>ROUND(H323*1.05, 2)</f>
      </c>
      <c r="M323" s="25">
        <f>ROUND(H323*1.25, 2)</f>
      </c>
      <c r="N323" s="25">
        <f>ROUND(H323*1.55, 2)</f>
      </c>
      <c r="O323" s="25">
        <f>ROUND(H323*1.65, 2)</f>
      </c>
      <c r="P323" s="25">
        <f>SUM(I323:O323)</f>
      </c>
      <c r="Q323" s="25">
        <f>ROUND(H323*1.5, 2)</f>
      </c>
      <c r="R323" s="25">
        <f>ROUND(H323*2.0, 2)</f>
      </c>
      <c r="S323" s="12">
        <f>IF(F323&lt;=R323, "TRIGGER INDENT", "STOCK HEALTHY")</f>
      </c>
      <c r="T323" s="25">
        <f>IF(F323&lt;=R323, ROUND(MAX(H323, (I323+Q323)-F323), 2), 0)</f>
      </c>
    </row>
    <row r="324" ht="20" customHeight="1" spans="1:20" x14ac:dyDescent="0.25">
      <c r="A324" s="14" t="s">
        <v>793</v>
      </c>
      <c r="B324" s="14" t="s">
        <v>794</v>
      </c>
      <c r="C324" s="14" t="s">
        <v>126</v>
      </c>
      <c r="D324" s="14" t="s">
        <v>179</v>
      </c>
      <c r="E324" s="26">
        <v>22</v>
      </c>
      <c r="F324" s="27">
        <v>384</v>
      </c>
      <c r="G324" s="14" t="s">
        <v>45</v>
      </c>
      <c r="H324" s="27">
        <v>30.72</v>
      </c>
      <c r="I324" s="27">
        <f>ROUND(H324*1.0, 2)</f>
      </c>
      <c r="J324" s="27">
        <f>ROUND(H324*0.95, 2)</f>
      </c>
      <c r="K324" s="27">
        <f>ROUND(H324*0.95, 2)</f>
      </c>
      <c r="L324" s="27">
        <f>ROUND(H324*1.05, 2)</f>
      </c>
      <c r="M324" s="27">
        <f>ROUND(H324*1.25, 2)</f>
      </c>
      <c r="N324" s="27">
        <f>ROUND(H324*1.55, 2)</f>
      </c>
      <c r="O324" s="27">
        <f>ROUND(H324*1.65, 2)</f>
      </c>
      <c r="P324" s="27">
        <f>SUM(I324:O324)</f>
      </c>
      <c r="Q324" s="27">
        <f>ROUND(H324*1.5, 2)</f>
      </c>
      <c r="R324" s="27">
        <f>ROUND(H324*2.0, 2)</f>
      </c>
      <c r="S324" s="14">
        <f>IF(F324&lt;=R324, "TRIGGER INDENT", "STOCK HEALTHY")</f>
      </c>
      <c r="T324" s="27">
        <f>IF(F324&lt;=R324, ROUND(MAX(H324, (I324+Q324)-F324), 2), 0)</f>
      </c>
    </row>
    <row r="325" ht="20" customHeight="1" spans="1:20" x14ac:dyDescent="0.25">
      <c r="A325" s="12" t="s">
        <v>795</v>
      </c>
      <c r="B325" s="12" t="s">
        <v>796</v>
      </c>
      <c r="C325" s="12" t="s">
        <v>126</v>
      </c>
      <c r="D325" s="12" t="s">
        <v>179</v>
      </c>
      <c r="E325" s="24">
        <v>18</v>
      </c>
      <c r="F325" s="25">
        <v>1.5100002</v>
      </c>
      <c r="G325" s="12" t="s">
        <v>73</v>
      </c>
      <c r="H325" s="25">
        <v>1</v>
      </c>
      <c r="I325" s="25">
        <f>ROUND(H325*1.0, 2)</f>
      </c>
      <c r="J325" s="25">
        <f>ROUND(H325*0.95, 2)</f>
      </c>
      <c r="K325" s="25">
        <f>ROUND(H325*0.95, 2)</f>
      </c>
      <c r="L325" s="25">
        <f>ROUND(H325*1.05, 2)</f>
      </c>
      <c r="M325" s="25">
        <f>ROUND(H325*1.25, 2)</f>
      </c>
      <c r="N325" s="25">
        <f>ROUND(H325*1.55, 2)</f>
      </c>
      <c r="O325" s="25">
        <f>ROUND(H325*1.65, 2)</f>
      </c>
      <c r="P325" s="25">
        <f>SUM(I325:O325)</f>
      </c>
      <c r="Q325" s="25">
        <f>ROUND(H325*1.5, 2)</f>
      </c>
      <c r="R325" s="25">
        <f>ROUND(H325*2.0, 2)</f>
      </c>
      <c r="S325" s="12">
        <f>IF(F325&lt;=R325, "TRIGGER INDENT", "STOCK HEALTHY")</f>
      </c>
      <c r="T325" s="25">
        <f>IF(F325&lt;=R325, ROUND(MAX(H325, (I325+Q325)-F325), 2), 0)</f>
      </c>
    </row>
    <row r="326" ht="20" customHeight="1" spans="1:20" x14ac:dyDescent="0.25">
      <c r="A326" s="14" t="s">
        <v>797</v>
      </c>
      <c r="B326" s="14" t="s">
        <v>798</v>
      </c>
      <c r="C326" s="14" t="s">
        <v>154</v>
      </c>
      <c r="D326" s="14" t="s">
        <v>139</v>
      </c>
      <c r="E326" s="26">
        <v>320</v>
      </c>
      <c r="F326" s="27">
        <v>326.39996</v>
      </c>
      <c r="G326" s="14" t="s">
        <v>91</v>
      </c>
      <c r="H326" s="27">
        <v>26.11</v>
      </c>
      <c r="I326" s="27">
        <f>ROUND(H326*1.0, 2)</f>
      </c>
      <c r="J326" s="27">
        <f>ROUND(H326*0.95, 2)</f>
      </c>
      <c r="K326" s="27">
        <f>ROUND(H326*0.95, 2)</f>
      </c>
      <c r="L326" s="27">
        <f>ROUND(H326*1.05, 2)</f>
      </c>
      <c r="M326" s="27">
        <f>ROUND(H326*1.25, 2)</f>
      </c>
      <c r="N326" s="27">
        <f>ROUND(H326*1.55, 2)</f>
      </c>
      <c r="O326" s="27">
        <f>ROUND(H326*1.65, 2)</f>
      </c>
      <c r="P326" s="27">
        <f>SUM(I326:O326)</f>
      </c>
      <c r="Q326" s="27">
        <f>ROUND(H326*1.5, 2)</f>
      </c>
      <c r="R326" s="27">
        <f>ROUND(H326*2.0, 2)</f>
      </c>
      <c r="S326" s="14">
        <f>IF(F326&lt;=R326, "TRIGGER INDENT", "STOCK HEALTHY")</f>
      </c>
      <c r="T326" s="27">
        <f>IF(F326&lt;=R326, ROUND(MAX(H326, (I326+Q326)-F326), 2), 0)</f>
      </c>
    </row>
    <row r="327" ht="20" customHeight="1" spans="1:20" x14ac:dyDescent="0.25">
      <c r="A327" s="12" t="s">
        <v>799</v>
      </c>
      <c r="B327" s="12" t="s">
        <v>800</v>
      </c>
      <c r="C327" s="12" t="s">
        <v>154</v>
      </c>
      <c r="D327" s="12" t="s">
        <v>139</v>
      </c>
      <c r="E327" s="24">
        <v>20</v>
      </c>
      <c r="F327" s="25">
        <v>800</v>
      </c>
      <c r="G327" s="12" t="s">
        <v>85</v>
      </c>
      <c r="H327" s="25">
        <v>64</v>
      </c>
      <c r="I327" s="25">
        <f>ROUND(H327*1.0, 2)</f>
      </c>
      <c r="J327" s="25">
        <f>ROUND(H327*0.95, 2)</f>
      </c>
      <c r="K327" s="25">
        <f>ROUND(H327*0.95, 2)</f>
      </c>
      <c r="L327" s="25">
        <f>ROUND(H327*1.05, 2)</f>
      </c>
      <c r="M327" s="25">
        <f>ROUND(H327*1.25, 2)</f>
      </c>
      <c r="N327" s="25">
        <f>ROUND(H327*1.55, 2)</f>
      </c>
      <c r="O327" s="25">
        <f>ROUND(H327*1.65, 2)</f>
      </c>
      <c r="P327" s="25">
        <f>SUM(I327:O327)</f>
      </c>
      <c r="Q327" s="25">
        <f>ROUND(H327*1.5, 2)</f>
      </c>
      <c r="R327" s="25">
        <f>ROUND(H327*2.0, 2)</f>
      </c>
      <c r="S327" s="12">
        <f>IF(F327&lt;=R327, "TRIGGER INDENT", "STOCK HEALTHY")</f>
      </c>
      <c r="T327" s="25">
        <f>IF(F327&lt;=R327, ROUND(MAX(H327, (I327+Q327)-F327), 2), 0)</f>
      </c>
    </row>
    <row r="328" ht="20" customHeight="1" spans="1:20" x14ac:dyDescent="0.25">
      <c r="A328" s="14" t="s">
        <v>801</v>
      </c>
      <c r="B328" s="14" t="s">
        <v>802</v>
      </c>
      <c r="C328" s="14" t="s">
        <v>154</v>
      </c>
      <c r="D328" s="14" t="s">
        <v>139</v>
      </c>
      <c r="E328" s="26">
        <v>20</v>
      </c>
      <c r="F328" s="27">
        <v>800</v>
      </c>
      <c r="G328" s="14" t="s">
        <v>85</v>
      </c>
      <c r="H328" s="27">
        <v>64</v>
      </c>
      <c r="I328" s="27">
        <f>ROUND(H328*1.0, 2)</f>
      </c>
      <c r="J328" s="27">
        <f>ROUND(H328*0.95, 2)</f>
      </c>
      <c r="K328" s="27">
        <f>ROUND(H328*0.95, 2)</f>
      </c>
      <c r="L328" s="27">
        <f>ROUND(H328*1.05, 2)</f>
      </c>
      <c r="M328" s="27">
        <f>ROUND(H328*1.25, 2)</f>
      </c>
      <c r="N328" s="27">
        <f>ROUND(H328*1.55, 2)</f>
      </c>
      <c r="O328" s="27">
        <f>ROUND(H328*1.65, 2)</f>
      </c>
      <c r="P328" s="27">
        <f>SUM(I328:O328)</f>
      </c>
      <c r="Q328" s="27">
        <f>ROUND(H328*1.5, 2)</f>
      </c>
      <c r="R328" s="27">
        <f>ROUND(H328*2.0, 2)</f>
      </c>
      <c r="S328" s="14">
        <f>IF(F328&lt;=R328, "TRIGGER INDENT", "STOCK HEALTHY")</f>
      </c>
      <c r="T328" s="27">
        <f>IF(F328&lt;=R328, ROUND(MAX(H328, (I328+Q328)-F328), 2), 0)</f>
      </c>
    </row>
    <row r="329" ht="20" customHeight="1" spans="1:20" x14ac:dyDescent="0.25">
      <c r="A329" s="12" t="s">
        <v>803</v>
      </c>
      <c r="B329" s="12" t="s">
        <v>804</v>
      </c>
      <c r="C329" s="12" t="s">
        <v>154</v>
      </c>
      <c r="D329" s="12" t="s">
        <v>139</v>
      </c>
      <c r="E329" s="24">
        <v>20</v>
      </c>
      <c r="F329" s="25">
        <v>800</v>
      </c>
      <c r="G329" s="12" t="s">
        <v>85</v>
      </c>
      <c r="H329" s="25">
        <v>64</v>
      </c>
      <c r="I329" s="25">
        <f>ROUND(H329*1.0, 2)</f>
      </c>
      <c r="J329" s="25">
        <f>ROUND(H329*0.95, 2)</f>
      </c>
      <c r="K329" s="25">
        <f>ROUND(H329*0.95, 2)</f>
      </c>
      <c r="L329" s="25">
        <f>ROUND(H329*1.05, 2)</f>
      </c>
      <c r="M329" s="25">
        <f>ROUND(H329*1.25, 2)</f>
      </c>
      <c r="N329" s="25">
        <f>ROUND(H329*1.55, 2)</f>
      </c>
      <c r="O329" s="25">
        <f>ROUND(H329*1.65, 2)</f>
      </c>
      <c r="P329" s="25">
        <f>SUM(I329:O329)</f>
      </c>
      <c r="Q329" s="25">
        <f>ROUND(H329*1.5, 2)</f>
      </c>
      <c r="R329" s="25">
        <f>ROUND(H329*2.0, 2)</f>
      </c>
      <c r="S329" s="12">
        <f>IF(F329&lt;=R329, "TRIGGER INDENT", "STOCK HEALTHY")</f>
      </c>
      <c r="T329" s="25">
        <f>IF(F329&lt;=R329, ROUND(MAX(H329, (I329+Q329)-F329), 2), 0)</f>
      </c>
    </row>
    <row r="330" ht="20" customHeight="1" spans="1:20" x14ac:dyDescent="0.25">
      <c r="A330" s="14" t="s">
        <v>805</v>
      </c>
      <c r="B330" s="14" t="s">
        <v>806</v>
      </c>
      <c r="C330" s="14" t="s">
        <v>154</v>
      </c>
      <c r="D330" s="14" t="s">
        <v>139</v>
      </c>
      <c r="E330" s="26">
        <v>20</v>
      </c>
      <c r="F330" s="27">
        <v>800</v>
      </c>
      <c r="G330" s="14" t="s">
        <v>85</v>
      </c>
      <c r="H330" s="27">
        <v>64</v>
      </c>
      <c r="I330" s="27">
        <f>ROUND(H330*1.0, 2)</f>
      </c>
      <c r="J330" s="27">
        <f>ROUND(H330*0.95, 2)</f>
      </c>
      <c r="K330" s="27">
        <f>ROUND(H330*0.95, 2)</f>
      </c>
      <c r="L330" s="27">
        <f>ROUND(H330*1.05, 2)</f>
      </c>
      <c r="M330" s="27">
        <f>ROUND(H330*1.25, 2)</f>
      </c>
      <c r="N330" s="27">
        <f>ROUND(H330*1.55, 2)</f>
      </c>
      <c r="O330" s="27">
        <f>ROUND(H330*1.65, 2)</f>
      </c>
      <c r="P330" s="27">
        <f>SUM(I330:O330)</f>
      </c>
      <c r="Q330" s="27">
        <f>ROUND(H330*1.5, 2)</f>
      </c>
      <c r="R330" s="27">
        <f>ROUND(H330*2.0, 2)</f>
      </c>
      <c r="S330" s="14">
        <f>IF(F330&lt;=R330, "TRIGGER INDENT", "STOCK HEALTHY")</f>
      </c>
      <c r="T330" s="27">
        <f>IF(F330&lt;=R330, ROUND(MAX(H330, (I330+Q330)-F330), 2), 0)</f>
      </c>
    </row>
    <row r="331" ht="20" customHeight="1" spans="1:20" x14ac:dyDescent="0.25">
      <c r="A331" s="12" t="s">
        <v>807</v>
      </c>
      <c r="B331" s="12" t="s">
        <v>808</v>
      </c>
      <c r="C331" s="12" t="s">
        <v>154</v>
      </c>
      <c r="D331" s="12" t="s">
        <v>139</v>
      </c>
      <c r="E331" s="24">
        <v>20</v>
      </c>
      <c r="F331" s="25">
        <v>50</v>
      </c>
      <c r="G331" s="12" t="s">
        <v>85</v>
      </c>
      <c r="H331" s="25">
        <v>6</v>
      </c>
      <c r="I331" s="25">
        <f>ROUND(H331*1.0, 2)</f>
      </c>
      <c r="J331" s="25">
        <f>ROUND(H331*0.95, 2)</f>
      </c>
      <c r="K331" s="25">
        <f>ROUND(H331*0.95, 2)</f>
      </c>
      <c r="L331" s="25">
        <f>ROUND(H331*1.05, 2)</f>
      </c>
      <c r="M331" s="25">
        <f>ROUND(H331*1.25, 2)</f>
      </c>
      <c r="N331" s="25">
        <f>ROUND(H331*1.55, 2)</f>
      </c>
      <c r="O331" s="25">
        <f>ROUND(H331*1.65, 2)</f>
      </c>
      <c r="P331" s="25">
        <f>SUM(I331:O331)</f>
      </c>
      <c r="Q331" s="25">
        <f>ROUND(H331*1.5, 2)</f>
      </c>
      <c r="R331" s="25">
        <f>ROUND(H331*2.0, 2)</f>
      </c>
      <c r="S331" s="12">
        <f>IF(F331&lt;=R331, "TRIGGER INDENT", "STOCK HEALTHY")</f>
      </c>
      <c r="T331" s="25">
        <f>IF(F331&lt;=R331, ROUND(MAX(H331, (I331+Q331)-F331), 2), 0)</f>
      </c>
    </row>
    <row r="332" ht="20" customHeight="1" spans="1:20" x14ac:dyDescent="0.25">
      <c r="A332" s="14" t="s">
        <v>809</v>
      </c>
      <c r="B332" s="14" t="s">
        <v>810</v>
      </c>
      <c r="C332" s="14" t="s">
        <v>154</v>
      </c>
      <c r="D332" s="14" t="s">
        <v>139</v>
      </c>
      <c r="E332" s="26">
        <v>20</v>
      </c>
      <c r="F332" s="27">
        <v>50</v>
      </c>
      <c r="G332" s="14" t="s">
        <v>85</v>
      </c>
      <c r="H332" s="27">
        <v>6</v>
      </c>
      <c r="I332" s="27">
        <f>ROUND(H332*1.0, 2)</f>
      </c>
      <c r="J332" s="27">
        <f>ROUND(H332*0.95, 2)</f>
      </c>
      <c r="K332" s="27">
        <f>ROUND(H332*0.95, 2)</f>
      </c>
      <c r="L332" s="27">
        <f>ROUND(H332*1.05, 2)</f>
      </c>
      <c r="M332" s="27">
        <f>ROUND(H332*1.25, 2)</f>
      </c>
      <c r="N332" s="27">
        <f>ROUND(H332*1.55, 2)</f>
      </c>
      <c r="O332" s="27">
        <f>ROUND(H332*1.65, 2)</f>
      </c>
      <c r="P332" s="27">
        <f>SUM(I332:O332)</f>
      </c>
      <c r="Q332" s="27">
        <f>ROUND(H332*1.5, 2)</f>
      </c>
      <c r="R332" s="27">
        <f>ROUND(H332*2.0, 2)</f>
      </c>
      <c r="S332" s="14">
        <f>IF(F332&lt;=R332, "TRIGGER INDENT", "STOCK HEALTHY")</f>
      </c>
      <c r="T332" s="27">
        <f>IF(F332&lt;=R332, ROUND(MAX(H332, (I332+Q332)-F332), 2), 0)</f>
      </c>
    </row>
    <row r="333" ht="20" customHeight="1" spans="1:20" x14ac:dyDescent="0.25">
      <c r="A333" s="12" t="s">
        <v>811</v>
      </c>
      <c r="B333" s="12" t="s">
        <v>812</v>
      </c>
      <c r="C333" s="12" t="s">
        <v>154</v>
      </c>
      <c r="D333" s="12" t="s">
        <v>139</v>
      </c>
      <c r="E333" s="24">
        <v>20</v>
      </c>
      <c r="F333" s="25">
        <v>50</v>
      </c>
      <c r="G333" s="12" t="s">
        <v>85</v>
      </c>
      <c r="H333" s="25">
        <v>6</v>
      </c>
      <c r="I333" s="25">
        <f>ROUND(H333*1.0, 2)</f>
      </c>
      <c r="J333" s="25">
        <f>ROUND(H333*0.95, 2)</f>
      </c>
      <c r="K333" s="25">
        <f>ROUND(H333*0.95, 2)</f>
      </c>
      <c r="L333" s="25">
        <f>ROUND(H333*1.05, 2)</f>
      </c>
      <c r="M333" s="25">
        <f>ROUND(H333*1.25, 2)</f>
      </c>
      <c r="N333" s="25">
        <f>ROUND(H333*1.55, 2)</f>
      </c>
      <c r="O333" s="25">
        <f>ROUND(H333*1.65, 2)</f>
      </c>
      <c r="P333" s="25">
        <f>SUM(I333:O333)</f>
      </c>
      <c r="Q333" s="25">
        <f>ROUND(H333*1.5, 2)</f>
      </c>
      <c r="R333" s="25">
        <f>ROUND(H333*2.0, 2)</f>
      </c>
      <c r="S333" s="12">
        <f>IF(F333&lt;=R333, "TRIGGER INDENT", "STOCK HEALTHY")</f>
      </c>
      <c r="T333" s="25">
        <f>IF(F333&lt;=R333, ROUND(MAX(H333, (I333+Q333)-F333), 2), 0)</f>
      </c>
    </row>
    <row r="334" ht="20" customHeight="1" spans="1:20" x14ac:dyDescent="0.25">
      <c r="A334" s="14" t="s">
        <v>813</v>
      </c>
      <c r="B334" s="14" t="s">
        <v>814</v>
      </c>
      <c r="C334" s="14" t="s">
        <v>154</v>
      </c>
      <c r="D334" s="14" t="s">
        <v>139</v>
      </c>
      <c r="E334" s="26">
        <v>20</v>
      </c>
      <c r="F334" s="27">
        <v>50</v>
      </c>
      <c r="G334" s="14" t="s">
        <v>85</v>
      </c>
      <c r="H334" s="27">
        <v>6</v>
      </c>
      <c r="I334" s="27">
        <f>ROUND(H334*1.0, 2)</f>
      </c>
      <c r="J334" s="27">
        <f>ROUND(H334*0.95, 2)</f>
      </c>
      <c r="K334" s="27">
        <f>ROUND(H334*0.95, 2)</f>
      </c>
      <c r="L334" s="27">
        <f>ROUND(H334*1.05, 2)</f>
      </c>
      <c r="M334" s="27">
        <f>ROUND(H334*1.25, 2)</f>
      </c>
      <c r="N334" s="27">
        <f>ROUND(H334*1.55, 2)</f>
      </c>
      <c r="O334" s="27">
        <f>ROUND(H334*1.65, 2)</f>
      </c>
      <c r="P334" s="27">
        <f>SUM(I334:O334)</f>
      </c>
      <c r="Q334" s="27">
        <f>ROUND(H334*1.5, 2)</f>
      </c>
      <c r="R334" s="27">
        <f>ROUND(H334*2.0, 2)</f>
      </c>
      <c r="S334" s="14">
        <f>IF(F334&lt;=R334, "TRIGGER INDENT", "STOCK HEALTHY")</f>
      </c>
      <c r="T334" s="27">
        <f>IF(F334&lt;=R334, ROUND(MAX(H334, (I334+Q334)-F334), 2), 0)</f>
      </c>
    </row>
    <row r="335" ht="20" customHeight="1" spans="1:20" x14ac:dyDescent="0.25">
      <c r="A335" s="12" t="s">
        <v>815</v>
      </c>
      <c r="B335" s="12" t="s">
        <v>816</v>
      </c>
      <c r="C335" s="12" t="s">
        <v>154</v>
      </c>
      <c r="D335" s="12" t="s">
        <v>139</v>
      </c>
      <c r="E335" s="24">
        <v>20</v>
      </c>
      <c r="F335" s="25">
        <v>50</v>
      </c>
      <c r="G335" s="12" t="s">
        <v>85</v>
      </c>
      <c r="H335" s="25">
        <v>6</v>
      </c>
      <c r="I335" s="25">
        <f>ROUND(H335*1.0, 2)</f>
      </c>
      <c r="J335" s="25">
        <f>ROUND(H335*0.95, 2)</f>
      </c>
      <c r="K335" s="25">
        <f>ROUND(H335*0.95, 2)</f>
      </c>
      <c r="L335" s="25">
        <f>ROUND(H335*1.05, 2)</f>
      </c>
      <c r="M335" s="25">
        <f>ROUND(H335*1.25, 2)</f>
      </c>
      <c r="N335" s="25">
        <f>ROUND(H335*1.55, 2)</f>
      </c>
      <c r="O335" s="25">
        <f>ROUND(H335*1.65, 2)</f>
      </c>
      <c r="P335" s="25">
        <f>SUM(I335:O335)</f>
      </c>
      <c r="Q335" s="25">
        <f>ROUND(H335*1.5, 2)</f>
      </c>
      <c r="R335" s="25">
        <f>ROUND(H335*2.0, 2)</f>
      </c>
      <c r="S335" s="12">
        <f>IF(F335&lt;=R335, "TRIGGER INDENT", "STOCK HEALTHY")</f>
      </c>
      <c r="T335" s="25">
        <f>IF(F335&lt;=R335, ROUND(MAX(H335, (I335+Q335)-F335), 2), 0)</f>
      </c>
    </row>
    <row r="336" ht="20" customHeight="1" spans="1:20" x14ac:dyDescent="0.25">
      <c r="A336" s="14" t="s">
        <v>817</v>
      </c>
      <c r="B336" s="14" t="s">
        <v>818</v>
      </c>
      <c r="C336" s="14" t="s">
        <v>154</v>
      </c>
      <c r="D336" s="14" t="s">
        <v>139</v>
      </c>
      <c r="E336" s="26">
        <v>20</v>
      </c>
      <c r="F336" s="27">
        <v>50</v>
      </c>
      <c r="G336" s="14" t="s">
        <v>85</v>
      </c>
      <c r="H336" s="27">
        <v>6</v>
      </c>
      <c r="I336" s="27">
        <f>ROUND(H336*1.0, 2)</f>
      </c>
      <c r="J336" s="27">
        <f>ROUND(H336*0.95, 2)</f>
      </c>
      <c r="K336" s="27">
        <f>ROUND(H336*0.95, 2)</f>
      </c>
      <c r="L336" s="27">
        <f>ROUND(H336*1.05, 2)</f>
      </c>
      <c r="M336" s="27">
        <f>ROUND(H336*1.25, 2)</f>
      </c>
      <c r="N336" s="27">
        <f>ROUND(H336*1.55, 2)</f>
      </c>
      <c r="O336" s="27">
        <f>ROUND(H336*1.65, 2)</f>
      </c>
      <c r="P336" s="27">
        <f>SUM(I336:O336)</f>
      </c>
      <c r="Q336" s="27">
        <f>ROUND(H336*1.5, 2)</f>
      </c>
      <c r="R336" s="27">
        <f>ROUND(H336*2.0, 2)</f>
      </c>
      <c r="S336" s="14">
        <f>IF(F336&lt;=R336, "TRIGGER INDENT", "STOCK HEALTHY")</f>
      </c>
      <c r="T336" s="27">
        <f>IF(F336&lt;=R336, ROUND(MAX(H336, (I336+Q336)-F336), 2), 0)</f>
      </c>
    </row>
    <row r="337" ht="20" customHeight="1" spans="1:20" x14ac:dyDescent="0.25">
      <c r="A337" s="12" t="s">
        <v>819</v>
      </c>
      <c r="B337" s="12" t="s">
        <v>820</v>
      </c>
      <c r="C337" s="12" t="s">
        <v>154</v>
      </c>
      <c r="D337" s="12" t="s">
        <v>139</v>
      </c>
      <c r="E337" s="24">
        <v>20</v>
      </c>
      <c r="F337" s="25">
        <v>50</v>
      </c>
      <c r="G337" s="12" t="s">
        <v>85</v>
      </c>
      <c r="H337" s="25">
        <v>6</v>
      </c>
      <c r="I337" s="25">
        <f>ROUND(H337*1.0, 2)</f>
      </c>
      <c r="J337" s="25">
        <f>ROUND(H337*0.95, 2)</f>
      </c>
      <c r="K337" s="25">
        <f>ROUND(H337*0.95, 2)</f>
      </c>
      <c r="L337" s="25">
        <f>ROUND(H337*1.05, 2)</f>
      </c>
      <c r="M337" s="25">
        <f>ROUND(H337*1.25, 2)</f>
      </c>
      <c r="N337" s="25">
        <f>ROUND(H337*1.55, 2)</f>
      </c>
      <c r="O337" s="25">
        <f>ROUND(H337*1.65, 2)</f>
      </c>
      <c r="P337" s="25">
        <f>SUM(I337:O337)</f>
      </c>
      <c r="Q337" s="25">
        <f>ROUND(H337*1.5, 2)</f>
      </c>
      <c r="R337" s="25">
        <f>ROUND(H337*2.0, 2)</f>
      </c>
      <c r="S337" s="12">
        <f>IF(F337&lt;=R337, "TRIGGER INDENT", "STOCK HEALTHY")</f>
      </c>
      <c r="T337" s="25">
        <f>IF(F337&lt;=R337, ROUND(MAX(H337, (I337+Q337)-F337), 2), 0)</f>
      </c>
    </row>
    <row r="338" ht="20" customHeight="1" spans="1:20" x14ac:dyDescent="0.25">
      <c r="A338" s="14" t="s">
        <v>821</v>
      </c>
      <c r="B338" s="14" t="s">
        <v>822</v>
      </c>
      <c r="C338" s="14" t="s">
        <v>154</v>
      </c>
      <c r="D338" s="14" t="s">
        <v>139</v>
      </c>
      <c r="E338" s="26">
        <v>20</v>
      </c>
      <c r="F338" s="27">
        <v>50</v>
      </c>
      <c r="G338" s="14" t="s">
        <v>85</v>
      </c>
      <c r="H338" s="27">
        <v>6</v>
      </c>
      <c r="I338" s="27">
        <f>ROUND(H338*1.0, 2)</f>
      </c>
      <c r="J338" s="27">
        <f>ROUND(H338*0.95, 2)</f>
      </c>
      <c r="K338" s="27">
        <f>ROUND(H338*0.95, 2)</f>
      </c>
      <c r="L338" s="27">
        <f>ROUND(H338*1.05, 2)</f>
      </c>
      <c r="M338" s="27">
        <f>ROUND(H338*1.25, 2)</f>
      </c>
      <c r="N338" s="27">
        <f>ROUND(H338*1.55, 2)</f>
      </c>
      <c r="O338" s="27">
        <f>ROUND(H338*1.65, 2)</f>
      </c>
      <c r="P338" s="27">
        <f>SUM(I338:O338)</f>
      </c>
      <c r="Q338" s="27">
        <f>ROUND(H338*1.5, 2)</f>
      </c>
      <c r="R338" s="27">
        <f>ROUND(H338*2.0, 2)</f>
      </c>
      <c r="S338" s="14">
        <f>IF(F338&lt;=R338, "TRIGGER INDENT", "STOCK HEALTHY")</f>
      </c>
      <c r="T338" s="27">
        <f>IF(F338&lt;=R338, ROUND(MAX(H338, (I338+Q338)-F338), 2), 0)</f>
      </c>
    </row>
    <row r="339" ht="20" customHeight="1" spans="1:20" x14ac:dyDescent="0.25">
      <c r="A339" s="12" t="s">
        <v>823</v>
      </c>
      <c r="B339" s="12" t="s">
        <v>824</v>
      </c>
      <c r="C339" s="12" t="s">
        <v>154</v>
      </c>
      <c r="D339" s="12" t="s">
        <v>139</v>
      </c>
      <c r="E339" s="24">
        <v>20</v>
      </c>
      <c r="F339" s="25">
        <v>50</v>
      </c>
      <c r="G339" s="12" t="s">
        <v>85</v>
      </c>
      <c r="H339" s="25">
        <v>6</v>
      </c>
      <c r="I339" s="25">
        <f>ROUND(H339*1.0, 2)</f>
      </c>
      <c r="J339" s="25">
        <f>ROUND(H339*0.95, 2)</f>
      </c>
      <c r="K339" s="25">
        <f>ROUND(H339*0.95, 2)</f>
      </c>
      <c r="L339" s="25">
        <f>ROUND(H339*1.05, 2)</f>
      </c>
      <c r="M339" s="25">
        <f>ROUND(H339*1.25, 2)</f>
      </c>
      <c r="N339" s="25">
        <f>ROUND(H339*1.55, 2)</f>
      </c>
      <c r="O339" s="25">
        <f>ROUND(H339*1.65, 2)</f>
      </c>
      <c r="P339" s="25">
        <f>SUM(I339:O339)</f>
      </c>
      <c r="Q339" s="25">
        <f>ROUND(H339*1.5, 2)</f>
      </c>
      <c r="R339" s="25">
        <f>ROUND(H339*2.0, 2)</f>
      </c>
      <c r="S339" s="12">
        <f>IF(F339&lt;=R339, "TRIGGER INDENT", "STOCK HEALTHY")</f>
      </c>
      <c r="T339" s="25">
        <f>IF(F339&lt;=R339, ROUND(MAX(H339, (I339+Q339)-F339), 2), 0)</f>
      </c>
    </row>
    <row r="340" ht="20" customHeight="1" spans="1:20" x14ac:dyDescent="0.25">
      <c r="A340" s="14" t="s">
        <v>825</v>
      </c>
      <c r="B340" s="14" t="s">
        <v>826</v>
      </c>
      <c r="C340" s="14" t="s">
        <v>154</v>
      </c>
      <c r="D340" s="14" t="s">
        <v>139</v>
      </c>
      <c r="E340" s="26">
        <v>20</v>
      </c>
      <c r="F340" s="27">
        <v>50</v>
      </c>
      <c r="G340" s="14" t="s">
        <v>85</v>
      </c>
      <c r="H340" s="27">
        <v>6</v>
      </c>
      <c r="I340" s="27">
        <f>ROUND(H340*1.0, 2)</f>
      </c>
      <c r="J340" s="27">
        <f>ROUND(H340*0.95, 2)</f>
      </c>
      <c r="K340" s="27">
        <f>ROUND(H340*0.95, 2)</f>
      </c>
      <c r="L340" s="27">
        <f>ROUND(H340*1.05, 2)</f>
      </c>
      <c r="M340" s="27">
        <f>ROUND(H340*1.25, 2)</f>
      </c>
      <c r="N340" s="27">
        <f>ROUND(H340*1.55, 2)</f>
      </c>
      <c r="O340" s="27">
        <f>ROUND(H340*1.65, 2)</f>
      </c>
      <c r="P340" s="27">
        <f>SUM(I340:O340)</f>
      </c>
      <c r="Q340" s="27">
        <f>ROUND(H340*1.5, 2)</f>
      </c>
      <c r="R340" s="27">
        <f>ROUND(H340*2.0, 2)</f>
      </c>
      <c r="S340" s="14">
        <f>IF(F340&lt;=R340, "TRIGGER INDENT", "STOCK HEALTHY")</f>
      </c>
      <c r="T340" s="27">
        <f>IF(F340&lt;=R340, ROUND(MAX(H340, (I340+Q340)-F340), 2), 0)</f>
      </c>
    </row>
    <row r="341" ht="20" customHeight="1" spans="1:20" x14ac:dyDescent="0.25">
      <c r="A341" s="12" t="s">
        <v>827</v>
      </c>
      <c r="B341" s="12" t="s">
        <v>828</v>
      </c>
      <c r="C341" s="12" t="s">
        <v>138</v>
      </c>
      <c r="D341" s="12" t="s">
        <v>139</v>
      </c>
      <c r="E341" s="24">
        <v>1895</v>
      </c>
      <c r="F341" s="25">
        <v>9.919999</v>
      </c>
      <c r="G341" s="12" t="s">
        <v>85</v>
      </c>
      <c r="H341" s="25">
        <v>1.98</v>
      </c>
      <c r="I341" s="25">
        <f>ROUND(H341*1.0, 2)</f>
      </c>
      <c r="J341" s="25">
        <f>ROUND(H341*0.95, 2)</f>
      </c>
      <c r="K341" s="25">
        <f>ROUND(H341*0.95, 2)</f>
      </c>
      <c r="L341" s="25">
        <f>ROUND(H341*1.05, 2)</f>
      </c>
      <c r="M341" s="25">
        <f>ROUND(H341*1.25, 2)</f>
      </c>
      <c r="N341" s="25">
        <f>ROUND(H341*1.55, 2)</f>
      </c>
      <c r="O341" s="25">
        <f>ROUND(H341*1.65, 2)</f>
      </c>
      <c r="P341" s="25">
        <f>SUM(I341:O341)</f>
      </c>
      <c r="Q341" s="25">
        <f>ROUND(H341*1.5, 2)</f>
      </c>
      <c r="R341" s="25">
        <f>ROUND(H341*2.0, 2)</f>
      </c>
      <c r="S341" s="12">
        <f>IF(F341&lt;=R341, "TRIGGER INDENT", "STOCK HEALTHY")</f>
      </c>
      <c r="T341" s="25">
        <f>IF(F341&lt;=R341, ROUND(MAX(H341, (I341+Q341)-F341), 2), 0)</f>
      </c>
    </row>
    <row r="342" ht="20" customHeight="1" spans="1:20" x14ac:dyDescent="0.25">
      <c r="A342" s="14" t="s">
        <v>829</v>
      </c>
      <c r="B342" s="14" t="s">
        <v>830</v>
      </c>
      <c r="C342" s="14" t="s">
        <v>138</v>
      </c>
      <c r="D342" s="14" t="s">
        <v>139</v>
      </c>
      <c r="E342" s="26">
        <v>148</v>
      </c>
      <c r="F342" s="27">
        <v>648</v>
      </c>
      <c r="G342" s="14" t="s">
        <v>67</v>
      </c>
      <c r="H342" s="27">
        <v>51.84</v>
      </c>
      <c r="I342" s="27">
        <f>ROUND(H342*1.0, 2)</f>
      </c>
      <c r="J342" s="27">
        <f>ROUND(H342*0.95, 2)</f>
      </c>
      <c r="K342" s="27">
        <f>ROUND(H342*0.95, 2)</f>
      </c>
      <c r="L342" s="27">
        <f>ROUND(H342*1.05, 2)</f>
      </c>
      <c r="M342" s="27">
        <f>ROUND(H342*1.25, 2)</f>
      </c>
      <c r="N342" s="27">
        <f>ROUND(H342*1.55, 2)</f>
      </c>
      <c r="O342" s="27">
        <f>ROUND(H342*1.65, 2)</f>
      </c>
      <c r="P342" s="27">
        <f>SUM(I342:O342)</f>
      </c>
      <c r="Q342" s="27">
        <f>ROUND(H342*1.5, 2)</f>
      </c>
      <c r="R342" s="27">
        <f>ROUND(H342*2.0, 2)</f>
      </c>
      <c r="S342" s="14">
        <f>IF(F342&lt;=R342, "TRIGGER INDENT", "STOCK HEALTHY")</f>
      </c>
      <c r="T342" s="27">
        <f>IF(F342&lt;=R342, ROUND(MAX(H342, (I342+Q342)-F342), 2), 0)</f>
      </c>
    </row>
    <row r="343" ht="20" customHeight="1" spans="1:20" x14ac:dyDescent="0.25">
      <c r="A343" s="12" t="s">
        <v>831</v>
      </c>
      <c r="B343" s="12" t="s">
        <v>832</v>
      </c>
      <c r="C343" s="12" t="s">
        <v>126</v>
      </c>
      <c r="D343" s="12" t="s">
        <v>127</v>
      </c>
      <c r="E343" s="24">
        <v>90</v>
      </c>
      <c r="F343" s="25">
        <v>1.5100002</v>
      </c>
      <c r="G343" s="12" t="s">
        <v>45</v>
      </c>
      <c r="H343" s="25">
        <v>1</v>
      </c>
      <c r="I343" s="25">
        <f>ROUND(H343*1.0, 2)</f>
      </c>
      <c r="J343" s="25">
        <f>ROUND(H343*0.95, 2)</f>
      </c>
      <c r="K343" s="25">
        <f>ROUND(H343*0.95, 2)</f>
      </c>
      <c r="L343" s="25">
        <f>ROUND(H343*1.05, 2)</f>
      </c>
      <c r="M343" s="25">
        <f>ROUND(H343*1.25, 2)</f>
      </c>
      <c r="N343" s="25">
        <f>ROUND(H343*1.55, 2)</f>
      </c>
      <c r="O343" s="25">
        <f>ROUND(H343*1.65, 2)</f>
      </c>
      <c r="P343" s="25">
        <f>SUM(I343:O343)</f>
      </c>
      <c r="Q343" s="25">
        <f>ROUND(H343*1.5, 2)</f>
      </c>
      <c r="R343" s="25">
        <f>ROUND(H343*2.0, 2)</f>
      </c>
      <c r="S343" s="12">
        <f>IF(F343&lt;=R343, "TRIGGER INDENT", "STOCK HEALTHY")</f>
      </c>
      <c r="T343" s="25">
        <f>IF(F343&lt;=R343, ROUND(MAX(H343, (I343+Q343)-F343), 2), 0)</f>
      </c>
    </row>
    <row r="344" ht="20" customHeight="1" spans="1:20" x14ac:dyDescent="0.25">
      <c r="A344" s="14" t="s">
        <v>833</v>
      </c>
      <c r="B344" s="14" t="s">
        <v>834</v>
      </c>
      <c r="C344" s="14" t="s">
        <v>416</v>
      </c>
      <c r="D344" s="14" t="s">
        <v>127</v>
      </c>
      <c r="E344" s="26">
        <v>0.6899999976158142</v>
      </c>
      <c r="F344" s="27">
        <v>30400</v>
      </c>
      <c r="G344" s="14" t="s">
        <v>61</v>
      </c>
      <c r="H344" s="27">
        <v>1520</v>
      </c>
      <c r="I344" s="27">
        <f>ROUND(H344*1.0, 2)</f>
      </c>
      <c r="J344" s="27">
        <f>ROUND(H344*0.95, 2)</f>
      </c>
      <c r="K344" s="27">
        <f>ROUND(H344*0.95, 2)</f>
      </c>
      <c r="L344" s="27">
        <f>ROUND(H344*1.05, 2)</f>
      </c>
      <c r="M344" s="27">
        <f>ROUND(H344*1.25, 2)</f>
      </c>
      <c r="N344" s="27">
        <f>ROUND(H344*1.55, 2)</f>
      </c>
      <c r="O344" s="27">
        <f>ROUND(H344*1.65, 2)</f>
      </c>
      <c r="P344" s="27">
        <f>SUM(I344:O344)</f>
      </c>
      <c r="Q344" s="27">
        <f>ROUND(H344*1.5, 2)</f>
      </c>
      <c r="R344" s="27">
        <f>ROUND(H344*2.0, 2)</f>
      </c>
      <c r="S344" s="14">
        <f>IF(F344&lt;=R344, "TRIGGER INDENT", "STOCK HEALTHY")</f>
      </c>
      <c r="T344" s="27">
        <f>IF(F344&lt;=R344, ROUND(MAX(H344, (I344+Q344)-F344), 2), 0)</f>
      </c>
    </row>
    <row r="345" ht="20" customHeight="1" spans="1:20" x14ac:dyDescent="0.25">
      <c r="A345" s="12" t="s">
        <v>835</v>
      </c>
      <c r="B345" s="12" t="s">
        <v>836</v>
      </c>
      <c r="C345" s="12" t="s">
        <v>416</v>
      </c>
      <c r="D345" s="12" t="s">
        <v>135</v>
      </c>
      <c r="E345" s="24">
        <v>67.77999877929688</v>
      </c>
      <c r="F345" s="25">
        <v>160</v>
      </c>
      <c r="G345" s="12" t="s">
        <v>55</v>
      </c>
      <c r="H345" s="25">
        <v>19.2</v>
      </c>
      <c r="I345" s="25">
        <f>ROUND(H345*1.0, 2)</f>
      </c>
      <c r="J345" s="25">
        <f>ROUND(H345*0.95, 2)</f>
      </c>
      <c r="K345" s="25">
        <f>ROUND(H345*0.95, 2)</f>
      </c>
      <c r="L345" s="25">
        <f>ROUND(H345*1.05, 2)</f>
      </c>
      <c r="M345" s="25">
        <f>ROUND(H345*1.25, 2)</f>
      </c>
      <c r="N345" s="25">
        <f>ROUND(H345*1.55, 2)</f>
      </c>
      <c r="O345" s="25">
        <f>ROUND(H345*1.65, 2)</f>
      </c>
      <c r="P345" s="25">
        <f>SUM(I345:O345)</f>
      </c>
      <c r="Q345" s="25">
        <f>ROUND(H345*1.5, 2)</f>
      </c>
      <c r="R345" s="25">
        <f>ROUND(H345*2.0, 2)</f>
      </c>
      <c r="S345" s="12">
        <f>IF(F345&lt;=R345, "TRIGGER INDENT", "STOCK HEALTHY")</f>
      </c>
      <c r="T345" s="25">
        <f>IF(F345&lt;=R345, ROUND(MAX(H345, (I345+Q345)-F345), 2), 0)</f>
      </c>
    </row>
    <row r="346" ht="20" customHeight="1" spans="1:20" x14ac:dyDescent="0.25">
      <c r="A346" s="14" t="s">
        <v>837</v>
      </c>
      <c r="B346" s="14" t="s">
        <v>838</v>
      </c>
      <c r="C346" s="14" t="s">
        <v>126</v>
      </c>
      <c r="D346" s="14" t="s">
        <v>490</v>
      </c>
      <c r="E346" s="26">
        <v>27.940000534057617</v>
      </c>
      <c r="F346" s="27">
        <v>192</v>
      </c>
      <c r="G346" s="14" t="s">
        <v>73</v>
      </c>
      <c r="H346" s="27">
        <v>23.04</v>
      </c>
      <c r="I346" s="27">
        <f>ROUND(H346*1.0, 2)</f>
      </c>
      <c r="J346" s="27">
        <f>ROUND(H346*0.95, 2)</f>
      </c>
      <c r="K346" s="27">
        <f>ROUND(H346*0.95, 2)</f>
      </c>
      <c r="L346" s="27">
        <f>ROUND(H346*1.05, 2)</f>
      </c>
      <c r="M346" s="27">
        <f>ROUND(H346*1.25, 2)</f>
      </c>
      <c r="N346" s="27">
        <f>ROUND(H346*1.55, 2)</f>
      </c>
      <c r="O346" s="27">
        <f>ROUND(H346*1.65, 2)</f>
      </c>
      <c r="P346" s="27">
        <f>SUM(I346:O346)</f>
      </c>
      <c r="Q346" s="27">
        <f>ROUND(H346*1.5, 2)</f>
      </c>
      <c r="R346" s="27">
        <f>ROUND(H346*2.0, 2)</f>
      </c>
      <c r="S346" s="14">
        <f>IF(F346&lt;=R346, "TRIGGER INDENT", "STOCK HEALTHY")</f>
      </c>
      <c r="T346" s="27">
        <f>IF(F346&lt;=R346, ROUND(MAX(H346, (I346+Q346)-F346), 2), 0)</f>
      </c>
    </row>
    <row r="347" ht="20" customHeight="1" spans="1:20" x14ac:dyDescent="0.25">
      <c r="A347" s="12" t="s">
        <v>839</v>
      </c>
      <c r="B347" s="12" t="s">
        <v>840</v>
      </c>
      <c r="C347" s="12" t="s">
        <v>168</v>
      </c>
      <c r="D347" s="12" t="s">
        <v>127</v>
      </c>
      <c r="E347" s="24">
        <v>143</v>
      </c>
      <c r="F347" s="25">
        <v>480</v>
      </c>
      <c r="G347" s="12" t="s">
        <v>79</v>
      </c>
      <c r="H347" s="25">
        <v>38.4</v>
      </c>
      <c r="I347" s="25">
        <f>ROUND(H347*1.0, 2)</f>
      </c>
      <c r="J347" s="25">
        <f>ROUND(H347*0.95, 2)</f>
      </c>
      <c r="K347" s="25">
        <f>ROUND(H347*0.95, 2)</f>
      </c>
      <c r="L347" s="25">
        <f>ROUND(H347*1.05, 2)</f>
      </c>
      <c r="M347" s="25">
        <f>ROUND(H347*1.25, 2)</f>
      </c>
      <c r="N347" s="25">
        <f>ROUND(H347*1.55, 2)</f>
      </c>
      <c r="O347" s="25">
        <f>ROUND(H347*1.65, 2)</f>
      </c>
      <c r="P347" s="25">
        <f>SUM(I347:O347)</f>
      </c>
      <c r="Q347" s="25">
        <f>ROUND(H347*1.5, 2)</f>
      </c>
      <c r="R347" s="25">
        <f>ROUND(H347*2.0, 2)</f>
      </c>
      <c r="S347" s="12">
        <f>IF(F347&lt;=R347, "TRIGGER INDENT", "STOCK HEALTHY")</f>
      </c>
      <c r="T347" s="25">
        <f>IF(F347&lt;=R347, ROUND(MAX(H347, (I347+Q347)-F347), 2), 0)</f>
      </c>
    </row>
    <row r="348" ht="20" customHeight="1" spans="1:20" x14ac:dyDescent="0.25">
      <c r="A348" s="14" t="s">
        <v>841</v>
      </c>
      <c r="B348" s="14" t="s">
        <v>842</v>
      </c>
      <c r="C348" s="14" t="s">
        <v>192</v>
      </c>
      <c r="D348" s="14" t="s">
        <v>139</v>
      </c>
      <c r="E348" s="26">
        <v>112.4000015258789</v>
      </c>
      <c r="F348" s="27">
        <v>1912</v>
      </c>
      <c r="G348" s="14" t="s">
        <v>91</v>
      </c>
      <c r="H348" s="27">
        <v>95.6</v>
      </c>
      <c r="I348" s="27">
        <f>ROUND(H348*1.0, 2)</f>
      </c>
      <c r="J348" s="27">
        <f>ROUND(H348*0.95, 2)</f>
      </c>
      <c r="K348" s="27">
        <f>ROUND(H348*0.95, 2)</f>
      </c>
      <c r="L348" s="27">
        <f>ROUND(H348*1.05, 2)</f>
      </c>
      <c r="M348" s="27">
        <f>ROUND(H348*1.25, 2)</f>
      </c>
      <c r="N348" s="27">
        <f>ROUND(H348*1.55, 2)</f>
      </c>
      <c r="O348" s="27">
        <f>ROUND(H348*1.65, 2)</f>
      </c>
      <c r="P348" s="27">
        <f>SUM(I348:O348)</f>
      </c>
      <c r="Q348" s="27">
        <f>ROUND(H348*1.5, 2)</f>
      </c>
      <c r="R348" s="27">
        <f>ROUND(H348*2.0, 2)</f>
      </c>
      <c r="S348" s="14">
        <f>IF(F348&lt;=R348, "TRIGGER INDENT", "STOCK HEALTHY")</f>
      </c>
      <c r="T348" s="27">
        <f>IF(F348&lt;=R348, ROUND(MAX(H348, (I348+Q348)-F348), 2), 0)</f>
      </c>
    </row>
    <row r="349" ht="20" customHeight="1" spans="1:20" x14ac:dyDescent="0.25">
      <c r="A349" s="12" t="s">
        <v>843</v>
      </c>
      <c r="B349" s="12" t="s">
        <v>844</v>
      </c>
      <c r="C349" s="12" t="s">
        <v>138</v>
      </c>
      <c r="D349" s="12" t="s">
        <v>139</v>
      </c>
      <c r="E349" s="24">
        <v>192.3000030517578</v>
      </c>
      <c r="F349" s="25">
        <v>1008</v>
      </c>
      <c r="G349" s="12" t="s">
        <v>91</v>
      </c>
      <c r="H349" s="25">
        <v>50.4</v>
      </c>
      <c r="I349" s="25">
        <f>ROUND(H349*1.0, 2)</f>
      </c>
      <c r="J349" s="25">
        <f>ROUND(H349*0.95, 2)</f>
      </c>
      <c r="K349" s="25">
        <f>ROUND(H349*0.95, 2)</f>
      </c>
      <c r="L349" s="25">
        <f>ROUND(H349*1.05, 2)</f>
      </c>
      <c r="M349" s="25">
        <f>ROUND(H349*1.25, 2)</f>
      </c>
      <c r="N349" s="25">
        <f>ROUND(H349*1.55, 2)</f>
      </c>
      <c r="O349" s="25">
        <f>ROUND(H349*1.65, 2)</f>
      </c>
      <c r="P349" s="25">
        <f>SUM(I349:O349)</f>
      </c>
      <c r="Q349" s="25">
        <f>ROUND(H349*1.5, 2)</f>
      </c>
      <c r="R349" s="25">
        <f>ROUND(H349*2.0, 2)</f>
      </c>
      <c r="S349" s="12">
        <f>IF(F349&lt;=R349, "TRIGGER INDENT", "STOCK HEALTHY")</f>
      </c>
      <c r="T349" s="25">
        <f>IF(F349&lt;=R349, ROUND(MAX(H349, (I349+Q349)-F349), 2), 0)</f>
      </c>
    </row>
    <row r="350" ht="20" customHeight="1" spans="1:20" x14ac:dyDescent="0.25">
      <c r="A350" s="14" t="s">
        <v>845</v>
      </c>
      <c r="B350" s="14" t="s">
        <v>846</v>
      </c>
      <c r="C350" s="14" t="s">
        <v>160</v>
      </c>
      <c r="D350" s="14" t="s">
        <v>179</v>
      </c>
      <c r="E350" s="26">
        <v>11.600000381469727</v>
      </c>
      <c r="F350" s="27">
        <v>1.5100002</v>
      </c>
      <c r="G350" s="14" t="s">
        <v>85</v>
      </c>
      <c r="H350" s="27">
        <v>1</v>
      </c>
      <c r="I350" s="27">
        <f>ROUND(H350*1.0, 2)</f>
      </c>
      <c r="J350" s="27">
        <f>ROUND(H350*0.95, 2)</f>
      </c>
      <c r="K350" s="27">
        <f>ROUND(H350*0.95, 2)</f>
      </c>
      <c r="L350" s="27">
        <f>ROUND(H350*1.05, 2)</f>
      </c>
      <c r="M350" s="27">
        <f>ROUND(H350*1.25, 2)</f>
      </c>
      <c r="N350" s="27">
        <f>ROUND(H350*1.55, 2)</f>
      </c>
      <c r="O350" s="27">
        <f>ROUND(H350*1.65, 2)</f>
      </c>
      <c r="P350" s="27">
        <f>SUM(I350:O350)</f>
      </c>
      <c r="Q350" s="27">
        <f>ROUND(H350*1.5, 2)</f>
      </c>
      <c r="R350" s="27">
        <f>ROUND(H350*2.0, 2)</f>
      </c>
      <c r="S350" s="14">
        <f>IF(F350&lt;=R350, "TRIGGER INDENT", "STOCK HEALTHY")</f>
      </c>
      <c r="T350" s="27">
        <f>IF(F350&lt;=R350, ROUND(MAX(H350, (I350+Q350)-F350), 2), 0)</f>
      </c>
    </row>
    <row r="351" ht="20" customHeight="1" spans="1:20" x14ac:dyDescent="0.25">
      <c r="A351" s="12" t="s">
        <v>847</v>
      </c>
      <c r="B351" s="12" t="s">
        <v>848</v>
      </c>
      <c r="C351" s="12" t="s">
        <v>151</v>
      </c>
      <c r="D351" s="12" t="s">
        <v>139</v>
      </c>
      <c r="E351" s="24">
        <v>36.58000183105469</v>
      </c>
      <c r="F351" s="25">
        <v>986.08</v>
      </c>
      <c r="G351" s="12" t="s">
        <v>91</v>
      </c>
      <c r="H351" s="25">
        <v>78.89</v>
      </c>
      <c r="I351" s="25">
        <f>ROUND(H351*1.0, 2)</f>
      </c>
      <c r="J351" s="25">
        <f>ROUND(H351*0.95, 2)</f>
      </c>
      <c r="K351" s="25">
        <f>ROUND(H351*0.95, 2)</f>
      </c>
      <c r="L351" s="25">
        <f>ROUND(H351*1.05, 2)</f>
      </c>
      <c r="M351" s="25">
        <f>ROUND(H351*1.25, 2)</f>
      </c>
      <c r="N351" s="25">
        <f>ROUND(H351*1.55, 2)</f>
      </c>
      <c r="O351" s="25">
        <f>ROUND(H351*1.65, 2)</f>
      </c>
      <c r="P351" s="25">
        <f>SUM(I351:O351)</f>
      </c>
      <c r="Q351" s="25">
        <f>ROUND(H351*1.5, 2)</f>
      </c>
      <c r="R351" s="25">
        <f>ROUND(H351*2.0, 2)</f>
      </c>
      <c r="S351" s="12">
        <f>IF(F351&lt;=R351, "TRIGGER INDENT", "STOCK HEALTHY")</f>
      </c>
      <c r="T351" s="25">
        <f>IF(F351&lt;=R351, ROUND(MAX(H351, (I351+Q351)-F351), 2), 0)</f>
      </c>
    </row>
    <row r="352" ht="20" customHeight="1" spans="1:20" x14ac:dyDescent="0.25">
      <c r="A352" s="14" t="s">
        <v>849</v>
      </c>
      <c r="B352" s="14" t="s">
        <v>850</v>
      </c>
      <c r="C352" s="14" t="s">
        <v>192</v>
      </c>
      <c r="D352" s="14" t="s">
        <v>139</v>
      </c>
      <c r="E352" s="26">
        <v>126.47000122070312</v>
      </c>
      <c r="F352" s="27">
        <v>4622.2236</v>
      </c>
      <c r="G352" s="14" t="s">
        <v>91</v>
      </c>
      <c r="H352" s="27">
        <v>231.11</v>
      </c>
      <c r="I352" s="27">
        <f>ROUND(H352*1.0, 2)</f>
      </c>
      <c r="J352" s="27">
        <f>ROUND(H352*0.95, 2)</f>
      </c>
      <c r="K352" s="27">
        <f>ROUND(H352*0.95, 2)</f>
      </c>
      <c r="L352" s="27">
        <f>ROUND(H352*1.05, 2)</f>
      </c>
      <c r="M352" s="27">
        <f>ROUND(H352*1.25, 2)</f>
      </c>
      <c r="N352" s="27">
        <f>ROUND(H352*1.55, 2)</f>
      </c>
      <c r="O352" s="27">
        <f>ROUND(H352*1.65, 2)</f>
      </c>
      <c r="P352" s="27">
        <f>SUM(I352:O352)</f>
      </c>
      <c r="Q352" s="27">
        <f>ROUND(H352*1.5, 2)</f>
      </c>
      <c r="R352" s="27">
        <f>ROUND(H352*2.0, 2)</f>
      </c>
      <c r="S352" s="14">
        <f>IF(F352&lt;=R352, "TRIGGER INDENT", "STOCK HEALTHY")</f>
      </c>
      <c r="T352" s="27">
        <f>IF(F352&lt;=R352, ROUND(MAX(H352, (I352+Q352)-F352), 2), 0)</f>
      </c>
    </row>
    <row r="353" ht="20" customHeight="1" spans="1:20" x14ac:dyDescent="0.25">
      <c r="A353" s="12" t="s">
        <v>851</v>
      </c>
      <c r="B353" s="12" t="s">
        <v>852</v>
      </c>
      <c r="C353" s="12" t="s">
        <v>221</v>
      </c>
      <c r="D353" s="12" t="s">
        <v>139</v>
      </c>
      <c r="E353" s="24">
        <v>460</v>
      </c>
      <c r="F353" s="25">
        <v>40</v>
      </c>
      <c r="G353" s="12" t="s">
        <v>45</v>
      </c>
      <c r="H353" s="25">
        <v>8</v>
      </c>
      <c r="I353" s="25">
        <f>ROUND(H353*1.0, 2)</f>
      </c>
      <c r="J353" s="25">
        <f>ROUND(H353*0.95, 2)</f>
      </c>
      <c r="K353" s="25">
        <f>ROUND(H353*0.95, 2)</f>
      </c>
      <c r="L353" s="25">
        <f>ROUND(H353*1.05, 2)</f>
      </c>
      <c r="M353" s="25">
        <f>ROUND(H353*1.25, 2)</f>
      </c>
      <c r="N353" s="25">
        <f>ROUND(H353*1.55, 2)</f>
      </c>
      <c r="O353" s="25">
        <f>ROUND(H353*1.65, 2)</f>
      </c>
      <c r="P353" s="25">
        <f>SUM(I353:O353)</f>
      </c>
      <c r="Q353" s="25">
        <f>ROUND(H353*1.5, 2)</f>
      </c>
      <c r="R353" s="25">
        <f>ROUND(H353*2.0, 2)</f>
      </c>
      <c r="S353" s="12">
        <f>IF(F353&lt;=R353, "TRIGGER INDENT", "STOCK HEALTHY")</f>
      </c>
      <c r="T353" s="25">
        <f>IF(F353&lt;=R353, ROUND(MAX(H353, (I353+Q353)-F353), 2), 0)</f>
      </c>
    </row>
    <row r="354" ht="20" customHeight="1" spans="1:20" x14ac:dyDescent="0.25">
      <c r="A354" s="14" t="s">
        <v>853</v>
      </c>
      <c r="B354" s="14" t="s">
        <v>854</v>
      </c>
      <c r="C354" s="14" t="s">
        <v>154</v>
      </c>
      <c r="D354" s="14" t="s">
        <v>127</v>
      </c>
      <c r="E354" s="26">
        <v>30</v>
      </c>
      <c r="F354" s="27">
        <v>48</v>
      </c>
      <c r="G354" s="14" t="s">
        <v>85</v>
      </c>
      <c r="H354" s="27">
        <v>9.6</v>
      </c>
      <c r="I354" s="27">
        <f>ROUND(H354*1.0, 2)</f>
      </c>
      <c r="J354" s="27">
        <f>ROUND(H354*0.95, 2)</f>
      </c>
      <c r="K354" s="27">
        <f>ROUND(H354*0.95, 2)</f>
      </c>
      <c r="L354" s="27">
        <f>ROUND(H354*1.05, 2)</f>
      </c>
      <c r="M354" s="27">
        <f>ROUND(H354*1.25, 2)</f>
      </c>
      <c r="N354" s="27">
        <f>ROUND(H354*1.55, 2)</f>
      </c>
      <c r="O354" s="27">
        <f>ROUND(H354*1.65, 2)</f>
      </c>
      <c r="P354" s="27">
        <f>SUM(I354:O354)</f>
      </c>
      <c r="Q354" s="27">
        <f>ROUND(H354*1.5, 2)</f>
      </c>
      <c r="R354" s="27">
        <f>ROUND(H354*2.0, 2)</f>
      </c>
      <c r="S354" s="14">
        <f>IF(F354&lt;=R354, "TRIGGER INDENT", "STOCK HEALTHY")</f>
      </c>
      <c r="T354" s="27">
        <f>IF(F354&lt;=R354, ROUND(MAX(H354, (I354+Q354)-F354), 2), 0)</f>
      </c>
    </row>
    <row r="355" ht="20" customHeight="1" spans="1:20" x14ac:dyDescent="0.25">
      <c r="A355" s="12" t="s">
        <v>855</v>
      </c>
      <c r="B355" s="12" t="s">
        <v>856</v>
      </c>
      <c r="C355" s="12" t="s">
        <v>245</v>
      </c>
      <c r="D355" s="12" t="s">
        <v>246</v>
      </c>
      <c r="E355" s="24">
        <v>470.6700134277344</v>
      </c>
      <c r="F355" s="25">
        <v>48</v>
      </c>
      <c r="G355" s="12" t="s">
        <v>61</v>
      </c>
      <c r="H355" s="25">
        <v>9.6</v>
      </c>
      <c r="I355" s="25">
        <f>ROUND(H355*1.0, 2)</f>
      </c>
      <c r="J355" s="25">
        <f>ROUND(H355*0.95, 2)</f>
      </c>
      <c r="K355" s="25">
        <f>ROUND(H355*0.95, 2)</f>
      </c>
      <c r="L355" s="25">
        <f>ROUND(H355*1.05, 2)</f>
      </c>
      <c r="M355" s="25">
        <f>ROUND(H355*1.25, 2)</f>
      </c>
      <c r="N355" s="25">
        <f>ROUND(H355*1.55, 2)</f>
      </c>
      <c r="O355" s="25">
        <f>ROUND(H355*1.65, 2)</f>
      </c>
      <c r="P355" s="25">
        <f>SUM(I355:O355)</f>
      </c>
      <c r="Q355" s="25">
        <f>ROUND(H355*1.5, 2)</f>
      </c>
      <c r="R355" s="25">
        <f>ROUND(H355*2.0, 2)</f>
      </c>
      <c r="S355" s="12">
        <f>IF(F355&lt;=R355, "TRIGGER INDENT", "STOCK HEALTHY")</f>
      </c>
      <c r="T355" s="25">
        <f>IF(F355&lt;=R355, ROUND(MAX(H355, (I355+Q355)-F355), 2), 0)</f>
      </c>
    </row>
    <row r="356" ht="20" customHeight="1" spans="1:20" x14ac:dyDescent="0.25">
      <c r="A356" s="14" t="s">
        <v>857</v>
      </c>
      <c r="B356" s="14" t="s">
        <v>858</v>
      </c>
      <c r="C356" s="14" t="s">
        <v>382</v>
      </c>
      <c r="D356" s="14" t="s">
        <v>179</v>
      </c>
      <c r="E356" s="26">
        <v>144.5399932861328</v>
      </c>
      <c r="F356" s="27">
        <v>192</v>
      </c>
      <c r="G356" s="14" t="s">
        <v>55</v>
      </c>
      <c r="H356" s="27">
        <v>23.04</v>
      </c>
      <c r="I356" s="27">
        <f>ROUND(H356*1.0, 2)</f>
      </c>
      <c r="J356" s="27">
        <f>ROUND(H356*0.95, 2)</f>
      </c>
      <c r="K356" s="27">
        <f>ROUND(H356*0.95, 2)</f>
      </c>
      <c r="L356" s="27">
        <f>ROUND(H356*1.05, 2)</f>
      </c>
      <c r="M356" s="27">
        <f>ROUND(H356*1.25, 2)</f>
      </c>
      <c r="N356" s="27">
        <f>ROUND(H356*1.55, 2)</f>
      </c>
      <c r="O356" s="27">
        <f>ROUND(H356*1.65, 2)</f>
      </c>
      <c r="P356" s="27">
        <f>SUM(I356:O356)</f>
      </c>
      <c r="Q356" s="27">
        <f>ROUND(H356*1.5, 2)</f>
      </c>
      <c r="R356" s="27">
        <f>ROUND(H356*2.0, 2)</f>
      </c>
      <c r="S356" s="14">
        <f>IF(F356&lt;=R356, "TRIGGER INDENT", "STOCK HEALTHY")</f>
      </c>
      <c r="T356" s="27">
        <f>IF(F356&lt;=R356, ROUND(MAX(H356, (I356+Q356)-F356), 2), 0)</f>
      </c>
    </row>
    <row r="357" ht="20" customHeight="1" spans="1:20" x14ac:dyDescent="0.25">
      <c r="A357" s="12" t="s">
        <v>859</v>
      </c>
      <c r="B357" s="12" t="s">
        <v>860</v>
      </c>
      <c r="C357" s="12" t="s">
        <v>416</v>
      </c>
      <c r="D357" s="12" t="s">
        <v>135</v>
      </c>
      <c r="E357" s="24">
        <v>182</v>
      </c>
      <c r="F357" s="25">
        <v>272</v>
      </c>
      <c r="G357" s="12" t="s">
        <v>55</v>
      </c>
      <c r="H357" s="25">
        <v>21.76</v>
      </c>
      <c r="I357" s="25">
        <f>ROUND(H357*1.0, 2)</f>
      </c>
      <c r="J357" s="25">
        <f>ROUND(H357*0.95, 2)</f>
      </c>
      <c r="K357" s="25">
        <f>ROUND(H357*0.95, 2)</f>
      </c>
      <c r="L357" s="25">
        <f>ROUND(H357*1.05, 2)</f>
      </c>
      <c r="M357" s="25">
        <f>ROUND(H357*1.25, 2)</f>
      </c>
      <c r="N357" s="25">
        <f>ROUND(H357*1.55, 2)</f>
      </c>
      <c r="O357" s="25">
        <f>ROUND(H357*1.65, 2)</f>
      </c>
      <c r="P357" s="25">
        <f>SUM(I357:O357)</f>
      </c>
      <c r="Q357" s="25">
        <f>ROUND(H357*1.5, 2)</f>
      </c>
      <c r="R357" s="25">
        <f>ROUND(H357*2.0, 2)</f>
      </c>
      <c r="S357" s="12">
        <f>IF(F357&lt;=R357, "TRIGGER INDENT", "STOCK HEALTHY")</f>
      </c>
      <c r="T357" s="25">
        <f>IF(F357&lt;=R357, ROUND(MAX(H357, (I357+Q357)-F357), 2), 0)</f>
      </c>
    </row>
    <row r="358" ht="20" customHeight="1" spans="1:20" x14ac:dyDescent="0.25">
      <c r="A358" s="14" t="s">
        <v>861</v>
      </c>
      <c r="B358" s="14" t="s">
        <v>395</v>
      </c>
      <c r="C358" s="14" t="s">
        <v>395</v>
      </c>
      <c r="D358" s="14" t="s">
        <v>139</v>
      </c>
      <c r="E358" s="26">
        <v>3695.89990234375</v>
      </c>
      <c r="F358" s="27">
        <v>16</v>
      </c>
      <c r="G358" s="14" t="s">
        <v>67</v>
      </c>
      <c r="H358" s="27">
        <v>3.2</v>
      </c>
      <c r="I358" s="27">
        <f>ROUND(H358*1.0, 2)</f>
      </c>
      <c r="J358" s="27">
        <f>ROUND(H358*0.95, 2)</f>
      </c>
      <c r="K358" s="27">
        <f>ROUND(H358*0.95, 2)</f>
      </c>
      <c r="L358" s="27">
        <f>ROUND(H358*1.05, 2)</f>
      </c>
      <c r="M358" s="27">
        <f>ROUND(H358*1.25, 2)</f>
      </c>
      <c r="N358" s="27">
        <f>ROUND(H358*1.55, 2)</f>
      </c>
      <c r="O358" s="27">
        <f>ROUND(H358*1.65, 2)</f>
      </c>
      <c r="P358" s="27">
        <f>SUM(I358:O358)</f>
      </c>
      <c r="Q358" s="27">
        <f>ROUND(H358*1.5, 2)</f>
      </c>
      <c r="R358" s="27">
        <f>ROUND(H358*2.0, 2)</f>
      </c>
      <c r="S358" s="14">
        <f>IF(F358&lt;=R358, "TRIGGER INDENT", "STOCK HEALTHY")</f>
      </c>
      <c r="T358" s="27">
        <f>IF(F358&lt;=R358, ROUND(MAX(H358, (I358+Q358)-F358), 2), 0)</f>
      </c>
    </row>
    <row r="359" ht="20" customHeight="1" spans="1:20" x14ac:dyDescent="0.25">
      <c r="A359" s="12" t="s">
        <v>862</v>
      </c>
      <c r="B359" s="12" t="s">
        <v>863</v>
      </c>
      <c r="C359" s="12" t="s">
        <v>416</v>
      </c>
      <c r="D359" s="12" t="s">
        <v>135</v>
      </c>
      <c r="E359" s="24">
        <v>30</v>
      </c>
      <c r="F359" s="25">
        <v>160</v>
      </c>
      <c r="G359" s="12" t="s">
        <v>55</v>
      </c>
      <c r="H359" s="25">
        <v>19.2</v>
      </c>
      <c r="I359" s="25">
        <f>ROUND(H359*1.0, 2)</f>
      </c>
      <c r="J359" s="25">
        <f>ROUND(H359*0.95, 2)</f>
      </c>
      <c r="K359" s="25">
        <f>ROUND(H359*0.95, 2)</f>
      </c>
      <c r="L359" s="25">
        <f>ROUND(H359*1.05, 2)</f>
      </c>
      <c r="M359" s="25">
        <f>ROUND(H359*1.25, 2)</f>
      </c>
      <c r="N359" s="25">
        <f>ROUND(H359*1.55, 2)</f>
      </c>
      <c r="O359" s="25">
        <f>ROUND(H359*1.65, 2)</f>
      </c>
      <c r="P359" s="25">
        <f>SUM(I359:O359)</f>
      </c>
      <c r="Q359" s="25">
        <f>ROUND(H359*1.5, 2)</f>
      </c>
      <c r="R359" s="25">
        <f>ROUND(H359*2.0, 2)</f>
      </c>
      <c r="S359" s="12">
        <f>IF(F359&lt;=R359, "TRIGGER INDENT", "STOCK HEALTHY")</f>
      </c>
      <c r="T359" s="25">
        <f>IF(F359&lt;=R359, ROUND(MAX(H359, (I359+Q359)-F359), 2), 0)</f>
      </c>
    </row>
    <row r="360" ht="20" customHeight="1" spans="1:20" x14ac:dyDescent="0.25">
      <c r="A360" s="14" t="s">
        <v>864</v>
      </c>
      <c r="B360" s="14" t="s">
        <v>865</v>
      </c>
      <c r="C360" s="14" t="s">
        <v>126</v>
      </c>
      <c r="D360" s="14" t="s">
        <v>179</v>
      </c>
      <c r="E360" s="26">
        <v>38.88999938964844</v>
      </c>
      <c r="F360" s="27">
        <v>592</v>
      </c>
      <c r="G360" s="14" t="s">
        <v>45</v>
      </c>
      <c r="H360" s="27">
        <v>47.36</v>
      </c>
      <c r="I360" s="27">
        <f>ROUND(H360*1.0, 2)</f>
      </c>
      <c r="J360" s="27">
        <f>ROUND(H360*0.95, 2)</f>
      </c>
      <c r="K360" s="27">
        <f>ROUND(H360*0.95, 2)</f>
      </c>
      <c r="L360" s="27">
        <f>ROUND(H360*1.05, 2)</f>
      </c>
      <c r="M360" s="27">
        <f>ROUND(H360*1.25, 2)</f>
      </c>
      <c r="N360" s="27">
        <f>ROUND(H360*1.55, 2)</f>
      </c>
      <c r="O360" s="27">
        <f>ROUND(H360*1.65, 2)</f>
      </c>
      <c r="P360" s="27">
        <f>SUM(I360:O360)</f>
      </c>
      <c r="Q360" s="27">
        <f>ROUND(H360*1.5, 2)</f>
      </c>
      <c r="R360" s="27">
        <f>ROUND(H360*2.0, 2)</f>
      </c>
      <c r="S360" s="14">
        <f>IF(F360&lt;=R360, "TRIGGER INDENT", "STOCK HEALTHY")</f>
      </c>
      <c r="T360" s="27">
        <f>IF(F360&lt;=R360, ROUND(MAX(H360, (I360+Q360)-F360), 2), 0)</f>
      </c>
    </row>
    <row r="361" ht="20" customHeight="1" spans="1:20" x14ac:dyDescent="0.25">
      <c r="A361" s="12" t="s">
        <v>866</v>
      </c>
      <c r="B361" s="12" t="s">
        <v>867</v>
      </c>
      <c r="C361" s="12" t="s">
        <v>134</v>
      </c>
      <c r="D361" s="12" t="s">
        <v>135</v>
      </c>
      <c r="E361" s="24">
        <v>211.25</v>
      </c>
      <c r="F361" s="25">
        <v>32</v>
      </c>
      <c r="G361" s="12" t="s">
        <v>61</v>
      </c>
      <c r="H361" s="25">
        <v>6.4</v>
      </c>
      <c r="I361" s="25">
        <f>ROUND(H361*1.0, 2)</f>
      </c>
      <c r="J361" s="25">
        <f>ROUND(H361*0.95, 2)</f>
      </c>
      <c r="K361" s="25">
        <f>ROUND(H361*0.95, 2)</f>
      </c>
      <c r="L361" s="25">
        <f>ROUND(H361*1.05, 2)</f>
      </c>
      <c r="M361" s="25">
        <f>ROUND(H361*1.25, 2)</f>
      </c>
      <c r="N361" s="25">
        <f>ROUND(H361*1.55, 2)</f>
      </c>
      <c r="O361" s="25">
        <f>ROUND(H361*1.65, 2)</f>
      </c>
      <c r="P361" s="25">
        <f>SUM(I361:O361)</f>
      </c>
      <c r="Q361" s="25">
        <f>ROUND(H361*1.5, 2)</f>
      </c>
      <c r="R361" s="25">
        <f>ROUND(H361*2.0, 2)</f>
      </c>
      <c r="S361" s="12">
        <f>IF(F361&lt;=R361, "TRIGGER INDENT", "STOCK HEALTHY")</f>
      </c>
      <c r="T361" s="25">
        <f>IF(F361&lt;=R361, ROUND(MAX(H361, (I361+Q361)-F361), 2), 0)</f>
      </c>
    </row>
    <row r="362" ht="20" customHeight="1" spans="1:20" x14ac:dyDescent="0.25">
      <c r="A362" s="14" t="s">
        <v>868</v>
      </c>
      <c r="B362" s="14" t="s">
        <v>869</v>
      </c>
      <c r="C362" s="14" t="s">
        <v>144</v>
      </c>
      <c r="D362" s="14" t="s">
        <v>139</v>
      </c>
      <c r="E362" s="26">
        <v>25.25</v>
      </c>
      <c r="F362" s="27">
        <v>1.5100002</v>
      </c>
      <c r="G362" s="14" t="s">
        <v>79</v>
      </c>
      <c r="H362" s="27">
        <v>1</v>
      </c>
      <c r="I362" s="27">
        <f>ROUND(H362*1.0, 2)</f>
      </c>
      <c r="J362" s="27">
        <f>ROUND(H362*0.95, 2)</f>
      </c>
      <c r="K362" s="27">
        <f>ROUND(H362*0.95, 2)</f>
      </c>
      <c r="L362" s="27">
        <f>ROUND(H362*1.05, 2)</f>
      </c>
      <c r="M362" s="27">
        <f>ROUND(H362*1.25, 2)</f>
      </c>
      <c r="N362" s="27">
        <f>ROUND(H362*1.55, 2)</f>
      </c>
      <c r="O362" s="27">
        <f>ROUND(H362*1.65, 2)</f>
      </c>
      <c r="P362" s="27">
        <f>SUM(I362:O362)</f>
      </c>
      <c r="Q362" s="27">
        <f>ROUND(H362*1.5, 2)</f>
      </c>
      <c r="R362" s="27">
        <f>ROUND(H362*2.0, 2)</f>
      </c>
      <c r="S362" s="14">
        <f>IF(F362&lt;=R362, "TRIGGER INDENT", "STOCK HEALTHY")</f>
      </c>
      <c r="T362" s="27">
        <f>IF(F362&lt;=R362, ROUND(MAX(H362, (I362+Q362)-F362), 2), 0)</f>
      </c>
    </row>
    <row r="363" ht="20" customHeight="1" spans="1:20" x14ac:dyDescent="0.25">
      <c r="A363" s="12" t="s">
        <v>870</v>
      </c>
      <c r="B363" s="12" t="s">
        <v>871</v>
      </c>
      <c r="C363" s="12" t="s">
        <v>192</v>
      </c>
      <c r="D363" s="12" t="s">
        <v>139</v>
      </c>
      <c r="E363" s="24">
        <v>54</v>
      </c>
      <c r="F363" s="25">
        <v>864</v>
      </c>
      <c r="G363" s="12" t="s">
        <v>97</v>
      </c>
      <c r="H363" s="25">
        <v>69.12</v>
      </c>
      <c r="I363" s="25">
        <f>ROUND(H363*1.0, 2)</f>
      </c>
      <c r="J363" s="25">
        <f>ROUND(H363*0.95, 2)</f>
      </c>
      <c r="K363" s="25">
        <f>ROUND(H363*0.95, 2)</f>
      </c>
      <c r="L363" s="25">
        <f>ROUND(H363*1.05, 2)</f>
      </c>
      <c r="M363" s="25">
        <f>ROUND(H363*1.25, 2)</f>
      </c>
      <c r="N363" s="25">
        <f>ROUND(H363*1.55, 2)</f>
      </c>
      <c r="O363" s="25">
        <f>ROUND(H363*1.65, 2)</f>
      </c>
      <c r="P363" s="25">
        <f>SUM(I363:O363)</f>
      </c>
      <c r="Q363" s="25">
        <f>ROUND(H363*1.5, 2)</f>
      </c>
      <c r="R363" s="25">
        <f>ROUND(H363*2.0, 2)</f>
      </c>
      <c r="S363" s="12">
        <f>IF(F363&lt;=R363, "TRIGGER INDENT", "STOCK HEALTHY")</f>
      </c>
      <c r="T363" s="25">
        <f>IF(F363&lt;=R363, ROUND(MAX(H363, (I363+Q363)-F363), 2), 0)</f>
      </c>
    </row>
    <row r="364" ht="20" customHeight="1" spans="1:20" x14ac:dyDescent="0.25">
      <c r="A364" s="14" t="s">
        <v>872</v>
      </c>
      <c r="B364" s="14" t="s">
        <v>873</v>
      </c>
      <c r="C364" s="14" t="s">
        <v>138</v>
      </c>
      <c r="D364" s="14" t="s">
        <v>139</v>
      </c>
      <c r="E364" s="26">
        <v>135.7100067138672</v>
      </c>
      <c r="F364" s="27">
        <v>144</v>
      </c>
      <c r="G364" s="14" t="s">
        <v>55</v>
      </c>
      <c r="H364" s="27">
        <v>17.28</v>
      </c>
      <c r="I364" s="27">
        <f>ROUND(H364*1.0, 2)</f>
      </c>
      <c r="J364" s="27">
        <f>ROUND(H364*0.95, 2)</f>
      </c>
      <c r="K364" s="27">
        <f>ROUND(H364*0.95, 2)</f>
      </c>
      <c r="L364" s="27">
        <f>ROUND(H364*1.05, 2)</f>
      </c>
      <c r="M364" s="27">
        <f>ROUND(H364*1.25, 2)</f>
      </c>
      <c r="N364" s="27">
        <f>ROUND(H364*1.55, 2)</f>
      </c>
      <c r="O364" s="27">
        <f>ROUND(H364*1.65, 2)</f>
      </c>
      <c r="P364" s="27">
        <f>SUM(I364:O364)</f>
      </c>
      <c r="Q364" s="27">
        <f>ROUND(H364*1.5, 2)</f>
      </c>
      <c r="R364" s="27">
        <f>ROUND(H364*2.0, 2)</f>
      </c>
      <c r="S364" s="14">
        <f>IF(F364&lt;=R364, "TRIGGER INDENT", "STOCK HEALTHY")</f>
      </c>
      <c r="T364" s="27">
        <f>IF(F364&lt;=R364, ROUND(MAX(H364, (I364+Q364)-F364), 2), 0)</f>
      </c>
    </row>
    <row r="365" ht="20" customHeight="1" spans="1:20" x14ac:dyDescent="0.25">
      <c r="A365" s="12" t="s">
        <v>874</v>
      </c>
      <c r="B365" s="12" t="s">
        <v>875</v>
      </c>
      <c r="C365" s="12" t="s">
        <v>126</v>
      </c>
      <c r="D365" s="12" t="s">
        <v>127</v>
      </c>
      <c r="E365" s="24">
        <v>88.77999877929688</v>
      </c>
      <c r="F365" s="25">
        <v>48</v>
      </c>
      <c r="G365" s="12" t="s">
        <v>73</v>
      </c>
      <c r="H365" s="25">
        <v>9.6</v>
      </c>
      <c r="I365" s="25">
        <f>ROUND(H365*1.0, 2)</f>
      </c>
      <c r="J365" s="25">
        <f>ROUND(H365*0.95, 2)</f>
      </c>
      <c r="K365" s="25">
        <f>ROUND(H365*0.95, 2)</f>
      </c>
      <c r="L365" s="25">
        <f>ROUND(H365*1.05, 2)</f>
      </c>
      <c r="M365" s="25">
        <f>ROUND(H365*1.25, 2)</f>
      </c>
      <c r="N365" s="25">
        <f>ROUND(H365*1.55, 2)</f>
      </c>
      <c r="O365" s="25">
        <f>ROUND(H365*1.65, 2)</f>
      </c>
      <c r="P365" s="25">
        <f>SUM(I365:O365)</f>
      </c>
      <c r="Q365" s="25">
        <f>ROUND(H365*1.5, 2)</f>
      </c>
      <c r="R365" s="25">
        <f>ROUND(H365*2.0, 2)</f>
      </c>
      <c r="S365" s="12">
        <f>IF(F365&lt;=R365, "TRIGGER INDENT", "STOCK HEALTHY")</f>
      </c>
      <c r="T365" s="25">
        <f>IF(F365&lt;=R365, ROUND(MAX(H365, (I365+Q365)-F365), 2), 0)</f>
      </c>
    </row>
    <row r="366" ht="20" customHeight="1" spans="1:20" x14ac:dyDescent="0.25">
      <c r="A366" s="14" t="s">
        <v>876</v>
      </c>
      <c r="B366" s="14" t="s">
        <v>877</v>
      </c>
      <c r="C366" s="14" t="s">
        <v>126</v>
      </c>
      <c r="D366" s="14" t="s">
        <v>127</v>
      </c>
      <c r="E366" s="26">
        <v>162.5</v>
      </c>
      <c r="F366" s="27">
        <v>96</v>
      </c>
      <c r="G366" s="14" t="s">
        <v>45</v>
      </c>
      <c r="H366" s="27">
        <v>11.52</v>
      </c>
      <c r="I366" s="27">
        <f>ROUND(H366*1.0, 2)</f>
      </c>
      <c r="J366" s="27">
        <f>ROUND(H366*0.95, 2)</f>
      </c>
      <c r="K366" s="27">
        <f>ROUND(H366*0.95, 2)</f>
      </c>
      <c r="L366" s="27">
        <f>ROUND(H366*1.05, 2)</f>
      </c>
      <c r="M366" s="27">
        <f>ROUND(H366*1.25, 2)</f>
      </c>
      <c r="N366" s="27">
        <f>ROUND(H366*1.55, 2)</f>
      </c>
      <c r="O366" s="27">
        <f>ROUND(H366*1.65, 2)</f>
      </c>
      <c r="P366" s="27">
        <f>SUM(I366:O366)</f>
      </c>
      <c r="Q366" s="27">
        <f>ROUND(H366*1.5, 2)</f>
      </c>
      <c r="R366" s="27">
        <f>ROUND(H366*2.0, 2)</f>
      </c>
      <c r="S366" s="14">
        <f>IF(F366&lt;=R366, "TRIGGER INDENT", "STOCK HEALTHY")</f>
      </c>
      <c r="T366" s="27">
        <f>IF(F366&lt;=R366, ROUND(MAX(H366, (I366+Q366)-F366), 2), 0)</f>
      </c>
    </row>
    <row r="367" ht="20" customHeight="1" spans="1:20" x14ac:dyDescent="0.25">
      <c r="A367" s="12" t="s">
        <v>878</v>
      </c>
      <c r="B367" s="12" t="s">
        <v>879</v>
      </c>
      <c r="C367" s="12" t="s">
        <v>126</v>
      </c>
      <c r="D367" s="12" t="s">
        <v>179</v>
      </c>
      <c r="E367" s="24">
        <v>60</v>
      </c>
      <c r="F367" s="25">
        <v>240</v>
      </c>
      <c r="G367" s="12" t="s">
        <v>45</v>
      </c>
      <c r="H367" s="25">
        <v>19.2</v>
      </c>
      <c r="I367" s="25">
        <f>ROUND(H367*1.0, 2)</f>
      </c>
      <c r="J367" s="25">
        <f>ROUND(H367*0.95, 2)</f>
      </c>
      <c r="K367" s="25">
        <f>ROUND(H367*0.95, 2)</f>
      </c>
      <c r="L367" s="25">
        <f>ROUND(H367*1.05, 2)</f>
      </c>
      <c r="M367" s="25">
        <f>ROUND(H367*1.25, 2)</f>
      </c>
      <c r="N367" s="25">
        <f>ROUND(H367*1.55, 2)</f>
      </c>
      <c r="O367" s="25">
        <f>ROUND(H367*1.65, 2)</f>
      </c>
      <c r="P367" s="25">
        <f>SUM(I367:O367)</f>
      </c>
      <c r="Q367" s="25">
        <f>ROUND(H367*1.5, 2)</f>
      </c>
      <c r="R367" s="25">
        <f>ROUND(H367*2.0, 2)</f>
      </c>
      <c r="S367" s="12">
        <f>IF(F367&lt;=R367, "TRIGGER INDENT", "STOCK HEALTHY")</f>
      </c>
      <c r="T367" s="25">
        <f>IF(F367&lt;=R367, ROUND(MAX(H367, (I367+Q367)-F367), 2), 0)</f>
      </c>
    </row>
    <row r="368" ht="20" customHeight="1" spans="1:20" x14ac:dyDescent="0.25">
      <c r="A368" s="14" t="s">
        <v>880</v>
      </c>
      <c r="B368" s="14" t="s">
        <v>881</v>
      </c>
      <c r="C368" s="14" t="s">
        <v>126</v>
      </c>
      <c r="D368" s="14" t="s">
        <v>179</v>
      </c>
      <c r="E368" s="26">
        <v>70</v>
      </c>
      <c r="F368" s="27">
        <v>1.5100002</v>
      </c>
      <c r="G368" s="14" t="s">
        <v>45</v>
      </c>
      <c r="H368" s="27">
        <v>1</v>
      </c>
      <c r="I368" s="27">
        <f>ROUND(H368*1.0, 2)</f>
      </c>
      <c r="J368" s="27">
        <f>ROUND(H368*0.95, 2)</f>
      </c>
      <c r="K368" s="27">
        <f>ROUND(H368*0.95, 2)</f>
      </c>
      <c r="L368" s="27">
        <f>ROUND(H368*1.05, 2)</f>
      </c>
      <c r="M368" s="27">
        <f>ROUND(H368*1.25, 2)</f>
      </c>
      <c r="N368" s="27">
        <f>ROUND(H368*1.55, 2)</f>
      </c>
      <c r="O368" s="27">
        <f>ROUND(H368*1.65, 2)</f>
      </c>
      <c r="P368" s="27">
        <f>SUM(I368:O368)</f>
      </c>
      <c r="Q368" s="27">
        <f>ROUND(H368*1.5, 2)</f>
      </c>
      <c r="R368" s="27">
        <f>ROUND(H368*2.0, 2)</f>
      </c>
      <c r="S368" s="14">
        <f>IF(F368&lt;=R368, "TRIGGER INDENT", "STOCK HEALTHY")</f>
      </c>
      <c r="T368" s="27">
        <f>IF(F368&lt;=R368, ROUND(MAX(H368, (I368+Q368)-F368), 2), 0)</f>
      </c>
    </row>
    <row r="369" ht="20" customHeight="1" spans="1:20" x14ac:dyDescent="0.25">
      <c r="A369" s="12" t="s">
        <v>882</v>
      </c>
      <c r="B369" s="12" t="s">
        <v>883</v>
      </c>
      <c r="C369" s="12" t="s">
        <v>126</v>
      </c>
      <c r="D369" s="12" t="s">
        <v>179</v>
      </c>
      <c r="E369" s="24">
        <v>60</v>
      </c>
      <c r="F369" s="25">
        <v>592</v>
      </c>
      <c r="G369" s="12" t="s">
        <v>97</v>
      </c>
      <c r="H369" s="25">
        <v>47.36</v>
      </c>
      <c r="I369" s="25">
        <f>ROUND(H369*1.0, 2)</f>
      </c>
      <c r="J369" s="25">
        <f>ROUND(H369*0.95, 2)</f>
      </c>
      <c r="K369" s="25">
        <f>ROUND(H369*0.95, 2)</f>
      </c>
      <c r="L369" s="25">
        <f>ROUND(H369*1.05, 2)</f>
      </c>
      <c r="M369" s="25">
        <f>ROUND(H369*1.25, 2)</f>
      </c>
      <c r="N369" s="25">
        <f>ROUND(H369*1.55, 2)</f>
      </c>
      <c r="O369" s="25">
        <f>ROUND(H369*1.65, 2)</f>
      </c>
      <c r="P369" s="25">
        <f>SUM(I369:O369)</f>
      </c>
      <c r="Q369" s="25">
        <f>ROUND(H369*1.5, 2)</f>
      </c>
      <c r="R369" s="25">
        <f>ROUND(H369*2.0, 2)</f>
      </c>
      <c r="S369" s="12">
        <f>IF(F369&lt;=R369, "TRIGGER INDENT", "STOCK HEALTHY")</f>
      </c>
      <c r="T369" s="25">
        <f>IF(F369&lt;=R369, ROUND(MAX(H369, (I369+Q369)-F369), 2), 0)</f>
      </c>
    </row>
    <row r="370" ht="20" customHeight="1" spans="1:20" x14ac:dyDescent="0.25">
      <c r="A370" s="14" t="s">
        <v>884</v>
      </c>
      <c r="B370" s="14" t="s">
        <v>885</v>
      </c>
      <c r="C370" s="14" t="s">
        <v>126</v>
      </c>
      <c r="D370" s="14" t="s">
        <v>179</v>
      </c>
      <c r="E370" s="26">
        <v>40</v>
      </c>
      <c r="F370" s="27">
        <v>720</v>
      </c>
      <c r="G370" s="14" t="s">
        <v>45</v>
      </c>
      <c r="H370" s="27">
        <v>57.6</v>
      </c>
      <c r="I370" s="27">
        <f>ROUND(H370*1.0, 2)</f>
      </c>
      <c r="J370" s="27">
        <f>ROUND(H370*0.95, 2)</f>
      </c>
      <c r="K370" s="27">
        <f>ROUND(H370*0.95, 2)</f>
      </c>
      <c r="L370" s="27">
        <f>ROUND(H370*1.05, 2)</f>
      </c>
      <c r="M370" s="27">
        <f>ROUND(H370*1.25, 2)</f>
      </c>
      <c r="N370" s="27">
        <f>ROUND(H370*1.55, 2)</f>
      </c>
      <c r="O370" s="27">
        <f>ROUND(H370*1.65, 2)</f>
      </c>
      <c r="P370" s="27">
        <f>SUM(I370:O370)</f>
      </c>
      <c r="Q370" s="27">
        <f>ROUND(H370*1.5, 2)</f>
      </c>
      <c r="R370" s="27">
        <f>ROUND(H370*2.0, 2)</f>
      </c>
      <c r="S370" s="14">
        <f>IF(F370&lt;=R370, "TRIGGER INDENT", "STOCK HEALTHY")</f>
      </c>
      <c r="T370" s="27">
        <f>IF(F370&lt;=R370, ROUND(MAX(H370, (I370+Q370)-F370), 2), 0)</f>
      </c>
    </row>
  </sheetData>
  <mergeCells count="1"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2:J847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14" customWidth="1"/>
    <col min="5" max="5" width="28" customWidth="1"/>
    <col min="6" max="6" width="14" customWidth="1"/>
    <col min="7" max="7" width="12" customWidth="1"/>
    <col min="8" max="10" width="16" customWidth="1"/>
  </cols>
  <sheetData>
    <row r="2" ht="35" customHeight="1" spans="1:10" x14ac:dyDescent="0.25">
      <c r="A2" s="16" t="s">
        <v>886</v>
      </c>
      <c r="B2" s="16"/>
      <c r="C2" s="16"/>
      <c r="D2" s="16"/>
      <c r="E2" s="16"/>
      <c r="F2" s="16"/>
      <c r="G2" s="16"/>
      <c r="H2" s="16"/>
      <c r="I2" s="16"/>
      <c r="J2" s="16"/>
    </row>
    <row r="4" ht="28" customHeight="1" spans="1:10" x14ac:dyDescent="0.25">
      <c r="A4" s="17" t="s">
        <v>887</v>
      </c>
      <c r="B4" s="17" t="s">
        <v>888</v>
      </c>
      <c r="C4" s="17" t="s">
        <v>889</v>
      </c>
      <c r="D4" s="23" t="s">
        <v>890</v>
      </c>
      <c r="E4" s="23" t="s">
        <v>891</v>
      </c>
      <c r="F4" s="23" t="s">
        <v>892</v>
      </c>
      <c r="G4" s="23" t="s">
        <v>107</v>
      </c>
      <c r="H4" s="23" t="s">
        <v>893</v>
      </c>
      <c r="I4" s="23" t="s">
        <v>894</v>
      </c>
      <c r="J4" s="23" t="s">
        <v>895</v>
      </c>
    </row>
    <row r="5" ht="20" customHeight="1" spans="1:10" x14ac:dyDescent="0.25">
      <c r="A5" s="12">
        <v>12</v>
      </c>
      <c r="B5" s="12" t="s">
        <v>896</v>
      </c>
      <c r="C5" s="12" t="s">
        <v>897</v>
      </c>
      <c r="D5" s="12">
        <v>100</v>
      </c>
      <c r="E5" s="12" t="s">
        <v>898</v>
      </c>
      <c r="F5" s="12">
        <v>3</v>
      </c>
      <c r="G5" s="12" t="s">
        <v>139</v>
      </c>
      <c r="H5" s="25">
        <f>ROUND((F5/D5)*100, 2)</f>
      </c>
      <c r="I5" s="25">
        <f>ROUND((F5/D5)*250, 2)</f>
      </c>
      <c r="J5" s="25">
        <f>ROUND((F5/D5)*500, 2)</f>
      </c>
    </row>
    <row r="6" ht="20" customHeight="1" spans="1:10" x14ac:dyDescent="0.25">
      <c r="A6" s="14">
        <v>12</v>
      </c>
      <c r="B6" s="14" t="s">
        <v>896</v>
      </c>
      <c r="C6" s="14" t="s">
        <v>897</v>
      </c>
      <c r="D6" s="14">
        <v>100</v>
      </c>
      <c r="E6" s="14" t="s">
        <v>899</v>
      </c>
      <c r="F6" s="14">
        <v>15</v>
      </c>
      <c r="G6" s="14" t="s">
        <v>139</v>
      </c>
      <c r="H6" s="27">
        <f>ROUND((F6/D6)*100, 2)</f>
      </c>
      <c r="I6" s="27">
        <f>ROUND((F6/D6)*250, 2)</f>
      </c>
      <c r="J6" s="27">
        <f>ROUND((F6/D6)*500, 2)</f>
      </c>
    </row>
    <row r="7" ht="20" customHeight="1" spans="1:10" x14ac:dyDescent="0.25">
      <c r="A7" s="12">
        <v>12</v>
      </c>
      <c r="B7" s="12" t="s">
        <v>896</v>
      </c>
      <c r="C7" s="12" t="s">
        <v>897</v>
      </c>
      <c r="D7" s="12">
        <v>100</v>
      </c>
      <c r="E7" s="12" t="s">
        <v>900</v>
      </c>
      <c r="F7" s="12">
        <v>1</v>
      </c>
      <c r="G7" s="12" t="s">
        <v>305</v>
      </c>
      <c r="H7" s="25">
        <f>ROUND((F7/D7)*100, 2)</f>
      </c>
      <c r="I7" s="25">
        <f>ROUND((F7/D7)*250, 2)</f>
      </c>
      <c r="J7" s="25">
        <f>ROUND((F7/D7)*500, 2)</f>
      </c>
    </row>
    <row r="8" ht="20" customHeight="1" spans="1:10" x14ac:dyDescent="0.25">
      <c r="A8" s="14">
        <v>12</v>
      </c>
      <c r="B8" s="14" t="s">
        <v>896</v>
      </c>
      <c r="C8" s="14" t="s">
        <v>897</v>
      </c>
      <c r="D8" s="14">
        <v>100</v>
      </c>
      <c r="E8" s="14" t="s">
        <v>901</v>
      </c>
      <c r="F8" s="14">
        <v>10</v>
      </c>
      <c r="G8" s="14" t="s">
        <v>305</v>
      </c>
      <c r="H8" s="27">
        <f>ROUND((F8/D8)*100, 2)</f>
      </c>
      <c r="I8" s="27">
        <f>ROUND((F8/D8)*250, 2)</f>
      </c>
      <c r="J8" s="27">
        <f>ROUND((F8/D8)*500, 2)</f>
      </c>
    </row>
    <row r="9" ht="20" customHeight="1" spans="1:10" x14ac:dyDescent="0.25">
      <c r="A9" s="12">
        <v>13</v>
      </c>
      <c r="B9" s="12" t="s">
        <v>902</v>
      </c>
      <c r="C9" s="12" t="s">
        <v>897</v>
      </c>
      <c r="D9" s="12">
        <v>100</v>
      </c>
      <c r="E9" s="12" t="s">
        <v>899</v>
      </c>
      <c r="F9" s="12">
        <v>15</v>
      </c>
      <c r="G9" s="12" t="s">
        <v>139</v>
      </c>
      <c r="H9" s="25">
        <f>ROUND((F9/D9)*100, 2)</f>
      </c>
      <c r="I9" s="25">
        <f>ROUND((F9/D9)*250, 2)</f>
      </c>
      <c r="J9" s="25">
        <f>ROUND((F9/D9)*500, 2)</f>
      </c>
    </row>
    <row r="10" ht="20" customHeight="1" spans="1:10" x14ac:dyDescent="0.25">
      <c r="A10" s="14">
        <v>13</v>
      </c>
      <c r="B10" s="14" t="s">
        <v>902</v>
      </c>
      <c r="C10" s="14" t="s">
        <v>897</v>
      </c>
      <c r="D10" s="14">
        <v>100</v>
      </c>
      <c r="E10" s="14" t="s">
        <v>900</v>
      </c>
      <c r="F10" s="14">
        <v>1</v>
      </c>
      <c r="G10" s="14" t="s">
        <v>305</v>
      </c>
      <c r="H10" s="27">
        <f>ROUND((F10/D10)*100, 2)</f>
      </c>
      <c r="I10" s="27">
        <f>ROUND((F10/D10)*250, 2)</f>
      </c>
      <c r="J10" s="27">
        <f>ROUND((F10/D10)*500, 2)</f>
      </c>
    </row>
    <row r="11" ht="20" customHeight="1" spans="1:10" x14ac:dyDescent="0.25">
      <c r="A11" s="12">
        <v>13</v>
      </c>
      <c r="B11" s="12" t="s">
        <v>902</v>
      </c>
      <c r="C11" s="12" t="s">
        <v>897</v>
      </c>
      <c r="D11" s="12">
        <v>100</v>
      </c>
      <c r="E11" s="12" t="s">
        <v>901</v>
      </c>
      <c r="F11" s="12">
        <v>10</v>
      </c>
      <c r="G11" s="12" t="s">
        <v>305</v>
      </c>
      <c r="H11" s="25">
        <f>ROUND((F11/D11)*100, 2)</f>
      </c>
      <c r="I11" s="25">
        <f>ROUND((F11/D11)*250, 2)</f>
      </c>
      <c r="J11" s="25">
        <f>ROUND((F11/D11)*500, 2)</f>
      </c>
    </row>
    <row r="12" ht="20" customHeight="1" spans="1:10" x14ac:dyDescent="0.25">
      <c r="A12" s="14">
        <v>13</v>
      </c>
      <c r="B12" s="14" t="s">
        <v>902</v>
      </c>
      <c r="C12" s="14" t="s">
        <v>897</v>
      </c>
      <c r="D12" s="14">
        <v>100</v>
      </c>
      <c r="E12" s="14" t="s">
        <v>898</v>
      </c>
      <c r="F12" s="14">
        <v>3</v>
      </c>
      <c r="G12" s="14" t="s">
        <v>139</v>
      </c>
      <c r="H12" s="27">
        <f>ROUND((F12/D12)*100, 2)</f>
      </c>
      <c r="I12" s="27">
        <f>ROUND((F12/D12)*250, 2)</f>
      </c>
      <c r="J12" s="27">
        <f>ROUND((F12/D12)*500, 2)</f>
      </c>
    </row>
    <row r="13" ht="20" customHeight="1" spans="1:10" x14ac:dyDescent="0.25">
      <c r="A13" s="12">
        <v>16</v>
      </c>
      <c r="B13" s="12" t="s">
        <v>903</v>
      </c>
      <c r="C13" s="12" t="s">
        <v>897</v>
      </c>
      <c r="D13" s="12">
        <v>100</v>
      </c>
      <c r="E13" s="12" t="s">
        <v>898</v>
      </c>
      <c r="F13" s="12">
        <v>3</v>
      </c>
      <c r="G13" s="12" t="s">
        <v>139</v>
      </c>
      <c r="H13" s="25">
        <f>ROUND((F13/D13)*100, 2)</f>
      </c>
      <c r="I13" s="25">
        <f>ROUND((F13/D13)*250, 2)</f>
      </c>
      <c r="J13" s="25">
        <f>ROUND((F13/D13)*500, 2)</f>
      </c>
    </row>
    <row r="14" ht="20" customHeight="1" spans="1:10" x14ac:dyDescent="0.25">
      <c r="A14" s="14">
        <v>16</v>
      </c>
      <c r="B14" s="14" t="s">
        <v>903</v>
      </c>
      <c r="C14" s="14" t="s">
        <v>897</v>
      </c>
      <c r="D14" s="14">
        <v>100</v>
      </c>
      <c r="E14" s="14" t="s">
        <v>901</v>
      </c>
      <c r="F14" s="14">
        <v>10</v>
      </c>
      <c r="G14" s="14" t="s">
        <v>305</v>
      </c>
      <c r="H14" s="27">
        <f>ROUND((F14/D14)*100, 2)</f>
      </c>
      <c r="I14" s="27">
        <f>ROUND((F14/D14)*250, 2)</f>
      </c>
      <c r="J14" s="27">
        <f>ROUND((F14/D14)*500, 2)</f>
      </c>
    </row>
    <row r="15" ht="20" customHeight="1" spans="1:10" x14ac:dyDescent="0.25">
      <c r="A15" s="12">
        <v>16</v>
      </c>
      <c r="B15" s="12" t="s">
        <v>903</v>
      </c>
      <c r="C15" s="12" t="s">
        <v>897</v>
      </c>
      <c r="D15" s="12">
        <v>100</v>
      </c>
      <c r="E15" s="12" t="s">
        <v>900</v>
      </c>
      <c r="F15" s="12">
        <v>1</v>
      </c>
      <c r="G15" s="12" t="s">
        <v>305</v>
      </c>
      <c r="H15" s="25">
        <f>ROUND((F15/D15)*100, 2)</f>
      </c>
      <c r="I15" s="25">
        <f>ROUND((F15/D15)*250, 2)</f>
      </c>
      <c r="J15" s="25">
        <f>ROUND((F15/D15)*500, 2)</f>
      </c>
    </row>
    <row r="16" ht="20" customHeight="1" spans="1:10" x14ac:dyDescent="0.25">
      <c r="A16" s="14">
        <v>16</v>
      </c>
      <c r="B16" s="14" t="s">
        <v>903</v>
      </c>
      <c r="C16" s="14" t="s">
        <v>897</v>
      </c>
      <c r="D16" s="14">
        <v>100</v>
      </c>
      <c r="E16" s="14" t="s">
        <v>899</v>
      </c>
      <c r="F16" s="14">
        <v>15</v>
      </c>
      <c r="G16" s="14" t="s">
        <v>139</v>
      </c>
      <c r="H16" s="27">
        <f>ROUND((F16/D16)*100, 2)</f>
      </c>
      <c r="I16" s="27">
        <f>ROUND((F16/D16)*250, 2)</f>
      </c>
      <c r="J16" s="27">
        <f>ROUND((F16/D16)*500, 2)</f>
      </c>
    </row>
    <row r="17" ht="20" customHeight="1" spans="1:10" x14ac:dyDescent="0.25">
      <c r="A17" s="12">
        <v>15</v>
      </c>
      <c r="B17" s="12" t="s">
        <v>904</v>
      </c>
      <c r="C17" s="12" t="s">
        <v>897</v>
      </c>
      <c r="D17" s="12">
        <v>100</v>
      </c>
      <c r="E17" s="12" t="s">
        <v>899</v>
      </c>
      <c r="F17" s="12">
        <v>15</v>
      </c>
      <c r="G17" s="12" t="s">
        <v>139</v>
      </c>
      <c r="H17" s="25">
        <f>ROUND((F17/D17)*100, 2)</f>
      </c>
      <c r="I17" s="25">
        <f>ROUND((F17/D17)*250, 2)</f>
      </c>
      <c r="J17" s="25">
        <f>ROUND((F17/D17)*500, 2)</f>
      </c>
    </row>
    <row r="18" ht="20" customHeight="1" spans="1:10" x14ac:dyDescent="0.25">
      <c r="A18" s="14">
        <v>15</v>
      </c>
      <c r="B18" s="14" t="s">
        <v>904</v>
      </c>
      <c r="C18" s="14" t="s">
        <v>897</v>
      </c>
      <c r="D18" s="14">
        <v>100</v>
      </c>
      <c r="E18" s="14" t="s">
        <v>900</v>
      </c>
      <c r="F18" s="14">
        <v>1</v>
      </c>
      <c r="G18" s="14" t="s">
        <v>305</v>
      </c>
      <c r="H18" s="27">
        <f>ROUND((F18/D18)*100, 2)</f>
      </c>
      <c r="I18" s="27">
        <f>ROUND((F18/D18)*250, 2)</f>
      </c>
      <c r="J18" s="27">
        <f>ROUND((F18/D18)*500, 2)</f>
      </c>
    </row>
    <row r="19" ht="20" customHeight="1" spans="1:10" x14ac:dyDescent="0.25">
      <c r="A19" s="12">
        <v>15</v>
      </c>
      <c r="B19" s="12" t="s">
        <v>904</v>
      </c>
      <c r="C19" s="12" t="s">
        <v>897</v>
      </c>
      <c r="D19" s="12">
        <v>100</v>
      </c>
      <c r="E19" s="12" t="s">
        <v>901</v>
      </c>
      <c r="F19" s="12">
        <v>10</v>
      </c>
      <c r="G19" s="12" t="s">
        <v>305</v>
      </c>
      <c r="H19" s="25">
        <f>ROUND((F19/D19)*100, 2)</f>
      </c>
      <c r="I19" s="25">
        <f>ROUND((F19/D19)*250, 2)</f>
      </c>
      <c r="J19" s="25">
        <f>ROUND((F19/D19)*500, 2)</f>
      </c>
    </row>
    <row r="20" ht="20" customHeight="1" spans="1:10" x14ac:dyDescent="0.25">
      <c r="A20" s="14">
        <v>15</v>
      </c>
      <c r="B20" s="14" t="s">
        <v>904</v>
      </c>
      <c r="C20" s="14" t="s">
        <v>897</v>
      </c>
      <c r="D20" s="14">
        <v>100</v>
      </c>
      <c r="E20" s="14" t="s">
        <v>898</v>
      </c>
      <c r="F20" s="14">
        <v>3</v>
      </c>
      <c r="G20" s="14" t="s">
        <v>139</v>
      </c>
      <c r="H20" s="27">
        <f>ROUND((F20/D20)*100, 2)</f>
      </c>
      <c r="I20" s="27">
        <f>ROUND((F20/D20)*250, 2)</f>
      </c>
      <c r="J20" s="27">
        <f>ROUND((F20/D20)*500, 2)</f>
      </c>
    </row>
    <row r="21" ht="20" customHeight="1" spans="1:10" x14ac:dyDescent="0.25">
      <c r="A21" s="12">
        <v>14</v>
      </c>
      <c r="B21" s="12" t="s">
        <v>905</v>
      </c>
      <c r="C21" s="12" t="s">
        <v>897</v>
      </c>
      <c r="D21" s="12">
        <v>100</v>
      </c>
      <c r="E21" s="12" t="s">
        <v>899</v>
      </c>
      <c r="F21" s="12">
        <v>15</v>
      </c>
      <c r="G21" s="12" t="s">
        <v>139</v>
      </c>
      <c r="H21" s="25">
        <f>ROUND((F21/D21)*100, 2)</f>
      </c>
      <c r="I21" s="25">
        <f>ROUND((F21/D21)*250, 2)</f>
      </c>
      <c r="J21" s="25">
        <f>ROUND((F21/D21)*500, 2)</f>
      </c>
    </row>
    <row r="22" ht="20" customHeight="1" spans="1:10" x14ac:dyDescent="0.25">
      <c r="A22" s="14">
        <v>14</v>
      </c>
      <c r="B22" s="14" t="s">
        <v>905</v>
      </c>
      <c r="C22" s="14" t="s">
        <v>897</v>
      </c>
      <c r="D22" s="14">
        <v>100</v>
      </c>
      <c r="E22" s="14" t="s">
        <v>900</v>
      </c>
      <c r="F22" s="14">
        <v>1</v>
      </c>
      <c r="G22" s="14" t="s">
        <v>305</v>
      </c>
      <c r="H22" s="27">
        <f>ROUND((F22/D22)*100, 2)</f>
      </c>
      <c r="I22" s="27">
        <f>ROUND((F22/D22)*250, 2)</f>
      </c>
      <c r="J22" s="27">
        <f>ROUND((F22/D22)*500, 2)</f>
      </c>
    </row>
    <row r="23" ht="20" customHeight="1" spans="1:10" x14ac:dyDescent="0.25">
      <c r="A23" s="12">
        <v>14</v>
      </c>
      <c r="B23" s="12" t="s">
        <v>905</v>
      </c>
      <c r="C23" s="12" t="s">
        <v>897</v>
      </c>
      <c r="D23" s="12">
        <v>100</v>
      </c>
      <c r="E23" s="12" t="s">
        <v>901</v>
      </c>
      <c r="F23" s="12">
        <v>10</v>
      </c>
      <c r="G23" s="12" t="s">
        <v>305</v>
      </c>
      <c r="H23" s="25">
        <f>ROUND((F23/D23)*100, 2)</f>
      </c>
      <c r="I23" s="25">
        <f>ROUND((F23/D23)*250, 2)</f>
      </c>
      <c r="J23" s="25">
        <f>ROUND((F23/D23)*500, 2)</f>
      </c>
    </row>
    <row r="24" ht="20" customHeight="1" spans="1:10" x14ac:dyDescent="0.25">
      <c r="A24" s="14">
        <v>14</v>
      </c>
      <c r="B24" s="14" t="s">
        <v>905</v>
      </c>
      <c r="C24" s="14" t="s">
        <v>897</v>
      </c>
      <c r="D24" s="14">
        <v>100</v>
      </c>
      <c r="E24" s="14" t="s">
        <v>898</v>
      </c>
      <c r="F24" s="14">
        <v>3</v>
      </c>
      <c r="G24" s="14" t="s">
        <v>139</v>
      </c>
      <c r="H24" s="27">
        <f>ROUND((F24/D24)*100, 2)</f>
      </c>
      <c r="I24" s="27">
        <f>ROUND((F24/D24)*250, 2)</f>
      </c>
      <c r="J24" s="27">
        <f>ROUND((F24/D24)*500, 2)</f>
      </c>
    </row>
    <row r="25" ht="20" customHeight="1" spans="1:10" x14ac:dyDescent="0.25">
      <c r="A25" s="12">
        <v>17</v>
      </c>
      <c r="B25" s="12" t="s">
        <v>906</v>
      </c>
      <c r="C25" s="12" t="s">
        <v>897</v>
      </c>
      <c r="D25" s="12">
        <v>100</v>
      </c>
      <c r="E25" s="12" t="s">
        <v>899</v>
      </c>
      <c r="F25" s="12">
        <v>15</v>
      </c>
      <c r="G25" s="12" t="s">
        <v>139</v>
      </c>
      <c r="H25" s="25">
        <f>ROUND((F25/D25)*100, 2)</f>
      </c>
      <c r="I25" s="25">
        <f>ROUND((F25/D25)*250, 2)</f>
      </c>
      <c r="J25" s="25">
        <f>ROUND((F25/D25)*500, 2)</f>
      </c>
    </row>
    <row r="26" ht="20" customHeight="1" spans="1:10" x14ac:dyDescent="0.25">
      <c r="A26" s="14">
        <v>17</v>
      </c>
      <c r="B26" s="14" t="s">
        <v>906</v>
      </c>
      <c r="C26" s="14" t="s">
        <v>897</v>
      </c>
      <c r="D26" s="14">
        <v>100</v>
      </c>
      <c r="E26" s="14" t="s">
        <v>900</v>
      </c>
      <c r="F26" s="14">
        <v>1</v>
      </c>
      <c r="G26" s="14" t="s">
        <v>305</v>
      </c>
      <c r="H26" s="27">
        <f>ROUND((F26/D26)*100, 2)</f>
      </c>
      <c r="I26" s="27">
        <f>ROUND((F26/D26)*250, 2)</f>
      </c>
      <c r="J26" s="27">
        <f>ROUND((F26/D26)*500, 2)</f>
      </c>
    </row>
    <row r="27" ht="20" customHeight="1" spans="1:10" x14ac:dyDescent="0.25">
      <c r="A27" s="12">
        <v>17</v>
      </c>
      <c r="B27" s="12" t="s">
        <v>906</v>
      </c>
      <c r="C27" s="12" t="s">
        <v>897</v>
      </c>
      <c r="D27" s="12">
        <v>100</v>
      </c>
      <c r="E27" s="12" t="s">
        <v>901</v>
      </c>
      <c r="F27" s="12">
        <v>10</v>
      </c>
      <c r="G27" s="12" t="s">
        <v>305</v>
      </c>
      <c r="H27" s="25">
        <f>ROUND((F27/D27)*100, 2)</f>
      </c>
      <c r="I27" s="25">
        <f>ROUND((F27/D27)*250, 2)</f>
      </c>
      <c r="J27" s="25">
        <f>ROUND((F27/D27)*500, 2)</f>
      </c>
    </row>
    <row r="28" ht="20" customHeight="1" spans="1:10" x14ac:dyDescent="0.25">
      <c r="A28" s="14">
        <v>17</v>
      </c>
      <c r="B28" s="14" t="s">
        <v>906</v>
      </c>
      <c r="C28" s="14" t="s">
        <v>897</v>
      </c>
      <c r="D28" s="14">
        <v>100</v>
      </c>
      <c r="E28" s="14" t="s">
        <v>898</v>
      </c>
      <c r="F28" s="14">
        <v>3</v>
      </c>
      <c r="G28" s="14" t="s">
        <v>139</v>
      </c>
      <c r="H28" s="27">
        <f>ROUND((F28/D28)*100, 2)</f>
      </c>
      <c r="I28" s="27">
        <f>ROUND((F28/D28)*250, 2)</f>
      </c>
      <c r="J28" s="27">
        <f>ROUND((F28/D28)*500, 2)</f>
      </c>
    </row>
    <row r="29" ht="20" customHeight="1" spans="1:10" x14ac:dyDescent="0.25">
      <c r="A29" s="12">
        <v>18</v>
      </c>
      <c r="B29" s="12" t="s">
        <v>907</v>
      </c>
      <c r="C29" s="12" t="s">
        <v>897</v>
      </c>
      <c r="D29" s="12">
        <v>100</v>
      </c>
      <c r="E29" s="12" t="s">
        <v>901</v>
      </c>
      <c r="F29" s="12">
        <v>10</v>
      </c>
      <c r="G29" s="12" t="s">
        <v>305</v>
      </c>
      <c r="H29" s="25">
        <f>ROUND((F29/D29)*100, 2)</f>
      </c>
      <c r="I29" s="25">
        <f>ROUND((F29/D29)*250, 2)</f>
      </c>
      <c r="J29" s="25">
        <f>ROUND((F29/D29)*500, 2)</f>
      </c>
    </row>
    <row r="30" ht="20" customHeight="1" spans="1:10" x14ac:dyDescent="0.25">
      <c r="A30" s="14">
        <v>18</v>
      </c>
      <c r="B30" s="14" t="s">
        <v>907</v>
      </c>
      <c r="C30" s="14" t="s">
        <v>897</v>
      </c>
      <c r="D30" s="14">
        <v>100</v>
      </c>
      <c r="E30" s="14" t="s">
        <v>898</v>
      </c>
      <c r="F30" s="14">
        <v>3</v>
      </c>
      <c r="G30" s="14" t="s">
        <v>139</v>
      </c>
      <c r="H30" s="27">
        <f>ROUND((F30/D30)*100, 2)</f>
      </c>
      <c r="I30" s="27">
        <f>ROUND((F30/D30)*250, 2)</f>
      </c>
      <c r="J30" s="27">
        <f>ROUND((F30/D30)*500, 2)</f>
      </c>
    </row>
    <row r="31" ht="20" customHeight="1" spans="1:10" x14ac:dyDescent="0.25">
      <c r="A31" s="12">
        <v>18</v>
      </c>
      <c r="B31" s="12" t="s">
        <v>907</v>
      </c>
      <c r="C31" s="12" t="s">
        <v>897</v>
      </c>
      <c r="D31" s="12">
        <v>100</v>
      </c>
      <c r="E31" s="12" t="s">
        <v>900</v>
      </c>
      <c r="F31" s="12">
        <v>1</v>
      </c>
      <c r="G31" s="12" t="s">
        <v>305</v>
      </c>
      <c r="H31" s="25">
        <f>ROUND((F31/D31)*100, 2)</f>
      </c>
      <c r="I31" s="25">
        <f>ROUND((F31/D31)*250, 2)</f>
      </c>
      <c r="J31" s="25">
        <f>ROUND((F31/D31)*500, 2)</f>
      </c>
    </row>
    <row r="32" ht="20" customHeight="1" spans="1:10" x14ac:dyDescent="0.25">
      <c r="A32" s="14">
        <v>18</v>
      </c>
      <c r="B32" s="14" t="s">
        <v>907</v>
      </c>
      <c r="C32" s="14" t="s">
        <v>897</v>
      </c>
      <c r="D32" s="14">
        <v>100</v>
      </c>
      <c r="E32" s="14" t="s">
        <v>899</v>
      </c>
      <c r="F32" s="14">
        <v>15</v>
      </c>
      <c r="G32" s="14" t="s">
        <v>139</v>
      </c>
      <c r="H32" s="27">
        <f>ROUND((F32/D32)*100, 2)</f>
      </c>
      <c r="I32" s="27">
        <f>ROUND((F32/D32)*250, 2)</f>
      </c>
      <c r="J32" s="27">
        <f>ROUND((F32/D32)*500, 2)</f>
      </c>
    </row>
    <row r="33" ht="20" customHeight="1" spans="1:10" x14ac:dyDescent="0.25">
      <c r="A33" s="12">
        <v>153</v>
      </c>
      <c r="B33" s="12" t="s">
        <v>908</v>
      </c>
      <c r="C33" s="12" t="s">
        <v>624</v>
      </c>
      <c r="D33" s="12">
        <v>100</v>
      </c>
      <c r="E33" s="12" t="s">
        <v>909</v>
      </c>
      <c r="F33" s="12">
        <v>5</v>
      </c>
      <c r="G33" s="12" t="s">
        <v>139</v>
      </c>
      <c r="H33" s="25">
        <f>ROUND((F33/D33)*100, 2)</f>
      </c>
      <c r="I33" s="25">
        <f>ROUND((F33/D33)*250, 2)</f>
      </c>
      <c r="J33" s="25">
        <f>ROUND((F33/D33)*500, 2)</f>
      </c>
    </row>
    <row r="34" ht="20" customHeight="1" spans="1:10" x14ac:dyDescent="0.25">
      <c r="A34" s="14">
        <v>153</v>
      </c>
      <c r="B34" s="14" t="s">
        <v>908</v>
      </c>
      <c r="C34" s="14" t="s">
        <v>624</v>
      </c>
      <c r="D34" s="14">
        <v>100</v>
      </c>
      <c r="E34" s="14" t="s">
        <v>624</v>
      </c>
      <c r="F34" s="14">
        <v>15</v>
      </c>
      <c r="G34" s="14" t="s">
        <v>139</v>
      </c>
      <c r="H34" s="27">
        <f>ROUND((F34/D34)*100, 2)</f>
      </c>
      <c r="I34" s="27">
        <f>ROUND((F34/D34)*250, 2)</f>
      </c>
      <c r="J34" s="27">
        <f>ROUND((F34/D34)*500, 2)</f>
      </c>
    </row>
    <row r="35" ht="20" customHeight="1" spans="1:10" x14ac:dyDescent="0.25">
      <c r="A35" s="12">
        <v>153</v>
      </c>
      <c r="B35" s="12" t="s">
        <v>908</v>
      </c>
      <c r="C35" s="12" t="s">
        <v>624</v>
      </c>
      <c r="D35" s="12">
        <v>100</v>
      </c>
      <c r="E35" s="12" t="s">
        <v>910</v>
      </c>
      <c r="F35" s="12">
        <v>10</v>
      </c>
      <c r="G35" s="12" t="s">
        <v>139</v>
      </c>
      <c r="H35" s="25">
        <f>ROUND((F35/D35)*100, 2)</f>
      </c>
      <c r="I35" s="25">
        <f>ROUND((F35/D35)*250, 2)</f>
      </c>
      <c r="J35" s="25">
        <f>ROUND((F35/D35)*500, 2)</f>
      </c>
    </row>
    <row r="36" ht="20" customHeight="1" spans="1:10" x14ac:dyDescent="0.25">
      <c r="A36" s="14">
        <v>153</v>
      </c>
      <c r="B36" s="14" t="s">
        <v>908</v>
      </c>
      <c r="C36" s="14" t="s">
        <v>624</v>
      </c>
      <c r="D36" s="14">
        <v>100</v>
      </c>
      <c r="E36" s="14" t="s">
        <v>911</v>
      </c>
      <c r="F36" s="14">
        <v>2</v>
      </c>
      <c r="G36" s="14" t="s">
        <v>139</v>
      </c>
      <c r="H36" s="27">
        <f>ROUND((F36/D36)*100, 2)</f>
      </c>
      <c r="I36" s="27">
        <f>ROUND((F36/D36)*250, 2)</f>
      </c>
      <c r="J36" s="27">
        <f>ROUND((F36/D36)*500, 2)</f>
      </c>
    </row>
    <row r="37" ht="20" customHeight="1" spans="1:10" x14ac:dyDescent="0.25">
      <c r="A37" s="12">
        <v>75</v>
      </c>
      <c r="B37" s="12" t="s">
        <v>912</v>
      </c>
      <c r="C37" s="12" t="s">
        <v>913</v>
      </c>
      <c r="D37" s="12">
        <v>100</v>
      </c>
      <c r="E37" s="12" t="s">
        <v>914</v>
      </c>
      <c r="F37" s="12">
        <v>10</v>
      </c>
      <c r="G37" s="12" t="s">
        <v>139</v>
      </c>
      <c r="H37" s="25">
        <f>ROUND((F37/D37)*100, 2)</f>
      </c>
      <c r="I37" s="25">
        <f>ROUND((F37/D37)*250, 2)</f>
      </c>
      <c r="J37" s="25">
        <f>ROUND((F37/D37)*500, 2)</f>
      </c>
    </row>
    <row r="38" ht="20" customHeight="1" spans="1:10" x14ac:dyDescent="0.25">
      <c r="A38" s="14">
        <v>75</v>
      </c>
      <c r="B38" s="14" t="s">
        <v>912</v>
      </c>
      <c r="C38" s="14" t="s">
        <v>913</v>
      </c>
      <c r="D38" s="14">
        <v>100</v>
      </c>
      <c r="E38" s="14" t="s">
        <v>915</v>
      </c>
      <c r="F38" s="14">
        <v>1.5</v>
      </c>
      <c r="G38" s="14" t="s">
        <v>139</v>
      </c>
      <c r="H38" s="27">
        <f>ROUND((F38/D38)*100, 2)</f>
      </c>
      <c r="I38" s="27">
        <f>ROUND((F38/D38)*250, 2)</f>
      </c>
      <c r="J38" s="27">
        <f>ROUND((F38/D38)*500, 2)</f>
      </c>
    </row>
    <row r="39" ht="20" customHeight="1" spans="1:10" x14ac:dyDescent="0.25">
      <c r="A39" s="12">
        <v>174</v>
      </c>
      <c r="B39" s="12" t="s">
        <v>916</v>
      </c>
      <c r="C39" s="12" t="s">
        <v>917</v>
      </c>
      <c r="D39" s="12">
        <v>100</v>
      </c>
      <c r="E39" s="12" t="s">
        <v>918</v>
      </c>
      <c r="F39" s="12">
        <v>10</v>
      </c>
      <c r="G39" s="12" t="s">
        <v>139</v>
      </c>
      <c r="H39" s="25">
        <f>ROUND((F39/D39)*100, 2)</f>
      </c>
      <c r="I39" s="25">
        <f>ROUND((F39/D39)*250, 2)</f>
      </c>
      <c r="J39" s="25">
        <f>ROUND((F39/D39)*500, 2)</f>
      </c>
    </row>
    <row r="40" ht="20" customHeight="1" spans="1:10" x14ac:dyDescent="0.25">
      <c r="A40" s="14">
        <v>174</v>
      </c>
      <c r="B40" s="14" t="s">
        <v>916</v>
      </c>
      <c r="C40" s="14" t="s">
        <v>917</v>
      </c>
      <c r="D40" s="14">
        <v>100</v>
      </c>
      <c r="E40" s="14" t="s">
        <v>919</v>
      </c>
      <c r="F40" s="14">
        <v>1</v>
      </c>
      <c r="G40" s="14" t="s">
        <v>139</v>
      </c>
      <c r="H40" s="27">
        <f>ROUND((F40/D40)*100, 2)</f>
      </c>
      <c r="I40" s="27">
        <f>ROUND((F40/D40)*250, 2)</f>
      </c>
      <c r="J40" s="27">
        <f>ROUND((F40/D40)*500, 2)</f>
      </c>
    </row>
    <row r="41" ht="20" customHeight="1" spans="1:10" x14ac:dyDescent="0.25">
      <c r="A41" s="12">
        <v>174</v>
      </c>
      <c r="B41" s="12" t="s">
        <v>916</v>
      </c>
      <c r="C41" s="12" t="s">
        <v>917</v>
      </c>
      <c r="D41" s="12">
        <v>100</v>
      </c>
      <c r="E41" s="12" t="s">
        <v>328</v>
      </c>
      <c r="F41" s="12">
        <v>3</v>
      </c>
      <c r="G41" s="12" t="s">
        <v>139</v>
      </c>
      <c r="H41" s="25">
        <f>ROUND((F41/D41)*100, 2)</f>
      </c>
      <c r="I41" s="25">
        <f>ROUND((F41/D41)*250, 2)</f>
      </c>
      <c r="J41" s="25">
        <f>ROUND((F41/D41)*500, 2)</f>
      </c>
    </row>
    <row r="42" ht="20" customHeight="1" spans="1:10" x14ac:dyDescent="0.25">
      <c r="A42" s="14">
        <v>174</v>
      </c>
      <c r="B42" s="14" t="s">
        <v>916</v>
      </c>
      <c r="C42" s="14" t="s">
        <v>917</v>
      </c>
      <c r="D42" s="14">
        <v>100</v>
      </c>
      <c r="E42" s="14" t="s">
        <v>898</v>
      </c>
      <c r="F42" s="14">
        <v>5</v>
      </c>
      <c r="G42" s="14" t="s">
        <v>305</v>
      </c>
      <c r="H42" s="27">
        <f>ROUND((F42/D42)*100, 2)</f>
      </c>
      <c r="I42" s="27">
        <f>ROUND((F42/D42)*250, 2)</f>
      </c>
      <c r="J42" s="27">
        <f>ROUND((F42/D42)*500, 2)</f>
      </c>
    </row>
    <row r="43" ht="20" customHeight="1" spans="1:10" x14ac:dyDescent="0.25">
      <c r="A43" s="12">
        <v>161</v>
      </c>
      <c r="B43" s="12" t="s">
        <v>920</v>
      </c>
      <c r="C43" s="12" t="s">
        <v>921</v>
      </c>
      <c r="D43" s="12">
        <v>100</v>
      </c>
      <c r="E43" s="12" t="s">
        <v>911</v>
      </c>
      <c r="F43" s="12">
        <v>1.5</v>
      </c>
      <c r="G43" s="12" t="s">
        <v>139</v>
      </c>
      <c r="H43" s="25">
        <f>ROUND((F43/D43)*100, 2)</f>
      </c>
      <c r="I43" s="25">
        <f>ROUND((F43/D43)*250, 2)</f>
      </c>
      <c r="J43" s="25">
        <f>ROUND((F43/D43)*500, 2)</f>
      </c>
    </row>
    <row r="44" ht="20" customHeight="1" spans="1:10" x14ac:dyDescent="0.25">
      <c r="A44" s="14">
        <v>161</v>
      </c>
      <c r="B44" s="14" t="s">
        <v>920</v>
      </c>
      <c r="C44" s="14" t="s">
        <v>921</v>
      </c>
      <c r="D44" s="14">
        <v>100</v>
      </c>
      <c r="E44" s="14" t="s">
        <v>922</v>
      </c>
      <c r="F44" s="14">
        <v>15</v>
      </c>
      <c r="G44" s="14" t="s">
        <v>139</v>
      </c>
      <c r="H44" s="27">
        <f>ROUND((F44/D44)*100, 2)</f>
      </c>
      <c r="I44" s="27">
        <f>ROUND((F44/D44)*250, 2)</f>
      </c>
      <c r="J44" s="27">
        <f>ROUND((F44/D44)*500, 2)</f>
      </c>
    </row>
    <row r="45" ht="20" customHeight="1" spans="1:10" x14ac:dyDescent="0.25">
      <c r="A45" s="12">
        <v>161</v>
      </c>
      <c r="B45" s="12" t="s">
        <v>920</v>
      </c>
      <c r="C45" s="12" t="s">
        <v>921</v>
      </c>
      <c r="D45" s="12">
        <v>100</v>
      </c>
      <c r="E45" s="12" t="s">
        <v>923</v>
      </c>
      <c r="F45" s="12">
        <v>2</v>
      </c>
      <c r="G45" s="12" t="s">
        <v>139</v>
      </c>
      <c r="H45" s="25">
        <f>ROUND((F45/D45)*100, 2)</f>
      </c>
      <c r="I45" s="25">
        <f>ROUND((F45/D45)*250, 2)</f>
      </c>
      <c r="J45" s="25">
        <f>ROUND((F45/D45)*500, 2)</f>
      </c>
    </row>
    <row r="46" ht="20" customHeight="1" spans="1:10" x14ac:dyDescent="0.25">
      <c r="A46" s="14">
        <v>94</v>
      </c>
      <c r="B46" s="14" t="s">
        <v>924</v>
      </c>
      <c r="C46" s="14" t="s">
        <v>925</v>
      </c>
      <c r="D46" s="14">
        <v>100</v>
      </c>
      <c r="E46" s="14" t="s">
        <v>926</v>
      </c>
      <c r="F46" s="14">
        <v>2</v>
      </c>
      <c r="G46" s="14" t="s">
        <v>139</v>
      </c>
      <c r="H46" s="27">
        <f>ROUND((F46/D46)*100, 2)</f>
      </c>
      <c r="I46" s="27">
        <f>ROUND((F46/D46)*250, 2)</f>
      </c>
      <c r="J46" s="27">
        <f>ROUND((F46/D46)*500, 2)</f>
      </c>
    </row>
    <row r="47" ht="20" customHeight="1" spans="1:10" x14ac:dyDescent="0.25">
      <c r="A47" s="12">
        <v>94</v>
      </c>
      <c r="B47" s="12" t="s">
        <v>924</v>
      </c>
      <c r="C47" s="12" t="s">
        <v>925</v>
      </c>
      <c r="D47" s="12">
        <v>100</v>
      </c>
      <c r="E47" s="12" t="s">
        <v>900</v>
      </c>
      <c r="F47" s="12">
        <v>2</v>
      </c>
      <c r="G47" s="12" t="s">
        <v>305</v>
      </c>
      <c r="H47" s="25">
        <f>ROUND((F47/D47)*100, 2)</f>
      </c>
      <c r="I47" s="25">
        <f>ROUND((F47/D47)*250, 2)</f>
      </c>
      <c r="J47" s="25">
        <f>ROUND((F47/D47)*500, 2)</f>
      </c>
    </row>
    <row r="48" ht="20" customHeight="1" spans="1:10" x14ac:dyDescent="0.25">
      <c r="A48" s="14">
        <v>94</v>
      </c>
      <c r="B48" s="14" t="s">
        <v>924</v>
      </c>
      <c r="C48" s="14" t="s">
        <v>925</v>
      </c>
      <c r="D48" s="14">
        <v>100</v>
      </c>
      <c r="E48" s="14" t="s">
        <v>927</v>
      </c>
      <c r="F48" s="14">
        <v>3</v>
      </c>
      <c r="G48" s="14" t="s">
        <v>305</v>
      </c>
      <c r="H48" s="27">
        <f>ROUND((F48/D48)*100, 2)</f>
      </c>
      <c r="I48" s="27">
        <f>ROUND((F48/D48)*250, 2)</f>
      </c>
      <c r="J48" s="27">
        <f>ROUND((F48/D48)*500, 2)</f>
      </c>
    </row>
    <row r="49" ht="20" customHeight="1" spans="1:10" x14ac:dyDescent="0.25">
      <c r="A49" s="12">
        <v>94</v>
      </c>
      <c r="B49" s="12" t="s">
        <v>924</v>
      </c>
      <c r="C49" s="12" t="s">
        <v>925</v>
      </c>
      <c r="D49" s="12">
        <v>100</v>
      </c>
      <c r="E49" s="12" t="s">
        <v>928</v>
      </c>
      <c r="F49" s="12">
        <v>15</v>
      </c>
      <c r="G49" s="12" t="s">
        <v>139</v>
      </c>
      <c r="H49" s="25">
        <f>ROUND((F49/D49)*100, 2)</f>
      </c>
      <c r="I49" s="25">
        <f>ROUND((F49/D49)*250, 2)</f>
      </c>
      <c r="J49" s="25">
        <f>ROUND((F49/D49)*500, 2)</f>
      </c>
    </row>
    <row r="50" ht="20" customHeight="1" spans="1:10" x14ac:dyDescent="0.25">
      <c r="A50" s="14">
        <v>228</v>
      </c>
      <c r="B50" s="14" t="s">
        <v>929</v>
      </c>
      <c r="C50" s="14" t="s">
        <v>930</v>
      </c>
      <c r="D50" s="14">
        <v>100</v>
      </c>
      <c r="E50" s="14" t="s">
        <v>134</v>
      </c>
      <c r="F50" s="14">
        <v>2</v>
      </c>
      <c r="G50" s="14" t="s">
        <v>305</v>
      </c>
      <c r="H50" s="27">
        <f>ROUND((F50/D50)*100, 2)</f>
      </c>
      <c r="I50" s="27">
        <f>ROUND((F50/D50)*250, 2)</f>
      </c>
      <c r="J50" s="27">
        <f>ROUND((F50/D50)*500, 2)</f>
      </c>
    </row>
    <row r="51" ht="20" customHeight="1" spans="1:10" x14ac:dyDescent="0.25">
      <c r="A51" s="12">
        <v>228</v>
      </c>
      <c r="B51" s="12" t="s">
        <v>929</v>
      </c>
      <c r="C51" s="12" t="s">
        <v>930</v>
      </c>
      <c r="D51" s="12">
        <v>100</v>
      </c>
      <c r="E51" s="12" t="s">
        <v>931</v>
      </c>
      <c r="F51" s="12">
        <v>6</v>
      </c>
      <c r="G51" s="12" t="s">
        <v>139</v>
      </c>
      <c r="H51" s="25">
        <f>ROUND((F51/D51)*100, 2)</f>
      </c>
      <c r="I51" s="25">
        <f>ROUND((F51/D51)*250, 2)</f>
      </c>
      <c r="J51" s="25">
        <f>ROUND((F51/D51)*500, 2)</f>
      </c>
    </row>
    <row r="52" ht="20" customHeight="1" spans="1:10" x14ac:dyDescent="0.25">
      <c r="A52" s="14">
        <v>228</v>
      </c>
      <c r="B52" s="14" t="s">
        <v>929</v>
      </c>
      <c r="C52" s="14" t="s">
        <v>930</v>
      </c>
      <c r="D52" s="14">
        <v>100</v>
      </c>
      <c r="E52" s="14" t="s">
        <v>540</v>
      </c>
      <c r="F52" s="14">
        <v>15</v>
      </c>
      <c r="G52" s="14" t="s">
        <v>305</v>
      </c>
      <c r="H52" s="27">
        <f>ROUND((F52/D52)*100, 2)</f>
      </c>
      <c r="I52" s="27">
        <f>ROUND((F52/D52)*250, 2)</f>
      </c>
      <c r="J52" s="27">
        <f>ROUND((F52/D52)*500, 2)</f>
      </c>
    </row>
    <row r="53" ht="20" customHeight="1" spans="1:10" x14ac:dyDescent="0.25">
      <c r="A53" s="12">
        <v>154</v>
      </c>
      <c r="B53" s="12" t="s">
        <v>932</v>
      </c>
      <c r="C53" s="12" t="s">
        <v>624</v>
      </c>
      <c r="D53" s="12">
        <v>100</v>
      </c>
      <c r="E53" s="12" t="s">
        <v>911</v>
      </c>
      <c r="F53" s="12">
        <v>2</v>
      </c>
      <c r="G53" s="12" t="s">
        <v>139</v>
      </c>
      <c r="H53" s="25">
        <f>ROUND((F53/D53)*100, 2)</f>
      </c>
      <c r="I53" s="25">
        <f>ROUND((F53/D53)*250, 2)</f>
      </c>
      <c r="J53" s="25">
        <f>ROUND((F53/D53)*500, 2)</f>
      </c>
    </row>
    <row r="54" ht="20" customHeight="1" spans="1:10" x14ac:dyDescent="0.25">
      <c r="A54" s="14">
        <v>154</v>
      </c>
      <c r="B54" s="14" t="s">
        <v>932</v>
      </c>
      <c r="C54" s="14" t="s">
        <v>624</v>
      </c>
      <c r="D54" s="14">
        <v>100</v>
      </c>
      <c r="E54" s="14" t="s">
        <v>624</v>
      </c>
      <c r="F54" s="14">
        <v>15</v>
      </c>
      <c r="G54" s="14" t="s">
        <v>139</v>
      </c>
      <c r="H54" s="27">
        <f>ROUND((F54/D54)*100, 2)</f>
      </c>
      <c r="I54" s="27">
        <f>ROUND((F54/D54)*250, 2)</f>
      </c>
      <c r="J54" s="27">
        <f>ROUND((F54/D54)*500, 2)</f>
      </c>
    </row>
    <row r="55" ht="20" customHeight="1" spans="1:10" x14ac:dyDescent="0.25">
      <c r="A55" s="12">
        <v>154</v>
      </c>
      <c r="B55" s="12" t="s">
        <v>932</v>
      </c>
      <c r="C55" s="12" t="s">
        <v>624</v>
      </c>
      <c r="D55" s="12">
        <v>100</v>
      </c>
      <c r="E55" s="12" t="s">
        <v>910</v>
      </c>
      <c r="F55" s="12">
        <v>10</v>
      </c>
      <c r="G55" s="12" t="s">
        <v>139</v>
      </c>
      <c r="H55" s="25">
        <f>ROUND((F55/D55)*100, 2)</f>
      </c>
      <c r="I55" s="25">
        <f>ROUND((F55/D55)*250, 2)</f>
      </c>
      <c r="J55" s="25">
        <f>ROUND((F55/D55)*500, 2)</f>
      </c>
    </row>
    <row r="56" ht="20" customHeight="1" spans="1:10" x14ac:dyDescent="0.25">
      <c r="A56" s="14">
        <v>154</v>
      </c>
      <c r="B56" s="14" t="s">
        <v>932</v>
      </c>
      <c r="C56" s="14" t="s">
        <v>624</v>
      </c>
      <c r="D56" s="14">
        <v>100</v>
      </c>
      <c r="E56" s="14" t="s">
        <v>909</v>
      </c>
      <c r="F56" s="14">
        <v>5</v>
      </c>
      <c r="G56" s="14" t="s">
        <v>139</v>
      </c>
      <c r="H56" s="27">
        <f>ROUND((F56/D56)*100, 2)</f>
      </c>
      <c r="I56" s="27">
        <f>ROUND((F56/D56)*250, 2)</f>
      </c>
      <c r="J56" s="27">
        <f>ROUND((F56/D56)*500, 2)</f>
      </c>
    </row>
    <row r="57" ht="20" customHeight="1" spans="1:10" x14ac:dyDescent="0.25">
      <c r="A57" s="12">
        <v>83</v>
      </c>
      <c r="B57" s="12" t="s">
        <v>933</v>
      </c>
      <c r="C57" s="12" t="s">
        <v>925</v>
      </c>
      <c r="D57" s="12">
        <v>100</v>
      </c>
      <c r="E57" s="12" t="s">
        <v>928</v>
      </c>
      <c r="F57" s="12">
        <v>15</v>
      </c>
      <c r="G57" s="12" t="s">
        <v>139</v>
      </c>
      <c r="H57" s="25">
        <f>ROUND((F57/D57)*100, 2)</f>
      </c>
      <c r="I57" s="25">
        <f>ROUND((F57/D57)*250, 2)</f>
      </c>
      <c r="J57" s="25">
        <f>ROUND((F57/D57)*500, 2)</f>
      </c>
    </row>
    <row r="58" ht="20" customHeight="1" spans="1:10" x14ac:dyDescent="0.25">
      <c r="A58" s="14">
        <v>83</v>
      </c>
      <c r="B58" s="14" t="s">
        <v>933</v>
      </c>
      <c r="C58" s="14" t="s">
        <v>925</v>
      </c>
      <c r="D58" s="14">
        <v>100</v>
      </c>
      <c r="E58" s="14" t="s">
        <v>926</v>
      </c>
      <c r="F58" s="14">
        <v>2</v>
      </c>
      <c r="G58" s="14" t="s">
        <v>139</v>
      </c>
      <c r="H58" s="27">
        <f>ROUND((F58/D58)*100, 2)</f>
      </c>
      <c r="I58" s="27">
        <f>ROUND((F58/D58)*250, 2)</f>
      </c>
      <c r="J58" s="27">
        <f>ROUND((F58/D58)*500, 2)</f>
      </c>
    </row>
    <row r="59" ht="20" customHeight="1" spans="1:10" x14ac:dyDescent="0.25">
      <c r="A59" s="12">
        <v>83</v>
      </c>
      <c r="B59" s="12" t="s">
        <v>933</v>
      </c>
      <c r="C59" s="12" t="s">
        <v>925</v>
      </c>
      <c r="D59" s="12">
        <v>100</v>
      </c>
      <c r="E59" s="12" t="s">
        <v>927</v>
      </c>
      <c r="F59" s="12">
        <v>3</v>
      </c>
      <c r="G59" s="12" t="s">
        <v>305</v>
      </c>
      <c r="H59" s="25">
        <f>ROUND((F59/D59)*100, 2)</f>
      </c>
      <c r="I59" s="25">
        <f>ROUND((F59/D59)*250, 2)</f>
      </c>
      <c r="J59" s="25">
        <f>ROUND((F59/D59)*500, 2)</f>
      </c>
    </row>
    <row r="60" ht="20" customHeight="1" spans="1:10" x14ac:dyDescent="0.25">
      <c r="A60" s="14">
        <v>83</v>
      </c>
      <c r="B60" s="14" t="s">
        <v>933</v>
      </c>
      <c r="C60" s="14" t="s">
        <v>925</v>
      </c>
      <c r="D60" s="14">
        <v>100</v>
      </c>
      <c r="E60" s="14" t="s">
        <v>900</v>
      </c>
      <c r="F60" s="14">
        <v>2</v>
      </c>
      <c r="G60" s="14" t="s">
        <v>305</v>
      </c>
      <c r="H60" s="27">
        <f>ROUND((F60/D60)*100, 2)</f>
      </c>
      <c r="I60" s="27">
        <f>ROUND((F60/D60)*250, 2)</f>
      </c>
      <c r="J60" s="27">
        <f>ROUND((F60/D60)*500, 2)</f>
      </c>
    </row>
    <row r="61" ht="20" customHeight="1" spans="1:10" x14ac:dyDescent="0.25">
      <c r="A61" s="12">
        <v>175</v>
      </c>
      <c r="B61" s="12" t="s">
        <v>934</v>
      </c>
      <c r="C61" s="12" t="s">
        <v>917</v>
      </c>
      <c r="D61" s="12">
        <v>100</v>
      </c>
      <c r="E61" s="12" t="s">
        <v>898</v>
      </c>
      <c r="F61" s="12">
        <v>5</v>
      </c>
      <c r="G61" s="12" t="s">
        <v>305</v>
      </c>
      <c r="H61" s="25">
        <f>ROUND((F61/D61)*100, 2)</f>
      </c>
      <c r="I61" s="25">
        <f>ROUND((F61/D61)*250, 2)</f>
      </c>
      <c r="J61" s="25">
        <f>ROUND((F61/D61)*500, 2)</f>
      </c>
    </row>
    <row r="62" ht="20" customHeight="1" spans="1:10" x14ac:dyDescent="0.25">
      <c r="A62" s="14">
        <v>175</v>
      </c>
      <c r="B62" s="14" t="s">
        <v>934</v>
      </c>
      <c r="C62" s="14" t="s">
        <v>917</v>
      </c>
      <c r="D62" s="14">
        <v>100</v>
      </c>
      <c r="E62" s="14" t="s">
        <v>918</v>
      </c>
      <c r="F62" s="14">
        <v>10</v>
      </c>
      <c r="G62" s="14" t="s">
        <v>139</v>
      </c>
      <c r="H62" s="27">
        <f>ROUND((F62/D62)*100, 2)</f>
      </c>
      <c r="I62" s="27">
        <f>ROUND((F62/D62)*250, 2)</f>
      </c>
      <c r="J62" s="27">
        <f>ROUND((F62/D62)*500, 2)</f>
      </c>
    </row>
    <row r="63" ht="20" customHeight="1" spans="1:10" x14ac:dyDescent="0.25">
      <c r="A63" s="12">
        <v>175</v>
      </c>
      <c r="B63" s="12" t="s">
        <v>934</v>
      </c>
      <c r="C63" s="12" t="s">
        <v>917</v>
      </c>
      <c r="D63" s="12">
        <v>100</v>
      </c>
      <c r="E63" s="12" t="s">
        <v>328</v>
      </c>
      <c r="F63" s="12">
        <v>3</v>
      </c>
      <c r="G63" s="12" t="s">
        <v>139</v>
      </c>
      <c r="H63" s="25">
        <f>ROUND((F63/D63)*100, 2)</f>
      </c>
      <c r="I63" s="25">
        <f>ROUND((F63/D63)*250, 2)</f>
      </c>
      <c r="J63" s="25">
        <f>ROUND((F63/D63)*500, 2)</f>
      </c>
    </row>
    <row r="64" ht="20" customHeight="1" spans="1:10" x14ac:dyDescent="0.25">
      <c r="A64" s="14">
        <v>175</v>
      </c>
      <c r="B64" s="14" t="s">
        <v>934</v>
      </c>
      <c r="C64" s="14" t="s">
        <v>917</v>
      </c>
      <c r="D64" s="14">
        <v>100</v>
      </c>
      <c r="E64" s="14" t="s">
        <v>919</v>
      </c>
      <c r="F64" s="14">
        <v>1</v>
      </c>
      <c r="G64" s="14" t="s">
        <v>139</v>
      </c>
      <c r="H64" s="27">
        <f>ROUND((F64/D64)*100, 2)</f>
      </c>
      <c r="I64" s="27">
        <f>ROUND((F64/D64)*250, 2)</f>
      </c>
      <c r="J64" s="27">
        <f>ROUND((F64/D64)*500, 2)</f>
      </c>
    </row>
    <row r="65" ht="20" customHeight="1" spans="1:10" x14ac:dyDescent="0.25">
      <c r="A65" s="12">
        <v>170</v>
      </c>
      <c r="B65" s="12" t="s">
        <v>935</v>
      </c>
      <c r="C65" s="12" t="s">
        <v>917</v>
      </c>
      <c r="D65" s="12">
        <v>100</v>
      </c>
      <c r="E65" s="12" t="s">
        <v>328</v>
      </c>
      <c r="F65" s="12">
        <v>3</v>
      </c>
      <c r="G65" s="12" t="s">
        <v>139</v>
      </c>
      <c r="H65" s="25">
        <f>ROUND((F65/D65)*100, 2)</f>
      </c>
      <c r="I65" s="25">
        <f>ROUND((F65/D65)*250, 2)</f>
      </c>
      <c r="J65" s="25">
        <f>ROUND((F65/D65)*500, 2)</f>
      </c>
    </row>
    <row r="66" ht="20" customHeight="1" spans="1:10" x14ac:dyDescent="0.25">
      <c r="A66" s="14">
        <v>170</v>
      </c>
      <c r="B66" s="14" t="s">
        <v>935</v>
      </c>
      <c r="C66" s="14" t="s">
        <v>917</v>
      </c>
      <c r="D66" s="14">
        <v>100</v>
      </c>
      <c r="E66" s="14" t="s">
        <v>918</v>
      </c>
      <c r="F66" s="14">
        <v>10</v>
      </c>
      <c r="G66" s="14" t="s">
        <v>139</v>
      </c>
      <c r="H66" s="27">
        <f>ROUND((F66/D66)*100, 2)</f>
      </c>
      <c r="I66" s="27">
        <f>ROUND((F66/D66)*250, 2)</f>
      </c>
      <c r="J66" s="27">
        <f>ROUND((F66/D66)*500, 2)</f>
      </c>
    </row>
    <row r="67" ht="20" customHeight="1" spans="1:10" x14ac:dyDescent="0.25">
      <c r="A67" s="12">
        <v>170</v>
      </c>
      <c r="B67" s="12" t="s">
        <v>935</v>
      </c>
      <c r="C67" s="12" t="s">
        <v>917</v>
      </c>
      <c r="D67" s="12">
        <v>100</v>
      </c>
      <c r="E67" s="12" t="s">
        <v>898</v>
      </c>
      <c r="F67" s="12">
        <v>5</v>
      </c>
      <c r="G67" s="12" t="s">
        <v>305</v>
      </c>
      <c r="H67" s="25">
        <f>ROUND((F67/D67)*100, 2)</f>
      </c>
      <c r="I67" s="25">
        <f>ROUND((F67/D67)*250, 2)</f>
      </c>
      <c r="J67" s="25">
        <f>ROUND((F67/D67)*500, 2)</f>
      </c>
    </row>
    <row r="68" ht="20" customHeight="1" spans="1:10" x14ac:dyDescent="0.25">
      <c r="A68" s="14">
        <v>170</v>
      </c>
      <c r="B68" s="14" t="s">
        <v>935</v>
      </c>
      <c r="C68" s="14" t="s">
        <v>917</v>
      </c>
      <c r="D68" s="14">
        <v>100</v>
      </c>
      <c r="E68" s="14" t="s">
        <v>919</v>
      </c>
      <c r="F68" s="14">
        <v>1</v>
      </c>
      <c r="G68" s="14" t="s">
        <v>139</v>
      </c>
      <c r="H68" s="27">
        <f>ROUND((F68/D68)*100, 2)</f>
      </c>
      <c r="I68" s="27">
        <f>ROUND((F68/D68)*250, 2)</f>
      </c>
      <c r="J68" s="27">
        <f>ROUND((F68/D68)*500, 2)</f>
      </c>
    </row>
    <row r="69" ht="20" customHeight="1" spans="1:10" x14ac:dyDescent="0.25">
      <c r="A69" s="12">
        <v>208</v>
      </c>
      <c r="B69" s="12" t="s">
        <v>936</v>
      </c>
      <c r="C69" s="12" t="s">
        <v>937</v>
      </c>
      <c r="D69" s="12">
        <v>100</v>
      </c>
      <c r="E69" s="12" t="s">
        <v>540</v>
      </c>
      <c r="F69" s="12">
        <v>20</v>
      </c>
      <c r="G69" s="12" t="s">
        <v>305</v>
      </c>
      <c r="H69" s="25">
        <f>ROUND((F69/D69)*100, 2)</f>
      </c>
      <c r="I69" s="25">
        <f>ROUND((F69/D69)*250, 2)</f>
      </c>
      <c r="J69" s="25">
        <f>ROUND((F69/D69)*500, 2)</f>
      </c>
    </row>
    <row r="70" ht="20" customHeight="1" spans="1:10" x14ac:dyDescent="0.25">
      <c r="A70" s="14">
        <v>208</v>
      </c>
      <c r="B70" s="14" t="s">
        <v>936</v>
      </c>
      <c r="C70" s="14" t="s">
        <v>937</v>
      </c>
      <c r="D70" s="14">
        <v>100</v>
      </c>
      <c r="E70" s="14" t="s">
        <v>245</v>
      </c>
      <c r="F70" s="14">
        <v>6</v>
      </c>
      <c r="G70" s="14" t="s">
        <v>139</v>
      </c>
      <c r="H70" s="27">
        <f>ROUND((F70/D70)*100, 2)</f>
      </c>
      <c r="I70" s="27">
        <f>ROUND((F70/D70)*250, 2)</f>
      </c>
      <c r="J70" s="27">
        <f>ROUND((F70/D70)*500, 2)</f>
      </c>
    </row>
    <row r="71" ht="20" customHeight="1" spans="1:10" x14ac:dyDescent="0.25">
      <c r="A71" s="12">
        <v>208</v>
      </c>
      <c r="B71" s="12" t="s">
        <v>936</v>
      </c>
      <c r="C71" s="12" t="s">
        <v>937</v>
      </c>
      <c r="D71" s="12">
        <v>100</v>
      </c>
      <c r="E71" s="12" t="s">
        <v>938</v>
      </c>
      <c r="F71" s="12">
        <v>3</v>
      </c>
      <c r="G71" s="12" t="s">
        <v>139</v>
      </c>
      <c r="H71" s="25">
        <f>ROUND((F71/D71)*100, 2)</f>
      </c>
      <c r="I71" s="25">
        <f>ROUND((F71/D71)*250, 2)</f>
      </c>
      <c r="J71" s="25">
        <f>ROUND((F71/D71)*500, 2)</f>
      </c>
    </row>
    <row r="72" ht="20" customHeight="1" spans="1:10" x14ac:dyDescent="0.25">
      <c r="A72" s="14">
        <v>197</v>
      </c>
      <c r="B72" s="14" t="s">
        <v>939</v>
      </c>
      <c r="C72" s="14" t="s">
        <v>937</v>
      </c>
      <c r="D72" s="14">
        <v>100</v>
      </c>
      <c r="E72" s="14" t="s">
        <v>938</v>
      </c>
      <c r="F72" s="14">
        <v>3</v>
      </c>
      <c r="G72" s="14" t="s">
        <v>139</v>
      </c>
      <c r="H72" s="27">
        <f>ROUND((F72/D72)*100, 2)</f>
      </c>
      <c r="I72" s="27">
        <f>ROUND((F72/D72)*250, 2)</f>
      </c>
      <c r="J72" s="27">
        <f>ROUND((F72/D72)*500, 2)</f>
      </c>
    </row>
    <row r="73" ht="20" customHeight="1" spans="1:10" x14ac:dyDescent="0.25">
      <c r="A73" s="12">
        <v>197</v>
      </c>
      <c r="B73" s="12" t="s">
        <v>939</v>
      </c>
      <c r="C73" s="12" t="s">
        <v>937</v>
      </c>
      <c r="D73" s="12">
        <v>100</v>
      </c>
      <c r="E73" s="12" t="s">
        <v>540</v>
      </c>
      <c r="F73" s="12">
        <v>20</v>
      </c>
      <c r="G73" s="12" t="s">
        <v>305</v>
      </c>
      <c r="H73" s="25">
        <f>ROUND((F73/D73)*100, 2)</f>
      </c>
      <c r="I73" s="25">
        <f>ROUND((F73/D73)*250, 2)</f>
      </c>
      <c r="J73" s="25">
        <f>ROUND((F73/D73)*500, 2)</f>
      </c>
    </row>
    <row r="74" ht="20" customHeight="1" spans="1:10" x14ac:dyDescent="0.25">
      <c r="A74" s="14">
        <v>197</v>
      </c>
      <c r="B74" s="14" t="s">
        <v>939</v>
      </c>
      <c r="C74" s="14" t="s">
        <v>937</v>
      </c>
      <c r="D74" s="14">
        <v>100</v>
      </c>
      <c r="E74" s="14" t="s">
        <v>245</v>
      </c>
      <c r="F74" s="14">
        <v>6</v>
      </c>
      <c r="G74" s="14" t="s">
        <v>139</v>
      </c>
      <c r="H74" s="27">
        <f>ROUND((F74/D74)*100, 2)</f>
      </c>
      <c r="I74" s="27">
        <f>ROUND((F74/D74)*250, 2)</f>
      </c>
      <c r="J74" s="27">
        <f>ROUND((F74/D74)*500, 2)</f>
      </c>
    </row>
    <row r="75" ht="20" customHeight="1" spans="1:10" x14ac:dyDescent="0.25">
      <c r="A75" s="12">
        <v>217</v>
      </c>
      <c r="B75" s="12" t="s">
        <v>194</v>
      </c>
      <c r="C75" s="12" t="s">
        <v>940</v>
      </c>
      <c r="D75" s="12">
        <v>100</v>
      </c>
      <c r="E75" s="12" t="s">
        <v>941</v>
      </c>
      <c r="F75" s="12">
        <v>0.5</v>
      </c>
      <c r="G75" s="12" t="s">
        <v>139</v>
      </c>
      <c r="H75" s="25">
        <f>ROUND((F75/D75)*100, 2)</f>
      </c>
      <c r="I75" s="25">
        <f>ROUND((F75/D75)*250, 2)</f>
      </c>
      <c r="J75" s="25">
        <f>ROUND((F75/D75)*500, 2)</f>
      </c>
    </row>
    <row r="76" ht="20" customHeight="1" spans="1:10" x14ac:dyDescent="0.25">
      <c r="A76" s="14">
        <v>217</v>
      </c>
      <c r="B76" s="14" t="s">
        <v>194</v>
      </c>
      <c r="C76" s="14" t="s">
        <v>940</v>
      </c>
      <c r="D76" s="14">
        <v>100</v>
      </c>
      <c r="E76" s="14" t="s">
        <v>942</v>
      </c>
      <c r="F76" s="14">
        <v>20</v>
      </c>
      <c r="G76" s="14" t="s">
        <v>305</v>
      </c>
      <c r="H76" s="27">
        <f>ROUND((F76/D76)*100, 2)</f>
      </c>
      <c r="I76" s="27">
        <f>ROUND((F76/D76)*250, 2)</f>
      </c>
      <c r="J76" s="27">
        <f>ROUND((F76/D76)*500, 2)</f>
      </c>
    </row>
    <row r="77" ht="20" customHeight="1" spans="1:10" x14ac:dyDescent="0.25">
      <c r="A77" s="12">
        <v>217</v>
      </c>
      <c r="B77" s="12" t="s">
        <v>194</v>
      </c>
      <c r="C77" s="12" t="s">
        <v>940</v>
      </c>
      <c r="D77" s="12">
        <v>100</v>
      </c>
      <c r="E77" s="12" t="s">
        <v>134</v>
      </c>
      <c r="F77" s="12">
        <v>2</v>
      </c>
      <c r="G77" s="12" t="s">
        <v>305</v>
      </c>
      <c r="H77" s="25">
        <f>ROUND((F77/D77)*100, 2)</f>
      </c>
      <c r="I77" s="25">
        <f>ROUND((F77/D77)*250, 2)</f>
      </c>
      <c r="J77" s="25">
        <f>ROUND((F77/D77)*500, 2)</f>
      </c>
    </row>
    <row r="78" ht="20" customHeight="1" spans="1:10" x14ac:dyDescent="0.25">
      <c r="A78" s="14">
        <v>122</v>
      </c>
      <c r="B78" s="14" t="s">
        <v>943</v>
      </c>
      <c r="C78" s="14" t="s">
        <v>944</v>
      </c>
      <c r="D78" s="14">
        <v>100</v>
      </c>
      <c r="E78" s="14" t="s">
        <v>945</v>
      </c>
      <c r="F78" s="14">
        <v>8</v>
      </c>
      <c r="G78" s="14" t="s">
        <v>139</v>
      </c>
      <c r="H78" s="27">
        <f>ROUND((F78/D78)*100, 2)</f>
      </c>
      <c r="I78" s="27">
        <f>ROUND((F78/D78)*250, 2)</f>
      </c>
      <c r="J78" s="27">
        <f>ROUND((F78/D78)*500, 2)</f>
      </c>
    </row>
    <row r="79" ht="20" customHeight="1" spans="1:10" x14ac:dyDescent="0.25">
      <c r="A79" s="12">
        <v>122</v>
      </c>
      <c r="B79" s="12" t="s">
        <v>943</v>
      </c>
      <c r="C79" s="12" t="s">
        <v>944</v>
      </c>
      <c r="D79" s="12">
        <v>100</v>
      </c>
      <c r="E79" s="12" t="s">
        <v>900</v>
      </c>
      <c r="F79" s="12">
        <v>1.5</v>
      </c>
      <c r="G79" s="12" t="s">
        <v>305</v>
      </c>
      <c r="H79" s="25">
        <f>ROUND((F79/D79)*100, 2)</f>
      </c>
      <c r="I79" s="25">
        <f>ROUND((F79/D79)*250, 2)</f>
      </c>
      <c r="J79" s="25">
        <f>ROUND((F79/D79)*500, 2)</f>
      </c>
    </row>
    <row r="80" ht="20" customHeight="1" spans="1:10" x14ac:dyDescent="0.25">
      <c r="A80" s="14">
        <v>122</v>
      </c>
      <c r="B80" s="14" t="s">
        <v>943</v>
      </c>
      <c r="C80" s="14" t="s">
        <v>944</v>
      </c>
      <c r="D80" s="14">
        <v>100</v>
      </c>
      <c r="E80" s="14" t="s">
        <v>946</v>
      </c>
      <c r="F80" s="14">
        <v>20</v>
      </c>
      <c r="G80" s="14" t="s">
        <v>139</v>
      </c>
      <c r="H80" s="27">
        <f>ROUND((F80/D80)*100, 2)</f>
      </c>
      <c r="I80" s="27">
        <f>ROUND((F80/D80)*250, 2)</f>
      </c>
      <c r="J80" s="27">
        <f>ROUND((F80/D80)*500, 2)</f>
      </c>
    </row>
    <row r="81" ht="20" customHeight="1" spans="1:10" x14ac:dyDescent="0.25">
      <c r="A81" s="12">
        <v>122</v>
      </c>
      <c r="B81" s="12" t="s">
        <v>943</v>
      </c>
      <c r="C81" s="12" t="s">
        <v>944</v>
      </c>
      <c r="D81" s="12">
        <v>100</v>
      </c>
      <c r="E81" s="12" t="s">
        <v>927</v>
      </c>
      <c r="F81" s="12">
        <v>2</v>
      </c>
      <c r="G81" s="12" t="s">
        <v>305</v>
      </c>
      <c r="H81" s="25">
        <f>ROUND((F81/D81)*100, 2)</f>
      </c>
      <c r="I81" s="25">
        <f>ROUND((F81/D81)*250, 2)</f>
      </c>
      <c r="J81" s="25">
        <f>ROUND((F81/D81)*500, 2)</f>
      </c>
    </row>
    <row r="82" ht="20" customHeight="1" spans="1:10" x14ac:dyDescent="0.25">
      <c r="A82" s="14">
        <v>55</v>
      </c>
      <c r="B82" s="14" t="s">
        <v>947</v>
      </c>
      <c r="C82" s="14" t="s">
        <v>948</v>
      </c>
      <c r="D82" s="14">
        <v>100</v>
      </c>
      <c r="E82" s="14" t="s">
        <v>949</v>
      </c>
      <c r="F82" s="14">
        <v>20</v>
      </c>
      <c r="G82" s="14" t="s">
        <v>139</v>
      </c>
      <c r="H82" s="27">
        <f>ROUND((F82/D82)*100, 2)</f>
      </c>
      <c r="I82" s="27">
        <f>ROUND((F82/D82)*250, 2)</f>
      </c>
      <c r="J82" s="27">
        <f>ROUND((F82/D82)*500, 2)</f>
      </c>
    </row>
    <row r="83" ht="20" customHeight="1" spans="1:10" x14ac:dyDescent="0.25">
      <c r="A83" s="12">
        <v>55</v>
      </c>
      <c r="B83" s="12" t="s">
        <v>947</v>
      </c>
      <c r="C83" s="12" t="s">
        <v>948</v>
      </c>
      <c r="D83" s="12">
        <v>100</v>
      </c>
      <c r="E83" s="12" t="s">
        <v>950</v>
      </c>
      <c r="F83" s="12">
        <v>10</v>
      </c>
      <c r="G83" s="12" t="s">
        <v>139</v>
      </c>
      <c r="H83" s="25">
        <f>ROUND((F83/D83)*100, 2)</f>
      </c>
      <c r="I83" s="25">
        <f>ROUND((F83/D83)*250, 2)</f>
      </c>
      <c r="J83" s="25">
        <f>ROUND((F83/D83)*500, 2)</f>
      </c>
    </row>
    <row r="84" ht="20" customHeight="1" spans="1:10" x14ac:dyDescent="0.25">
      <c r="A84" s="14">
        <v>55</v>
      </c>
      <c r="B84" s="14" t="s">
        <v>947</v>
      </c>
      <c r="C84" s="14" t="s">
        <v>948</v>
      </c>
      <c r="D84" s="14">
        <v>100</v>
      </c>
      <c r="E84" s="14" t="s">
        <v>900</v>
      </c>
      <c r="F84" s="14">
        <v>2</v>
      </c>
      <c r="G84" s="14" t="s">
        <v>305</v>
      </c>
      <c r="H84" s="27">
        <f>ROUND((F84/D84)*100, 2)</f>
      </c>
      <c r="I84" s="27">
        <f>ROUND((F84/D84)*250, 2)</f>
      </c>
      <c r="J84" s="27">
        <f>ROUND((F84/D84)*500, 2)</f>
      </c>
    </row>
    <row r="85" ht="20" customHeight="1" spans="1:10" x14ac:dyDescent="0.25">
      <c r="A85" s="12">
        <v>55</v>
      </c>
      <c r="B85" s="12" t="s">
        <v>947</v>
      </c>
      <c r="C85" s="12" t="s">
        <v>948</v>
      </c>
      <c r="D85" s="12">
        <v>100</v>
      </c>
      <c r="E85" s="12" t="s">
        <v>951</v>
      </c>
      <c r="F85" s="12">
        <v>1</v>
      </c>
      <c r="G85" s="12" t="s">
        <v>139</v>
      </c>
      <c r="H85" s="25">
        <f>ROUND((F85/D85)*100, 2)</f>
      </c>
      <c r="I85" s="25">
        <f>ROUND((F85/D85)*250, 2)</f>
      </c>
      <c r="J85" s="25">
        <f>ROUND((F85/D85)*500, 2)</f>
      </c>
    </row>
    <row r="86" ht="20" customHeight="1" spans="1:10" x14ac:dyDescent="0.25">
      <c r="A86" s="14">
        <v>23</v>
      </c>
      <c r="B86" s="14" t="s">
        <v>952</v>
      </c>
      <c r="C86" s="14" t="s">
        <v>897</v>
      </c>
      <c r="D86" s="14">
        <v>100</v>
      </c>
      <c r="E86" s="14" t="s">
        <v>900</v>
      </c>
      <c r="F86" s="14">
        <v>1</v>
      </c>
      <c r="G86" s="14" t="s">
        <v>305</v>
      </c>
      <c r="H86" s="27">
        <f>ROUND((F86/D86)*100, 2)</f>
      </c>
      <c r="I86" s="27">
        <f>ROUND((F86/D86)*250, 2)</f>
      </c>
      <c r="J86" s="27">
        <f>ROUND((F86/D86)*500, 2)</f>
      </c>
    </row>
    <row r="87" ht="20" customHeight="1" spans="1:10" x14ac:dyDescent="0.25">
      <c r="A87" s="12">
        <v>23</v>
      </c>
      <c r="B87" s="12" t="s">
        <v>952</v>
      </c>
      <c r="C87" s="12" t="s">
        <v>897</v>
      </c>
      <c r="D87" s="12">
        <v>100</v>
      </c>
      <c r="E87" s="12" t="s">
        <v>898</v>
      </c>
      <c r="F87" s="12">
        <v>3</v>
      </c>
      <c r="G87" s="12" t="s">
        <v>139</v>
      </c>
      <c r="H87" s="25">
        <f>ROUND((F87/D87)*100, 2)</f>
      </c>
      <c r="I87" s="25">
        <f>ROUND((F87/D87)*250, 2)</f>
      </c>
      <c r="J87" s="25">
        <f>ROUND((F87/D87)*500, 2)</f>
      </c>
    </row>
    <row r="88" ht="20" customHeight="1" spans="1:10" x14ac:dyDescent="0.25">
      <c r="A88" s="14">
        <v>23</v>
      </c>
      <c r="B88" s="14" t="s">
        <v>952</v>
      </c>
      <c r="C88" s="14" t="s">
        <v>897</v>
      </c>
      <c r="D88" s="14">
        <v>100</v>
      </c>
      <c r="E88" s="14" t="s">
        <v>899</v>
      </c>
      <c r="F88" s="14">
        <v>15</v>
      </c>
      <c r="G88" s="14" t="s">
        <v>139</v>
      </c>
      <c r="H88" s="27">
        <f>ROUND((F88/D88)*100, 2)</f>
      </c>
      <c r="I88" s="27">
        <f>ROUND((F88/D88)*250, 2)</f>
      </c>
      <c r="J88" s="27">
        <f>ROUND((F88/D88)*500, 2)</f>
      </c>
    </row>
    <row r="89" ht="20" customHeight="1" spans="1:10" x14ac:dyDescent="0.25">
      <c r="A89" s="12">
        <v>23</v>
      </c>
      <c r="B89" s="12" t="s">
        <v>952</v>
      </c>
      <c r="C89" s="12" t="s">
        <v>897</v>
      </c>
      <c r="D89" s="12">
        <v>100</v>
      </c>
      <c r="E89" s="12" t="s">
        <v>901</v>
      </c>
      <c r="F89" s="12">
        <v>10</v>
      </c>
      <c r="G89" s="12" t="s">
        <v>305</v>
      </c>
      <c r="H89" s="25">
        <f>ROUND((F89/D89)*100, 2)</f>
      </c>
      <c r="I89" s="25">
        <f>ROUND((F89/D89)*250, 2)</f>
      </c>
      <c r="J89" s="25">
        <f>ROUND((F89/D89)*500, 2)</f>
      </c>
    </row>
    <row r="90" ht="20" customHeight="1" spans="1:10" x14ac:dyDescent="0.25">
      <c r="A90" s="14">
        <v>70</v>
      </c>
      <c r="B90" s="14" t="s">
        <v>953</v>
      </c>
      <c r="C90" s="14" t="s">
        <v>913</v>
      </c>
      <c r="D90" s="14">
        <v>100</v>
      </c>
      <c r="E90" s="14" t="s">
        <v>914</v>
      </c>
      <c r="F90" s="14">
        <v>10</v>
      </c>
      <c r="G90" s="14" t="s">
        <v>139</v>
      </c>
      <c r="H90" s="27">
        <f>ROUND((F90/D90)*100, 2)</f>
      </c>
      <c r="I90" s="27">
        <f>ROUND((F90/D90)*250, 2)</f>
      </c>
      <c r="J90" s="27">
        <f>ROUND((F90/D90)*500, 2)</f>
      </c>
    </row>
    <row r="91" ht="20" customHeight="1" spans="1:10" x14ac:dyDescent="0.25">
      <c r="A91" s="12">
        <v>70</v>
      </c>
      <c r="B91" s="12" t="s">
        <v>953</v>
      </c>
      <c r="C91" s="12" t="s">
        <v>913</v>
      </c>
      <c r="D91" s="12">
        <v>100</v>
      </c>
      <c r="E91" s="12" t="s">
        <v>915</v>
      </c>
      <c r="F91" s="12">
        <v>1.5</v>
      </c>
      <c r="G91" s="12" t="s">
        <v>139</v>
      </c>
      <c r="H91" s="25">
        <f>ROUND((F91/D91)*100, 2)</f>
      </c>
      <c r="I91" s="25">
        <f>ROUND((F91/D91)*250, 2)</f>
      </c>
      <c r="J91" s="25">
        <f>ROUND((F91/D91)*500, 2)</f>
      </c>
    </row>
    <row r="92" ht="20" customHeight="1" spans="1:10" x14ac:dyDescent="0.25">
      <c r="A92" s="14">
        <v>180</v>
      </c>
      <c r="B92" s="14" t="s">
        <v>954</v>
      </c>
      <c r="C92" s="14" t="s">
        <v>917</v>
      </c>
      <c r="D92" s="14">
        <v>100</v>
      </c>
      <c r="E92" s="14" t="s">
        <v>919</v>
      </c>
      <c r="F92" s="14">
        <v>1</v>
      </c>
      <c r="G92" s="14" t="s">
        <v>139</v>
      </c>
      <c r="H92" s="27">
        <f>ROUND((F92/D92)*100, 2)</f>
      </c>
      <c r="I92" s="27">
        <f>ROUND((F92/D92)*250, 2)</f>
      </c>
      <c r="J92" s="27">
        <f>ROUND((F92/D92)*500, 2)</f>
      </c>
    </row>
    <row r="93" ht="20" customHeight="1" spans="1:10" x14ac:dyDescent="0.25">
      <c r="A93" s="12">
        <v>180</v>
      </c>
      <c r="B93" s="12" t="s">
        <v>954</v>
      </c>
      <c r="C93" s="12" t="s">
        <v>917</v>
      </c>
      <c r="D93" s="12">
        <v>100</v>
      </c>
      <c r="E93" s="12" t="s">
        <v>898</v>
      </c>
      <c r="F93" s="12">
        <v>5</v>
      </c>
      <c r="G93" s="12" t="s">
        <v>305</v>
      </c>
      <c r="H93" s="25">
        <f>ROUND((F93/D93)*100, 2)</f>
      </c>
      <c r="I93" s="25">
        <f>ROUND((F93/D93)*250, 2)</f>
      </c>
      <c r="J93" s="25">
        <f>ROUND((F93/D93)*500, 2)</f>
      </c>
    </row>
    <row r="94" ht="20" customHeight="1" spans="1:10" x14ac:dyDescent="0.25">
      <c r="A94" s="14">
        <v>180</v>
      </c>
      <c r="B94" s="14" t="s">
        <v>954</v>
      </c>
      <c r="C94" s="14" t="s">
        <v>917</v>
      </c>
      <c r="D94" s="14">
        <v>100</v>
      </c>
      <c r="E94" s="14" t="s">
        <v>918</v>
      </c>
      <c r="F94" s="14">
        <v>10</v>
      </c>
      <c r="G94" s="14" t="s">
        <v>139</v>
      </c>
      <c r="H94" s="27">
        <f>ROUND((F94/D94)*100, 2)</f>
      </c>
      <c r="I94" s="27">
        <f>ROUND((F94/D94)*250, 2)</f>
      </c>
      <c r="J94" s="27">
        <f>ROUND((F94/D94)*500, 2)</f>
      </c>
    </row>
    <row r="95" ht="20" customHeight="1" spans="1:10" x14ac:dyDescent="0.25">
      <c r="A95" s="12">
        <v>180</v>
      </c>
      <c r="B95" s="12" t="s">
        <v>954</v>
      </c>
      <c r="C95" s="12" t="s">
        <v>917</v>
      </c>
      <c r="D95" s="12">
        <v>100</v>
      </c>
      <c r="E95" s="12" t="s">
        <v>328</v>
      </c>
      <c r="F95" s="12">
        <v>3</v>
      </c>
      <c r="G95" s="12" t="s">
        <v>139</v>
      </c>
      <c r="H95" s="25">
        <f>ROUND((F95/D95)*100, 2)</f>
      </c>
      <c r="I95" s="25">
        <f>ROUND((F95/D95)*250, 2)</f>
      </c>
      <c r="J95" s="25">
        <f>ROUND((F95/D95)*500, 2)</f>
      </c>
    </row>
    <row r="96" ht="20" customHeight="1" spans="1:10" x14ac:dyDescent="0.25">
      <c r="A96" s="14">
        <v>73</v>
      </c>
      <c r="B96" s="14" t="s">
        <v>955</v>
      </c>
      <c r="C96" s="14" t="s">
        <v>913</v>
      </c>
      <c r="D96" s="14">
        <v>100</v>
      </c>
      <c r="E96" s="14" t="s">
        <v>914</v>
      </c>
      <c r="F96" s="14">
        <v>10</v>
      </c>
      <c r="G96" s="14" t="s">
        <v>139</v>
      </c>
      <c r="H96" s="27">
        <f>ROUND((F96/D96)*100, 2)</f>
      </c>
      <c r="I96" s="27">
        <f>ROUND((F96/D96)*250, 2)</f>
      </c>
      <c r="J96" s="27">
        <f>ROUND((F96/D96)*500, 2)</f>
      </c>
    </row>
    <row r="97" ht="20" customHeight="1" spans="1:10" x14ac:dyDescent="0.25">
      <c r="A97" s="12">
        <v>73</v>
      </c>
      <c r="B97" s="12" t="s">
        <v>955</v>
      </c>
      <c r="C97" s="12" t="s">
        <v>913</v>
      </c>
      <c r="D97" s="12">
        <v>100</v>
      </c>
      <c r="E97" s="12" t="s">
        <v>915</v>
      </c>
      <c r="F97" s="12">
        <v>1.5</v>
      </c>
      <c r="G97" s="12" t="s">
        <v>139</v>
      </c>
      <c r="H97" s="25">
        <f>ROUND((F97/D97)*100, 2)</f>
      </c>
      <c r="I97" s="25">
        <f>ROUND((F97/D97)*250, 2)</f>
      </c>
      <c r="J97" s="25">
        <f>ROUND((F97/D97)*500, 2)</f>
      </c>
    </row>
    <row r="98" ht="20" customHeight="1" spans="1:10" x14ac:dyDescent="0.25">
      <c r="A98" s="14">
        <v>220</v>
      </c>
      <c r="B98" s="14" t="s">
        <v>956</v>
      </c>
      <c r="C98" s="14" t="s">
        <v>930</v>
      </c>
      <c r="D98" s="14">
        <v>100</v>
      </c>
      <c r="E98" s="14" t="s">
        <v>134</v>
      </c>
      <c r="F98" s="14">
        <v>2</v>
      </c>
      <c r="G98" s="14" t="s">
        <v>305</v>
      </c>
      <c r="H98" s="27">
        <f>ROUND((F98/D98)*100, 2)</f>
      </c>
      <c r="I98" s="27">
        <f>ROUND((F98/D98)*250, 2)</f>
      </c>
      <c r="J98" s="27">
        <f>ROUND((F98/D98)*500, 2)</f>
      </c>
    </row>
    <row r="99" ht="20" customHeight="1" spans="1:10" x14ac:dyDescent="0.25">
      <c r="A99" s="12">
        <v>220</v>
      </c>
      <c r="B99" s="12" t="s">
        <v>956</v>
      </c>
      <c r="C99" s="12" t="s">
        <v>930</v>
      </c>
      <c r="D99" s="12">
        <v>100</v>
      </c>
      <c r="E99" s="12" t="s">
        <v>931</v>
      </c>
      <c r="F99" s="12">
        <v>6</v>
      </c>
      <c r="G99" s="12" t="s">
        <v>139</v>
      </c>
      <c r="H99" s="25">
        <f>ROUND((F99/D99)*100, 2)</f>
      </c>
      <c r="I99" s="25">
        <f>ROUND((F99/D99)*250, 2)</f>
      </c>
      <c r="J99" s="25">
        <f>ROUND((F99/D99)*500, 2)</f>
      </c>
    </row>
    <row r="100" ht="20" customHeight="1" spans="1:10" x14ac:dyDescent="0.25">
      <c r="A100" s="14">
        <v>220</v>
      </c>
      <c r="B100" s="14" t="s">
        <v>956</v>
      </c>
      <c r="C100" s="14" t="s">
        <v>930</v>
      </c>
      <c r="D100" s="14">
        <v>100</v>
      </c>
      <c r="E100" s="14" t="s">
        <v>540</v>
      </c>
      <c r="F100" s="14">
        <v>15</v>
      </c>
      <c r="G100" s="14" t="s">
        <v>305</v>
      </c>
      <c r="H100" s="27">
        <f>ROUND((F100/D100)*100, 2)</f>
      </c>
      <c r="I100" s="27">
        <f>ROUND((F100/D100)*250, 2)</f>
      </c>
      <c r="J100" s="27">
        <f>ROUND((F100/D100)*500, 2)</f>
      </c>
    </row>
    <row r="101" ht="20" customHeight="1" spans="1:10" x14ac:dyDescent="0.25">
      <c r="A101" s="12">
        <v>7</v>
      </c>
      <c r="B101" s="12" t="s">
        <v>957</v>
      </c>
      <c r="C101" s="12" t="s">
        <v>897</v>
      </c>
      <c r="D101" s="12">
        <v>100</v>
      </c>
      <c r="E101" s="12" t="s">
        <v>899</v>
      </c>
      <c r="F101" s="12">
        <v>15</v>
      </c>
      <c r="G101" s="12" t="s">
        <v>139</v>
      </c>
      <c r="H101" s="25">
        <f>ROUND((F101/D101)*100, 2)</f>
      </c>
      <c r="I101" s="25">
        <f>ROUND((F101/D101)*250, 2)</f>
      </c>
      <c r="J101" s="25">
        <f>ROUND((F101/D101)*500, 2)</f>
      </c>
    </row>
    <row r="102" ht="20" customHeight="1" spans="1:10" x14ac:dyDescent="0.25">
      <c r="A102" s="14">
        <v>7</v>
      </c>
      <c r="B102" s="14" t="s">
        <v>957</v>
      </c>
      <c r="C102" s="14" t="s">
        <v>897</v>
      </c>
      <c r="D102" s="14">
        <v>100</v>
      </c>
      <c r="E102" s="14" t="s">
        <v>900</v>
      </c>
      <c r="F102" s="14">
        <v>1</v>
      </c>
      <c r="G102" s="14" t="s">
        <v>305</v>
      </c>
      <c r="H102" s="27">
        <f>ROUND((F102/D102)*100, 2)</f>
      </c>
      <c r="I102" s="27">
        <f>ROUND((F102/D102)*250, 2)</f>
      </c>
      <c r="J102" s="27">
        <f>ROUND((F102/D102)*500, 2)</f>
      </c>
    </row>
    <row r="103" ht="20" customHeight="1" spans="1:10" x14ac:dyDescent="0.25">
      <c r="A103" s="12">
        <v>7</v>
      </c>
      <c r="B103" s="12" t="s">
        <v>957</v>
      </c>
      <c r="C103" s="12" t="s">
        <v>897</v>
      </c>
      <c r="D103" s="12">
        <v>100</v>
      </c>
      <c r="E103" s="12" t="s">
        <v>898</v>
      </c>
      <c r="F103" s="12">
        <v>3</v>
      </c>
      <c r="G103" s="12" t="s">
        <v>139</v>
      </c>
      <c r="H103" s="25">
        <f>ROUND((F103/D103)*100, 2)</f>
      </c>
      <c r="I103" s="25">
        <f>ROUND((F103/D103)*250, 2)</f>
      </c>
      <c r="J103" s="25">
        <f>ROUND((F103/D103)*500, 2)</f>
      </c>
    </row>
    <row r="104" ht="20" customHeight="1" spans="1:10" x14ac:dyDescent="0.25">
      <c r="A104" s="14">
        <v>7</v>
      </c>
      <c r="B104" s="14" t="s">
        <v>957</v>
      </c>
      <c r="C104" s="14" t="s">
        <v>897</v>
      </c>
      <c r="D104" s="14">
        <v>100</v>
      </c>
      <c r="E104" s="14" t="s">
        <v>901</v>
      </c>
      <c r="F104" s="14">
        <v>10</v>
      </c>
      <c r="G104" s="14" t="s">
        <v>305</v>
      </c>
      <c r="H104" s="27">
        <f>ROUND((F104/D104)*100, 2)</f>
      </c>
      <c r="I104" s="27">
        <f>ROUND((F104/D104)*250, 2)</f>
      </c>
      <c r="J104" s="27">
        <f>ROUND((F104/D104)*500, 2)</f>
      </c>
    </row>
    <row r="105" ht="20" customHeight="1" spans="1:10" x14ac:dyDescent="0.25">
      <c r="A105" s="12">
        <v>6</v>
      </c>
      <c r="B105" s="12" t="s">
        <v>958</v>
      </c>
      <c r="C105" s="12" t="s">
        <v>897</v>
      </c>
      <c r="D105" s="12">
        <v>100</v>
      </c>
      <c r="E105" s="12" t="s">
        <v>900</v>
      </c>
      <c r="F105" s="12">
        <v>1</v>
      </c>
      <c r="G105" s="12" t="s">
        <v>305</v>
      </c>
      <c r="H105" s="25">
        <f>ROUND((F105/D105)*100, 2)</f>
      </c>
      <c r="I105" s="25">
        <f>ROUND((F105/D105)*250, 2)</f>
      </c>
      <c r="J105" s="25">
        <f>ROUND((F105/D105)*500, 2)</f>
      </c>
    </row>
    <row r="106" ht="20" customHeight="1" spans="1:10" x14ac:dyDescent="0.25">
      <c r="A106" s="14">
        <v>6</v>
      </c>
      <c r="B106" s="14" t="s">
        <v>958</v>
      </c>
      <c r="C106" s="14" t="s">
        <v>897</v>
      </c>
      <c r="D106" s="14">
        <v>100</v>
      </c>
      <c r="E106" s="14" t="s">
        <v>899</v>
      </c>
      <c r="F106" s="14">
        <v>15</v>
      </c>
      <c r="G106" s="14" t="s">
        <v>139</v>
      </c>
      <c r="H106" s="27">
        <f>ROUND((F106/D106)*100, 2)</f>
      </c>
      <c r="I106" s="27">
        <f>ROUND((F106/D106)*250, 2)</f>
      </c>
      <c r="J106" s="27">
        <f>ROUND((F106/D106)*500, 2)</f>
      </c>
    </row>
    <row r="107" ht="20" customHeight="1" spans="1:10" x14ac:dyDescent="0.25">
      <c r="A107" s="12">
        <v>6</v>
      </c>
      <c r="B107" s="12" t="s">
        <v>958</v>
      </c>
      <c r="C107" s="12" t="s">
        <v>897</v>
      </c>
      <c r="D107" s="12">
        <v>100</v>
      </c>
      <c r="E107" s="12" t="s">
        <v>898</v>
      </c>
      <c r="F107" s="12">
        <v>3</v>
      </c>
      <c r="G107" s="12" t="s">
        <v>139</v>
      </c>
      <c r="H107" s="25">
        <f>ROUND((F107/D107)*100, 2)</f>
      </c>
      <c r="I107" s="25">
        <f>ROUND((F107/D107)*250, 2)</f>
      </c>
      <c r="J107" s="25">
        <f>ROUND((F107/D107)*500, 2)</f>
      </c>
    </row>
    <row r="108" ht="20" customHeight="1" spans="1:10" x14ac:dyDescent="0.25">
      <c r="A108" s="14">
        <v>6</v>
      </c>
      <c r="B108" s="14" t="s">
        <v>958</v>
      </c>
      <c r="C108" s="14" t="s">
        <v>897</v>
      </c>
      <c r="D108" s="14">
        <v>100</v>
      </c>
      <c r="E108" s="14" t="s">
        <v>901</v>
      </c>
      <c r="F108" s="14">
        <v>10</v>
      </c>
      <c r="G108" s="14" t="s">
        <v>305</v>
      </c>
      <c r="H108" s="27">
        <f>ROUND((F108/D108)*100, 2)</f>
      </c>
      <c r="I108" s="27">
        <f>ROUND((F108/D108)*250, 2)</f>
      </c>
      <c r="J108" s="27">
        <f>ROUND((F108/D108)*500, 2)</f>
      </c>
    </row>
    <row r="109" ht="20" customHeight="1" spans="1:10" x14ac:dyDescent="0.25">
      <c r="A109" s="12">
        <v>209</v>
      </c>
      <c r="B109" s="12" t="s">
        <v>959</v>
      </c>
      <c r="C109" s="12" t="s">
        <v>937</v>
      </c>
      <c r="D109" s="12">
        <v>100</v>
      </c>
      <c r="E109" s="12" t="s">
        <v>245</v>
      </c>
      <c r="F109" s="12">
        <v>6</v>
      </c>
      <c r="G109" s="12" t="s">
        <v>139</v>
      </c>
      <c r="H109" s="25">
        <f>ROUND((F109/D109)*100, 2)</f>
      </c>
      <c r="I109" s="25">
        <f>ROUND((F109/D109)*250, 2)</f>
      </c>
      <c r="J109" s="25">
        <f>ROUND((F109/D109)*500, 2)</f>
      </c>
    </row>
    <row r="110" ht="20" customHeight="1" spans="1:10" x14ac:dyDescent="0.25">
      <c r="A110" s="14">
        <v>209</v>
      </c>
      <c r="B110" s="14" t="s">
        <v>959</v>
      </c>
      <c r="C110" s="14" t="s">
        <v>937</v>
      </c>
      <c r="D110" s="14">
        <v>100</v>
      </c>
      <c r="E110" s="14" t="s">
        <v>540</v>
      </c>
      <c r="F110" s="14">
        <v>20</v>
      </c>
      <c r="G110" s="14" t="s">
        <v>305</v>
      </c>
      <c r="H110" s="27">
        <f>ROUND((F110/D110)*100, 2)</f>
      </c>
      <c r="I110" s="27">
        <f>ROUND((F110/D110)*250, 2)</f>
      </c>
      <c r="J110" s="27">
        <f>ROUND((F110/D110)*500, 2)</f>
      </c>
    </row>
    <row r="111" ht="20" customHeight="1" spans="1:10" x14ac:dyDescent="0.25">
      <c r="A111" s="12">
        <v>209</v>
      </c>
      <c r="B111" s="12" t="s">
        <v>959</v>
      </c>
      <c r="C111" s="12" t="s">
        <v>937</v>
      </c>
      <c r="D111" s="12">
        <v>100</v>
      </c>
      <c r="E111" s="12" t="s">
        <v>938</v>
      </c>
      <c r="F111" s="12">
        <v>3</v>
      </c>
      <c r="G111" s="12" t="s">
        <v>139</v>
      </c>
      <c r="H111" s="25">
        <f>ROUND((F111/D111)*100, 2)</f>
      </c>
      <c r="I111" s="25">
        <f>ROUND((F111/D111)*250, 2)</f>
      </c>
      <c r="J111" s="25">
        <f>ROUND((F111/D111)*500, 2)</f>
      </c>
    </row>
    <row r="112" ht="20" customHeight="1" spans="1:10" x14ac:dyDescent="0.25">
      <c r="A112" s="14">
        <v>155</v>
      </c>
      <c r="B112" s="14" t="s">
        <v>960</v>
      </c>
      <c r="C112" s="14" t="s">
        <v>921</v>
      </c>
      <c r="D112" s="14">
        <v>100</v>
      </c>
      <c r="E112" s="14" t="s">
        <v>911</v>
      </c>
      <c r="F112" s="14">
        <v>1.5</v>
      </c>
      <c r="G112" s="14" t="s">
        <v>139</v>
      </c>
      <c r="H112" s="27">
        <f>ROUND((F112/D112)*100, 2)</f>
      </c>
      <c r="I112" s="27">
        <f>ROUND((F112/D112)*250, 2)</f>
      </c>
      <c r="J112" s="27">
        <f>ROUND((F112/D112)*500, 2)</f>
      </c>
    </row>
    <row r="113" ht="20" customHeight="1" spans="1:10" x14ac:dyDescent="0.25">
      <c r="A113" s="12">
        <v>155</v>
      </c>
      <c r="B113" s="12" t="s">
        <v>960</v>
      </c>
      <c r="C113" s="12" t="s">
        <v>921</v>
      </c>
      <c r="D113" s="12">
        <v>100</v>
      </c>
      <c r="E113" s="12" t="s">
        <v>922</v>
      </c>
      <c r="F113" s="12">
        <v>15</v>
      </c>
      <c r="G113" s="12" t="s">
        <v>139</v>
      </c>
      <c r="H113" s="25">
        <f>ROUND((F113/D113)*100, 2)</f>
      </c>
      <c r="I113" s="25">
        <f>ROUND((F113/D113)*250, 2)</f>
      </c>
      <c r="J113" s="25">
        <f>ROUND((F113/D113)*500, 2)</f>
      </c>
    </row>
    <row r="114" ht="20" customHeight="1" spans="1:10" x14ac:dyDescent="0.25">
      <c r="A114" s="14">
        <v>155</v>
      </c>
      <c r="B114" s="14" t="s">
        <v>960</v>
      </c>
      <c r="C114" s="14" t="s">
        <v>921</v>
      </c>
      <c r="D114" s="14">
        <v>100</v>
      </c>
      <c r="E114" s="14" t="s">
        <v>923</v>
      </c>
      <c r="F114" s="14">
        <v>2</v>
      </c>
      <c r="G114" s="14" t="s">
        <v>139</v>
      </c>
      <c r="H114" s="27">
        <f>ROUND((F114/D114)*100, 2)</f>
      </c>
      <c r="I114" s="27">
        <f>ROUND((F114/D114)*250, 2)</f>
      </c>
      <c r="J114" s="27">
        <f>ROUND((F114/D114)*500, 2)</f>
      </c>
    </row>
    <row r="115" ht="20" customHeight="1" spans="1:10" x14ac:dyDescent="0.25">
      <c r="A115" s="12">
        <v>181</v>
      </c>
      <c r="B115" s="12" t="s">
        <v>961</v>
      </c>
      <c r="C115" s="12" t="s">
        <v>917</v>
      </c>
      <c r="D115" s="12">
        <v>100</v>
      </c>
      <c r="E115" s="12" t="s">
        <v>898</v>
      </c>
      <c r="F115" s="12">
        <v>5</v>
      </c>
      <c r="G115" s="12" t="s">
        <v>305</v>
      </c>
      <c r="H115" s="25">
        <f>ROUND((F115/D115)*100, 2)</f>
      </c>
      <c r="I115" s="25">
        <f>ROUND((F115/D115)*250, 2)</f>
      </c>
      <c r="J115" s="25">
        <f>ROUND((F115/D115)*500, 2)</f>
      </c>
    </row>
    <row r="116" ht="20" customHeight="1" spans="1:10" x14ac:dyDescent="0.25">
      <c r="A116" s="14">
        <v>181</v>
      </c>
      <c r="B116" s="14" t="s">
        <v>961</v>
      </c>
      <c r="C116" s="14" t="s">
        <v>917</v>
      </c>
      <c r="D116" s="14">
        <v>100</v>
      </c>
      <c r="E116" s="14" t="s">
        <v>328</v>
      </c>
      <c r="F116" s="14">
        <v>3</v>
      </c>
      <c r="G116" s="14" t="s">
        <v>139</v>
      </c>
      <c r="H116" s="27">
        <f>ROUND((F116/D116)*100, 2)</f>
      </c>
      <c r="I116" s="27">
        <f>ROUND((F116/D116)*250, 2)</f>
      </c>
      <c r="J116" s="27">
        <f>ROUND((F116/D116)*500, 2)</f>
      </c>
    </row>
    <row r="117" ht="20" customHeight="1" spans="1:10" x14ac:dyDescent="0.25">
      <c r="A117" s="12">
        <v>181</v>
      </c>
      <c r="B117" s="12" t="s">
        <v>961</v>
      </c>
      <c r="C117" s="12" t="s">
        <v>917</v>
      </c>
      <c r="D117" s="12">
        <v>100</v>
      </c>
      <c r="E117" s="12" t="s">
        <v>919</v>
      </c>
      <c r="F117" s="12">
        <v>1</v>
      </c>
      <c r="G117" s="12" t="s">
        <v>139</v>
      </c>
      <c r="H117" s="25">
        <f>ROUND((F117/D117)*100, 2)</f>
      </c>
      <c r="I117" s="25">
        <f>ROUND((F117/D117)*250, 2)</f>
      </c>
      <c r="J117" s="25">
        <f>ROUND((F117/D117)*500, 2)</f>
      </c>
    </row>
    <row r="118" ht="20" customHeight="1" spans="1:10" x14ac:dyDescent="0.25">
      <c r="A118" s="14">
        <v>181</v>
      </c>
      <c r="B118" s="14" t="s">
        <v>961</v>
      </c>
      <c r="C118" s="14" t="s">
        <v>917</v>
      </c>
      <c r="D118" s="14">
        <v>100</v>
      </c>
      <c r="E118" s="14" t="s">
        <v>918</v>
      </c>
      <c r="F118" s="14">
        <v>10</v>
      </c>
      <c r="G118" s="14" t="s">
        <v>139</v>
      </c>
      <c r="H118" s="27">
        <f>ROUND((F118/D118)*100, 2)</f>
      </c>
      <c r="I118" s="27">
        <f>ROUND((F118/D118)*250, 2)</f>
      </c>
      <c r="J118" s="27">
        <f>ROUND((F118/D118)*500, 2)</f>
      </c>
    </row>
    <row r="119" ht="20" customHeight="1" spans="1:10" x14ac:dyDescent="0.25">
      <c r="A119" s="12">
        <v>87</v>
      </c>
      <c r="B119" s="12" t="s">
        <v>962</v>
      </c>
      <c r="C119" s="12" t="s">
        <v>925</v>
      </c>
      <c r="D119" s="12">
        <v>100</v>
      </c>
      <c r="E119" s="12" t="s">
        <v>927</v>
      </c>
      <c r="F119" s="12">
        <v>3</v>
      </c>
      <c r="G119" s="12" t="s">
        <v>305</v>
      </c>
      <c r="H119" s="25">
        <f>ROUND((F119/D119)*100, 2)</f>
      </c>
      <c r="I119" s="25">
        <f>ROUND((F119/D119)*250, 2)</f>
      </c>
      <c r="J119" s="25">
        <f>ROUND((F119/D119)*500, 2)</f>
      </c>
    </row>
    <row r="120" ht="20" customHeight="1" spans="1:10" x14ac:dyDescent="0.25">
      <c r="A120" s="14">
        <v>87</v>
      </c>
      <c r="B120" s="14" t="s">
        <v>962</v>
      </c>
      <c r="C120" s="14" t="s">
        <v>925</v>
      </c>
      <c r="D120" s="14">
        <v>100</v>
      </c>
      <c r="E120" s="14" t="s">
        <v>926</v>
      </c>
      <c r="F120" s="14">
        <v>2</v>
      </c>
      <c r="G120" s="14" t="s">
        <v>139</v>
      </c>
      <c r="H120" s="27">
        <f>ROUND((F120/D120)*100, 2)</f>
      </c>
      <c r="I120" s="27">
        <f>ROUND((F120/D120)*250, 2)</f>
      </c>
      <c r="J120" s="27">
        <f>ROUND((F120/D120)*500, 2)</f>
      </c>
    </row>
    <row r="121" ht="20" customHeight="1" spans="1:10" x14ac:dyDescent="0.25">
      <c r="A121" s="12">
        <v>87</v>
      </c>
      <c r="B121" s="12" t="s">
        <v>962</v>
      </c>
      <c r="C121" s="12" t="s">
        <v>925</v>
      </c>
      <c r="D121" s="12">
        <v>100</v>
      </c>
      <c r="E121" s="12" t="s">
        <v>928</v>
      </c>
      <c r="F121" s="12">
        <v>15</v>
      </c>
      <c r="G121" s="12" t="s">
        <v>139</v>
      </c>
      <c r="H121" s="25">
        <f>ROUND((F121/D121)*100, 2)</f>
      </c>
      <c r="I121" s="25">
        <f>ROUND((F121/D121)*250, 2)</f>
      </c>
      <c r="J121" s="25">
        <f>ROUND((F121/D121)*500, 2)</f>
      </c>
    </row>
    <row r="122" ht="20" customHeight="1" spans="1:10" x14ac:dyDescent="0.25">
      <c r="A122" s="14">
        <v>87</v>
      </c>
      <c r="B122" s="14" t="s">
        <v>962</v>
      </c>
      <c r="C122" s="14" t="s">
        <v>925</v>
      </c>
      <c r="D122" s="14">
        <v>100</v>
      </c>
      <c r="E122" s="14" t="s">
        <v>900</v>
      </c>
      <c r="F122" s="14">
        <v>2</v>
      </c>
      <c r="G122" s="14" t="s">
        <v>305</v>
      </c>
      <c r="H122" s="27">
        <f>ROUND((F122/D122)*100, 2)</f>
      </c>
      <c r="I122" s="27">
        <f>ROUND((F122/D122)*250, 2)</f>
      </c>
      <c r="J122" s="27">
        <f>ROUND((F122/D122)*500, 2)</f>
      </c>
    </row>
    <row r="123" ht="20" customHeight="1" spans="1:10" x14ac:dyDescent="0.25">
      <c r="A123" s="12">
        <v>132</v>
      </c>
      <c r="B123" s="12" t="s">
        <v>963</v>
      </c>
      <c r="C123" s="12" t="s">
        <v>964</v>
      </c>
      <c r="D123" s="12">
        <v>100</v>
      </c>
      <c r="E123" s="12" t="s">
        <v>926</v>
      </c>
      <c r="F123" s="12">
        <v>0.5</v>
      </c>
      <c r="G123" s="12" t="s">
        <v>139</v>
      </c>
      <c r="H123" s="25">
        <f>ROUND((F123/D123)*100, 2)</f>
      </c>
      <c r="I123" s="25">
        <f>ROUND((F123/D123)*250, 2)</f>
      </c>
      <c r="J123" s="25">
        <f>ROUND((F123/D123)*500, 2)</f>
      </c>
    </row>
    <row r="124" ht="20" customHeight="1" spans="1:10" x14ac:dyDescent="0.25">
      <c r="A124" s="14">
        <v>132</v>
      </c>
      <c r="B124" s="14" t="s">
        <v>963</v>
      </c>
      <c r="C124" s="14" t="s">
        <v>964</v>
      </c>
      <c r="D124" s="14">
        <v>100</v>
      </c>
      <c r="E124" s="14" t="s">
        <v>965</v>
      </c>
      <c r="F124" s="14">
        <v>20</v>
      </c>
      <c r="G124" s="14" t="s">
        <v>305</v>
      </c>
      <c r="H124" s="27">
        <f>ROUND((F124/D124)*100, 2)</f>
      </c>
      <c r="I124" s="27">
        <f>ROUND((F124/D124)*250, 2)</f>
      </c>
      <c r="J124" s="27">
        <f>ROUND((F124/D124)*500, 2)</f>
      </c>
    </row>
    <row r="125" ht="20" customHeight="1" spans="1:10" x14ac:dyDescent="0.25">
      <c r="A125" s="12">
        <v>132</v>
      </c>
      <c r="B125" s="12" t="s">
        <v>963</v>
      </c>
      <c r="C125" s="12" t="s">
        <v>964</v>
      </c>
      <c r="D125" s="12">
        <v>100</v>
      </c>
      <c r="E125" s="12" t="s">
        <v>945</v>
      </c>
      <c r="F125" s="12">
        <v>5</v>
      </c>
      <c r="G125" s="12" t="s">
        <v>139</v>
      </c>
      <c r="H125" s="25">
        <f>ROUND((F125/D125)*100, 2)</f>
      </c>
      <c r="I125" s="25">
        <f>ROUND((F125/D125)*250, 2)</f>
      </c>
      <c r="J125" s="25">
        <f>ROUND((F125/D125)*500, 2)</f>
      </c>
    </row>
    <row r="126" ht="20" customHeight="1" spans="1:10" x14ac:dyDescent="0.25">
      <c r="A126" s="14">
        <v>63</v>
      </c>
      <c r="B126" s="14" t="s">
        <v>966</v>
      </c>
      <c r="C126" s="14" t="s">
        <v>967</v>
      </c>
      <c r="D126" s="14">
        <v>100</v>
      </c>
      <c r="E126" s="14" t="s">
        <v>399</v>
      </c>
      <c r="F126" s="14">
        <v>2</v>
      </c>
      <c r="G126" s="14" t="s">
        <v>305</v>
      </c>
      <c r="H126" s="27">
        <f>ROUND((F126/D126)*100, 2)</f>
      </c>
      <c r="I126" s="27">
        <f>ROUND((F126/D126)*250, 2)</f>
      </c>
      <c r="J126" s="27">
        <f>ROUND((F126/D126)*500, 2)</f>
      </c>
    </row>
    <row r="127" ht="20" customHeight="1" spans="1:10" x14ac:dyDescent="0.25">
      <c r="A127" s="12">
        <v>63</v>
      </c>
      <c r="B127" s="12" t="s">
        <v>966</v>
      </c>
      <c r="C127" s="12" t="s">
        <v>967</v>
      </c>
      <c r="D127" s="12">
        <v>100</v>
      </c>
      <c r="E127" s="12" t="s">
        <v>175</v>
      </c>
      <c r="F127" s="12">
        <v>20</v>
      </c>
      <c r="G127" s="12" t="s">
        <v>139</v>
      </c>
      <c r="H127" s="25">
        <f>ROUND((F127/D127)*100, 2)</f>
      </c>
      <c r="I127" s="25">
        <f>ROUND((F127/D127)*250, 2)</f>
      </c>
      <c r="J127" s="25">
        <f>ROUND((F127/D127)*500, 2)</f>
      </c>
    </row>
    <row r="128" ht="20" customHeight="1" spans="1:10" x14ac:dyDescent="0.25">
      <c r="A128" s="14">
        <v>63</v>
      </c>
      <c r="B128" s="14" t="s">
        <v>966</v>
      </c>
      <c r="C128" s="14" t="s">
        <v>967</v>
      </c>
      <c r="D128" s="14">
        <v>100</v>
      </c>
      <c r="E128" s="14" t="s">
        <v>968</v>
      </c>
      <c r="F128" s="14">
        <v>2</v>
      </c>
      <c r="G128" s="14" t="s">
        <v>139</v>
      </c>
      <c r="H128" s="27">
        <f>ROUND((F128/D128)*100, 2)</f>
      </c>
      <c r="I128" s="27">
        <f>ROUND((F128/D128)*250, 2)</f>
      </c>
      <c r="J128" s="27">
        <f>ROUND((F128/D128)*500, 2)</f>
      </c>
    </row>
    <row r="129" ht="20" customHeight="1" spans="1:10" x14ac:dyDescent="0.25">
      <c r="A129" s="12">
        <v>63</v>
      </c>
      <c r="B129" s="12" t="s">
        <v>966</v>
      </c>
      <c r="C129" s="12" t="s">
        <v>967</v>
      </c>
      <c r="D129" s="12">
        <v>100</v>
      </c>
      <c r="E129" s="12" t="s">
        <v>969</v>
      </c>
      <c r="F129" s="12">
        <v>1.5</v>
      </c>
      <c r="G129" s="12" t="s">
        <v>139</v>
      </c>
      <c r="H129" s="25">
        <f>ROUND((F129/D129)*100, 2)</f>
      </c>
      <c r="I129" s="25">
        <f>ROUND((F129/D129)*250, 2)</f>
      </c>
      <c r="J129" s="25">
        <f>ROUND((F129/D129)*500, 2)</f>
      </c>
    </row>
    <row r="130" ht="20" customHeight="1" spans="1:10" x14ac:dyDescent="0.25">
      <c r="A130" s="14">
        <v>63</v>
      </c>
      <c r="B130" s="14" t="s">
        <v>966</v>
      </c>
      <c r="C130" s="14" t="s">
        <v>967</v>
      </c>
      <c r="D130" s="14">
        <v>100</v>
      </c>
      <c r="E130" s="14" t="s">
        <v>970</v>
      </c>
      <c r="F130" s="14">
        <v>15</v>
      </c>
      <c r="G130" s="14" t="s">
        <v>139</v>
      </c>
      <c r="H130" s="27">
        <f>ROUND((F130/D130)*100, 2)</f>
      </c>
      <c r="I130" s="27">
        <f>ROUND((F130/D130)*250, 2)</f>
      </c>
      <c r="J130" s="27">
        <f>ROUND((F130/D130)*500, 2)</f>
      </c>
    </row>
    <row r="131" ht="20" customHeight="1" spans="1:10" x14ac:dyDescent="0.25">
      <c r="A131" s="12">
        <v>114</v>
      </c>
      <c r="B131" s="12" t="s">
        <v>971</v>
      </c>
      <c r="C131" s="12" t="s">
        <v>944</v>
      </c>
      <c r="D131" s="12">
        <v>100</v>
      </c>
      <c r="E131" s="12" t="s">
        <v>927</v>
      </c>
      <c r="F131" s="12">
        <v>2</v>
      </c>
      <c r="G131" s="12" t="s">
        <v>305</v>
      </c>
      <c r="H131" s="25">
        <f>ROUND((F131/D131)*100, 2)</f>
      </c>
      <c r="I131" s="25">
        <f>ROUND((F131/D131)*250, 2)</f>
      </c>
      <c r="J131" s="25">
        <f>ROUND((F131/D131)*500, 2)</f>
      </c>
    </row>
    <row r="132" ht="20" customHeight="1" spans="1:10" x14ac:dyDescent="0.25">
      <c r="A132" s="14">
        <v>114</v>
      </c>
      <c r="B132" s="14" t="s">
        <v>971</v>
      </c>
      <c r="C132" s="14" t="s">
        <v>944</v>
      </c>
      <c r="D132" s="14">
        <v>100</v>
      </c>
      <c r="E132" s="14" t="s">
        <v>946</v>
      </c>
      <c r="F132" s="14">
        <v>20</v>
      </c>
      <c r="G132" s="14" t="s">
        <v>139</v>
      </c>
      <c r="H132" s="27">
        <f>ROUND((F132/D132)*100, 2)</f>
      </c>
      <c r="I132" s="27">
        <f>ROUND((F132/D132)*250, 2)</f>
      </c>
      <c r="J132" s="27">
        <f>ROUND((F132/D132)*500, 2)</f>
      </c>
    </row>
    <row r="133" ht="20" customHeight="1" spans="1:10" x14ac:dyDescent="0.25">
      <c r="A133" s="12">
        <v>114</v>
      </c>
      <c r="B133" s="12" t="s">
        <v>971</v>
      </c>
      <c r="C133" s="12" t="s">
        <v>944</v>
      </c>
      <c r="D133" s="12">
        <v>100</v>
      </c>
      <c r="E133" s="12" t="s">
        <v>945</v>
      </c>
      <c r="F133" s="12">
        <v>8</v>
      </c>
      <c r="G133" s="12" t="s">
        <v>139</v>
      </c>
      <c r="H133" s="25">
        <f>ROUND((F133/D133)*100, 2)</f>
      </c>
      <c r="I133" s="25">
        <f>ROUND((F133/D133)*250, 2)</f>
      </c>
      <c r="J133" s="25">
        <f>ROUND((F133/D133)*500, 2)</f>
      </c>
    </row>
    <row r="134" ht="20" customHeight="1" spans="1:10" x14ac:dyDescent="0.25">
      <c r="A134" s="14">
        <v>114</v>
      </c>
      <c r="B134" s="14" t="s">
        <v>971</v>
      </c>
      <c r="C134" s="14" t="s">
        <v>944</v>
      </c>
      <c r="D134" s="14">
        <v>100</v>
      </c>
      <c r="E134" s="14" t="s">
        <v>900</v>
      </c>
      <c r="F134" s="14">
        <v>1.5</v>
      </c>
      <c r="G134" s="14" t="s">
        <v>305</v>
      </c>
      <c r="H134" s="27">
        <f>ROUND((F134/D134)*100, 2)</f>
      </c>
      <c r="I134" s="27">
        <f>ROUND((F134/D134)*250, 2)</f>
      </c>
      <c r="J134" s="27">
        <f>ROUND((F134/D134)*500, 2)</f>
      </c>
    </row>
    <row r="135" ht="20" customHeight="1" spans="1:10" x14ac:dyDescent="0.25">
      <c r="A135" s="12">
        <v>64</v>
      </c>
      <c r="B135" s="12" t="s">
        <v>972</v>
      </c>
      <c r="C135" s="12" t="s">
        <v>967</v>
      </c>
      <c r="D135" s="12">
        <v>100</v>
      </c>
      <c r="E135" s="12" t="s">
        <v>970</v>
      </c>
      <c r="F135" s="12">
        <v>15</v>
      </c>
      <c r="G135" s="12" t="s">
        <v>139</v>
      </c>
      <c r="H135" s="25">
        <f>ROUND((F135/D135)*100, 2)</f>
      </c>
      <c r="I135" s="25">
        <f>ROUND((F135/D135)*250, 2)</f>
      </c>
      <c r="J135" s="25">
        <f>ROUND((F135/D135)*500, 2)</f>
      </c>
    </row>
    <row r="136" ht="20" customHeight="1" spans="1:10" x14ac:dyDescent="0.25">
      <c r="A136" s="14">
        <v>64</v>
      </c>
      <c r="B136" s="14" t="s">
        <v>972</v>
      </c>
      <c r="C136" s="14" t="s">
        <v>967</v>
      </c>
      <c r="D136" s="14">
        <v>100</v>
      </c>
      <c r="E136" s="14" t="s">
        <v>175</v>
      </c>
      <c r="F136" s="14">
        <v>20</v>
      </c>
      <c r="G136" s="14" t="s">
        <v>139</v>
      </c>
      <c r="H136" s="27">
        <f>ROUND((F136/D136)*100, 2)</f>
      </c>
      <c r="I136" s="27">
        <f>ROUND((F136/D136)*250, 2)</f>
      </c>
      <c r="J136" s="27">
        <f>ROUND((F136/D136)*500, 2)</f>
      </c>
    </row>
    <row r="137" ht="20" customHeight="1" spans="1:10" x14ac:dyDescent="0.25">
      <c r="A137" s="12">
        <v>64</v>
      </c>
      <c r="B137" s="12" t="s">
        <v>972</v>
      </c>
      <c r="C137" s="12" t="s">
        <v>967</v>
      </c>
      <c r="D137" s="12">
        <v>100</v>
      </c>
      <c r="E137" s="12" t="s">
        <v>969</v>
      </c>
      <c r="F137" s="12">
        <v>1.5</v>
      </c>
      <c r="G137" s="12" t="s">
        <v>139</v>
      </c>
      <c r="H137" s="25">
        <f>ROUND((F137/D137)*100, 2)</f>
      </c>
      <c r="I137" s="25">
        <f>ROUND((F137/D137)*250, 2)</f>
      </c>
      <c r="J137" s="25">
        <f>ROUND((F137/D137)*500, 2)</f>
      </c>
    </row>
    <row r="138" ht="20" customHeight="1" spans="1:10" x14ac:dyDescent="0.25">
      <c r="A138" s="14">
        <v>64</v>
      </c>
      <c r="B138" s="14" t="s">
        <v>972</v>
      </c>
      <c r="C138" s="14" t="s">
        <v>967</v>
      </c>
      <c r="D138" s="14">
        <v>100</v>
      </c>
      <c r="E138" s="14" t="s">
        <v>399</v>
      </c>
      <c r="F138" s="14">
        <v>2</v>
      </c>
      <c r="G138" s="14" t="s">
        <v>305</v>
      </c>
      <c r="H138" s="27">
        <f>ROUND((F138/D138)*100, 2)</f>
      </c>
      <c r="I138" s="27">
        <f>ROUND((F138/D138)*250, 2)</f>
      </c>
      <c r="J138" s="27">
        <f>ROUND((F138/D138)*500, 2)</f>
      </c>
    </row>
    <row r="139" ht="20" customHeight="1" spans="1:10" x14ac:dyDescent="0.25">
      <c r="A139" s="12">
        <v>64</v>
      </c>
      <c r="B139" s="12" t="s">
        <v>972</v>
      </c>
      <c r="C139" s="12" t="s">
        <v>967</v>
      </c>
      <c r="D139" s="12">
        <v>100</v>
      </c>
      <c r="E139" s="12" t="s">
        <v>968</v>
      </c>
      <c r="F139" s="12">
        <v>2</v>
      </c>
      <c r="G139" s="12" t="s">
        <v>139</v>
      </c>
      <c r="H139" s="25">
        <f>ROUND((F139/D139)*100, 2)</f>
      </c>
      <c r="I139" s="25">
        <f>ROUND((F139/D139)*250, 2)</f>
      </c>
      <c r="J139" s="25">
        <f>ROUND((F139/D139)*500, 2)</f>
      </c>
    </row>
    <row r="140" ht="20" customHeight="1" spans="1:10" x14ac:dyDescent="0.25">
      <c r="A140" s="14">
        <v>134</v>
      </c>
      <c r="B140" s="14" t="s">
        <v>973</v>
      </c>
      <c r="C140" s="14" t="s">
        <v>964</v>
      </c>
      <c r="D140" s="14">
        <v>100</v>
      </c>
      <c r="E140" s="14" t="s">
        <v>926</v>
      </c>
      <c r="F140" s="14">
        <v>0.5</v>
      </c>
      <c r="G140" s="14" t="s">
        <v>139</v>
      </c>
      <c r="H140" s="27">
        <f>ROUND((F140/D140)*100, 2)</f>
      </c>
      <c r="I140" s="27">
        <f>ROUND((F140/D140)*250, 2)</f>
      </c>
      <c r="J140" s="27">
        <f>ROUND((F140/D140)*500, 2)</f>
      </c>
    </row>
    <row r="141" ht="20" customHeight="1" spans="1:10" x14ac:dyDescent="0.25">
      <c r="A141" s="12">
        <v>134</v>
      </c>
      <c r="B141" s="12" t="s">
        <v>973</v>
      </c>
      <c r="C141" s="12" t="s">
        <v>964</v>
      </c>
      <c r="D141" s="12">
        <v>100</v>
      </c>
      <c r="E141" s="12" t="s">
        <v>965</v>
      </c>
      <c r="F141" s="12">
        <v>20</v>
      </c>
      <c r="G141" s="12" t="s">
        <v>305</v>
      </c>
      <c r="H141" s="25">
        <f>ROUND((F141/D141)*100, 2)</f>
      </c>
      <c r="I141" s="25">
        <f>ROUND((F141/D141)*250, 2)</f>
      </c>
      <c r="J141" s="25">
        <f>ROUND((F141/D141)*500, 2)</f>
      </c>
    </row>
    <row r="142" ht="20" customHeight="1" spans="1:10" x14ac:dyDescent="0.25">
      <c r="A142" s="14">
        <v>134</v>
      </c>
      <c r="B142" s="14" t="s">
        <v>973</v>
      </c>
      <c r="C142" s="14" t="s">
        <v>964</v>
      </c>
      <c r="D142" s="14">
        <v>100</v>
      </c>
      <c r="E142" s="14" t="s">
        <v>945</v>
      </c>
      <c r="F142" s="14">
        <v>5</v>
      </c>
      <c r="G142" s="14" t="s">
        <v>139</v>
      </c>
      <c r="H142" s="27">
        <f>ROUND((F142/D142)*100, 2)</f>
      </c>
      <c r="I142" s="27">
        <f>ROUND((F142/D142)*250, 2)</f>
      </c>
      <c r="J142" s="27">
        <f>ROUND((F142/D142)*500, 2)</f>
      </c>
    </row>
    <row r="143" ht="20" customHeight="1" spans="1:10" x14ac:dyDescent="0.25">
      <c r="A143" s="12">
        <v>88</v>
      </c>
      <c r="B143" s="12" t="s">
        <v>974</v>
      </c>
      <c r="C143" s="12" t="s">
        <v>925</v>
      </c>
      <c r="D143" s="12">
        <v>100</v>
      </c>
      <c r="E143" s="12" t="s">
        <v>927</v>
      </c>
      <c r="F143" s="12">
        <v>3</v>
      </c>
      <c r="G143" s="12" t="s">
        <v>305</v>
      </c>
      <c r="H143" s="25">
        <f>ROUND((F143/D143)*100, 2)</f>
      </c>
      <c r="I143" s="25">
        <f>ROUND((F143/D143)*250, 2)</f>
      </c>
      <c r="J143" s="25">
        <f>ROUND((F143/D143)*500, 2)</f>
      </c>
    </row>
    <row r="144" ht="20" customHeight="1" spans="1:10" x14ac:dyDescent="0.25">
      <c r="A144" s="14">
        <v>88</v>
      </c>
      <c r="B144" s="14" t="s">
        <v>974</v>
      </c>
      <c r="C144" s="14" t="s">
        <v>925</v>
      </c>
      <c r="D144" s="14">
        <v>100</v>
      </c>
      <c r="E144" s="14" t="s">
        <v>900</v>
      </c>
      <c r="F144" s="14">
        <v>2</v>
      </c>
      <c r="G144" s="14" t="s">
        <v>305</v>
      </c>
      <c r="H144" s="27">
        <f>ROUND((F144/D144)*100, 2)</f>
      </c>
      <c r="I144" s="27">
        <f>ROUND((F144/D144)*250, 2)</f>
      </c>
      <c r="J144" s="27">
        <f>ROUND((F144/D144)*500, 2)</f>
      </c>
    </row>
    <row r="145" ht="20" customHeight="1" spans="1:10" x14ac:dyDescent="0.25">
      <c r="A145" s="12">
        <v>88</v>
      </c>
      <c r="B145" s="12" t="s">
        <v>974</v>
      </c>
      <c r="C145" s="12" t="s">
        <v>925</v>
      </c>
      <c r="D145" s="12">
        <v>100</v>
      </c>
      <c r="E145" s="12" t="s">
        <v>928</v>
      </c>
      <c r="F145" s="12">
        <v>15</v>
      </c>
      <c r="G145" s="12" t="s">
        <v>139</v>
      </c>
      <c r="H145" s="25">
        <f>ROUND((F145/D145)*100, 2)</f>
      </c>
      <c r="I145" s="25">
        <f>ROUND((F145/D145)*250, 2)</f>
      </c>
      <c r="J145" s="25">
        <f>ROUND((F145/D145)*500, 2)</f>
      </c>
    </row>
    <row r="146" ht="20" customHeight="1" spans="1:10" x14ac:dyDescent="0.25">
      <c r="A146" s="14">
        <v>88</v>
      </c>
      <c r="B146" s="14" t="s">
        <v>974</v>
      </c>
      <c r="C146" s="14" t="s">
        <v>925</v>
      </c>
      <c r="D146" s="14">
        <v>100</v>
      </c>
      <c r="E146" s="14" t="s">
        <v>926</v>
      </c>
      <c r="F146" s="14">
        <v>2</v>
      </c>
      <c r="G146" s="14" t="s">
        <v>139</v>
      </c>
      <c r="H146" s="27">
        <f>ROUND((F146/D146)*100, 2)</f>
      </c>
      <c r="I146" s="27">
        <f>ROUND((F146/D146)*250, 2)</f>
      </c>
      <c r="J146" s="27">
        <f>ROUND((F146/D146)*500, 2)</f>
      </c>
    </row>
    <row r="147" ht="20" customHeight="1" spans="1:10" x14ac:dyDescent="0.25">
      <c r="A147" s="12">
        <v>133</v>
      </c>
      <c r="B147" s="12" t="s">
        <v>975</v>
      </c>
      <c r="C147" s="12" t="s">
        <v>964</v>
      </c>
      <c r="D147" s="12">
        <v>100</v>
      </c>
      <c r="E147" s="12" t="s">
        <v>945</v>
      </c>
      <c r="F147" s="12">
        <v>5</v>
      </c>
      <c r="G147" s="12" t="s">
        <v>139</v>
      </c>
      <c r="H147" s="25">
        <f>ROUND((F147/D147)*100, 2)</f>
      </c>
      <c r="I147" s="25">
        <f>ROUND((F147/D147)*250, 2)</f>
      </c>
      <c r="J147" s="25">
        <f>ROUND((F147/D147)*500, 2)</f>
      </c>
    </row>
    <row r="148" ht="20" customHeight="1" spans="1:10" x14ac:dyDescent="0.25">
      <c r="A148" s="14">
        <v>133</v>
      </c>
      <c r="B148" s="14" t="s">
        <v>975</v>
      </c>
      <c r="C148" s="14" t="s">
        <v>964</v>
      </c>
      <c r="D148" s="14">
        <v>100</v>
      </c>
      <c r="E148" s="14" t="s">
        <v>926</v>
      </c>
      <c r="F148" s="14">
        <v>0.5</v>
      </c>
      <c r="G148" s="14" t="s">
        <v>139</v>
      </c>
      <c r="H148" s="27">
        <f>ROUND((F148/D148)*100, 2)</f>
      </c>
      <c r="I148" s="27">
        <f>ROUND((F148/D148)*250, 2)</f>
      </c>
      <c r="J148" s="27">
        <f>ROUND((F148/D148)*500, 2)</f>
      </c>
    </row>
    <row r="149" ht="20" customHeight="1" spans="1:10" x14ac:dyDescent="0.25">
      <c r="A149" s="12">
        <v>133</v>
      </c>
      <c r="B149" s="12" t="s">
        <v>975</v>
      </c>
      <c r="C149" s="12" t="s">
        <v>964</v>
      </c>
      <c r="D149" s="12">
        <v>100</v>
      </c>
      <c r="E149" s="12" t="s">
        <v>965</v>
      </c>
      <c r="F149" s="12">
        <v>20</v>
      </c>
      <c r="G149" s="12" t="s">
        <v>305</v>
      </c>
      <c r="H149" s="25">
        <f>ROUND((F149/D149)*100, 2)</f>
      </c>
      <c r="I149" s="25">
        <f>ROUND((F149/D149)*250, 2)</f>
      </c>
      <c r="J149" s="25">
        <f>ROUND((F149/D149)*500, 2)</f>
      </c>
    </row>
    <row r="150" ht="20" customHeight="1" spans="1:10" x14ac:dyDescent="0.25">
      <c r="A150" s="14">
        <v>89</v>
      </c>
      <c r="B150" s="14" t="s">
        <v>976</v>
      </c>
      <c r="C150" s="14" t="s">
        <v>925</v>
      </c>
      <c r="D150" s="14">
        <v>100</v>
      </c>
      <c r="E150" s="14" t="s">
        <v>928</v>
      </c>
      <c r="F150" s="14">
        <v>15</v>
      </c>
      <c r="G150" s="14" t="s">
        <v>139</v>
      </c>
      <c r="H150" s="27">
        <f>ROUND((F150/D150)*100, 2)</f>
      </c>
      <c r="I150" s="27">
        <f>ROUND((F150/D150)*250, 2)</f>
      </c>
      <c r="J150" s="27">
        <f>ROUND((F150/D150)*500, 2)</f>
      </c>
    </row>
    <row r="151" ht="20" customHeight="1" spans="1:10" x14ac:dyDescent="0.25">
      <c r="A151" s="12">
        <v>89</v>
      </c>
      <c r="B151" s="12" t="s">
        <v>976</v>
      </c>
      <c r="C151" s="12" t="s">
        <v>925</v>
      </c>
      <c r="D151" s="12">
        <v>100</v>
      </c>
      <c r="E151" s="12" t="s">
        <v>900</v>
      </c>
      <c r="F151" s="12">
        <v>2</v>
      </c>
      <c r="G151" s="12" t="s">
        <v>305</v>
      </c>
      <c r="H151" s="25">
        <f>ROUND((F151/D151)*100, 2)</f>
      </c>
      <c r="I151" s="25">
        <f>ROUND((F151/D151)*250, 2)</f>
      </c>
      <c r="J151" s="25">
        <f>ROUND((F151/D151)*500, 2)</f>
      </c>
    </row>
    <row r="152" ht="20" customHeight="1" spans="1:10" x14ac:dyDescent="0.25">
      <c r="A152" s="14">
        <v>89</v>
      </c>
      <c r="B152" s="14" t="s">
        <v>976</v>
      </c>
      <c r="C152" s="14" t="s">
        <v>925</v>
      </c>
      <c r="D152" s="14">
        <v>100</v>
      </c>
      <c r="E152" s="14" t="s">
        <v>927</v>
      </c>
      <c r="F152" s="14">
        <v>3</v>
      </c>
      <c r="G152" s="14" t="s">
        <v>305</v>
      </c>
      <c r="H152" s="27">
        <f>ROUND((F152/D152)*100, 2)</f>
      </c>
      <c r="I152" s="27">
        <f>ROUND((F152/D152)*250, 2)</f>
      </c>
      <c r="J152" s="27">
        <f>ROUND((F152/D152)*500, 2)</f>
      </c>
    </row>
    <row r="153" ht="20" customHeight="1" spans="1:10" x14ac:dyDescent="0.25">
      <c r="A153" s="12">
        <v>89</v>
      </c>
      <c r="B153" s="12" t="s">
        <v>976</v>
      </c>
      <c r="C153" s="12" t="s">
        <v>925</v>
      </c>
      <c r="D153" s="12">
        <v>100</v>
      </c>
      <c r="E153" s="12" t="s">
        <v>926</v>
      </c>
      <c r="F153" s="12">
        <v>2</v>
      </c>
      <c r="G153" s="12" t="s">
        <v>139</v>
      </c>
      <c r="H153" s="25">
        <f>ROUND((F153/D153)*100, 2)</f>
      </c>
      <c r="I153" s="25">
        <f>ROUND((F153/D153)*250, 2)</f>
      </c>
      <c r="J153" s="25">
        <f>ROUND((F153/D153)*500, 2)</f>
      </c>
    </row>
    <row r="154" ht="20" customHeight="1" spans="1:10" x14ac:dyDescent="0.25">
      <c r="A154" s="14">
        <v>119</v>
      </c>
      <c r="B154" s="14" t="s">
        <v>977</v>
      </c>
      <c r="C154" s="14" t="s">
        <v>944</v>
      </c>
      <c r="D154" s="14">
        <v>100</v>
      </c>
      <c r="E154" s="14" t="s">
        <v>900</v>
      </c>
      <c r="F154" s="14">
        <v>1.5</v>
      </c>
      <c r="G154" s="14" t="s">
        <v>305</v>
      </c>
      <c r="H154" s="27">
        <f>ROUND((F154/D154)*100, 2)</f>
      </c>
      <c r="I154" s="27">
        <f>ROUND((F154/D154)*250, 2)</f>
      </c>
      <c r="J154" s="27">
        <f>ROUND((F154/D154)*500, 2)</f>
      </c>
    </row>
    <row r="155" ht="20" customHeight="1" spans="1:10" x14ac:dyDescent="0.25">
      <c r="A155" s="12">
        <v>119</v>
      </c>
      <c r="B155" s="12" t="s">
        <v>977</v>
      </c>
      <c r="C155" s="12" t="s">
        <v>944</v>
      </c>
      <c r="D155" s="12">
        <v>100</v>
      </c>
      <c r="E155" s="12" t="s">
        <v>927</v>
      </c>
      <c r="F155" s="12">
        <v>2</v>
      </c>
      <c r="G155" s="12" t="s">
        <v>305</v>
      </c>
      <c r="H155" s="25">
        <f>ROUND((F155/D155)*100, 2)</f>
      </c>
      <c r="I155" s="25">
        <f>ROUND((F155/D155)*250, 2)</f>
      </c>
      <c r="J155" s="25">
        <f>ROUND((F155/D155)*500, 2)</f>
      </c>
    </row>
    <row r="156" ht="20" customHeight="1" spans="1:10" x14ac:dyDescent="0.25">
      <c r="A156" s="14">
        <v>119</v>
      </c>
      <c r="B156" s="14" t="s">
        <v>977</v>
      </c>
      <c r="C156" s="14" t="s">
        <v>944</v>
      </c>
      <c r="D156" s="14">
        <v>100</v>
      </c>
      <c r="E156" s="14" t="s">
        <v>945</v>
      </c>
      <c r="F156" s="14">
        <v>8</v>
      </c>
      <c r="G156" s="14" t="s">
        <v>139</v>
      </c>
      <c r="H156" s="27">
        <f>ROUND((F156/D156)*100, 2)</f>
      </c>
      <c r="I156" s="27">
        <f>ROUND((F156/D156)*250, 2)</f>
      </c>
      <c r="J156" s="27">
        <f>ROUND((F156/D156)*500, 2)</f>
      </c>
    </row>
    <row r="157" ht="20" customHeight="1" spans="1:10" x14ac:dyDescent="0.25">
      <c r="A157" s="12">
        <v>119</v>
      </c>
      <c r="B157" s="12" t="s">
        <v>977</v>
      </c>
      <c r="C157" s="12" t="s">
        <v>944</v>
      </c>
      <c r="D157" s="12">
        <v>100</v>
      </c>
      <c r="E157" s="12" t="s">
        <v>946</v>
      </c>
      <c r="F157" s="12">
        <v>20</v>
      </c>
      <c r="G157" s="12" t="s">
        <v>139</v>
      </c>
      <c r="H157" s="25">
        <f>ROUND((F157/D157)*100, 2)</f>
      </c>
      <c r="I157" s="25">
        <f>ROUND((F157/D157)*250, 2)</f>
      </c>
      <c r="J157" s="25">
        <f>ROUND((F157/D157)*500, 2)</f>
      </c>
    </row>
    <row r="158" ht="20" customHeight="1" spans="1:10" x14ac:dyDescent="0.25">
      <c r="A158" s="14">
        <v>84</v>
      </c>
      <c r="B158" s="14" t="s">
        <v>978</v>
      </c>
      <c r="C158" s="14" t="s">
        <v>925</v>
      </c>
      <c r="D158" s="14">
        <v>100</v>
      </c>
      <c r="E158" s="14" t="s">
        <v>927</v>
      </c>
      <c r="F158" s="14">
        <v>3</v>
      </c>
      <c r="G158" s="14" t="s">
        <v>305</v>
      </c>
      <c r="H158" s="27">
        <f>ROUND((F158/D158)*100, 2)</f>
      </c>
      <c r="I158" s="27">
        <f>ROUND((F158/D158)*250, 2)</f>
      </c>
      <c r="J158" s="27">
        <f>ROUND((F158/D158)*500, 2)</f>
      </c>
    </row>
    <row r="159" ht="20" customHeight="1" spans="1:10" x14ac:dyDescent="0.25">
      <c r="A159" s="12">
        <v>84</v>
      </c>
      <c r="B159" s="12" t="s">
        <v>978</v>
      </c>
      <c r="C159" s="12" t="s">
        <v>925</v>
      </c>
      <c r="D159" s="12">
        <v>100</v>
      </c>
      <c r="E159" s="12" t="s">
        <v>928</v>
      </c>
      <c r="F159" s="12">
        <v>15</v>
      </c>
      <c r="G159" s="12" t="s">
        <v>139</v>
      </c>
      <c r="H159" s="25">
        <f>ROUND((F159/D159)*100, 2)</f>
      </c>
      <c r="I159" s="25">
        <f>ROUND((F159/D159)*250, 2)</f>
      </c>
      <c r="J159" s="25">
        <f>ROUND((F159/D159)*500, 2)</f>
      </c>
    </row>
    <row r="160" ht="20" customHeight="1" spans="1:10" x14ac:dyDescent="0.25">
      <c r="A160" s="14">
        <v>84</v>
      </c>
      <c r="B160" s="14" t="s">
        <v>978</v>
      </c>
      <c r="C160" s="14" t="s">
        <v>925</v>
      </c>
      <c r="D160" s="14">
        <v>100</v>
      </c>
      <c r="E160" s="14" t="s">
        <v>926</v>
      </c>
      <c r="F160" s="14">
        <v>2</v>
      </c>
      <c r="G160" s="14" t="s">
        <v>139</v>
      </c>
      <c r="H160" s="27">
        <f>ROUND((F160/D160)*100, 2)</f>
      </c>
      <c r="I160" s="27">
        <f>ROUND((F160/D160)*250, 2)</f>
      </c>
      <c r="J160" s="27">
        <f>ROUND((F160/D160)*500, 2)</f>
      </c>
    </row>
    <row r="161" ht="20" customHeight="1" spans="1:10" x14ac:dyDescent="0.25">
      <c r="A161" s="12">
        <v>84</v>
      </c>
      <c r="B161" s="12" t="s">
        <v>978</v>
      </c>
      <c r="C161" s="12" t="s">
        <v>925</v>
      </c>
      <c r="D161" s="12">
        <v>100</v>
      </c>
      <c r="E161" s="12" t="s">
        <v>900</v>
      </c>
      <c r="F161" s="12">
        <v>2</v>
      </c>
      <c r="G161" s="12" t="s">
        <v>305</v>
      </c>
      <c r="H161" s="25">
        <f>ROUND((F161/D161)*100, 2)</f>
      </c>
      <c r="I161" s="25">
        <f>ROUND((F161/D161)*250, 2)</f>
      </c>
      <c r="J161" s="25">
        <f>ROUND((F161/D161)*500, 2)</f>
      </c>
    </row>
    <row r="162" ht="20" customHeight="1" spans="1:10" x14ac:dyDescent="0.25">
      <c r="A162" s="14">
        <v>85</v>
      </c>
      <c r="B162" s="14" t="s">
        <v>979</v>
      </c>
      <c r="C162" s="14" t="s">
        <v>925</v>
      </c>
      <c r="D162" s="14">
        <v>100</v>
      </c>
      <c r="E162" s="14" t="s">
        <v>927</v>
      </c>
      <c r="F162" s="14">
        <v>3</v>
      </c>
      <c r="G162" s="14" t="s">
        <v>305</v>
      </c>
      <c r="H162" s="27">
        <f>ROUND((F162/D162)*100, 2)</f>
      </c>
      <c r="I162" s="27">
        <f>ROUND((F162/D162)*250, 2)</f>
      </c>
      <c r="J162" s="27">
        <f>ROUND((F162/D162)*500, 2)</f>
      </c>
    </row>
    <row r="163" ht="20" customHeight="1" spans="1:10" x14ac:dyDescent="0.25">
      <c r="A163" s="12">
        <v>85</v>
      </c>
      <c r="B163" s="12" t="s">
        <v>979</v>
      </c>
      <c r="C163" s="12" t="s">
        <v>925</v>
      </c>
      <c r="D163" s="12">
        <v>100</v>
      </c>
      <c r="E163" s="12" t="s">
        <v>900</v>
      </c>
      <c r="F163" s="12">
        <v>2</v>
      </c>
      <c r="G163" s="12" t="s">
        <v>305</v>
      </c>
      <c r="H163" s="25">
        <f>ROUND((F163/D163)*100, 2)</f>
      </c>
      <c r="I163" s="25">
        <f>ROUND((F163/D163)*250, 2)</f>
      </c>
      <c r="J163" s="25">
        <f>ROUND((F163/D163)*500, 2)</f>
      </c>
    </row>
    <row r="164" ht="20" customHeight="1" spans="1:10" x14ac:dyDescent="0.25">
      <c r="A164" s="14">
        <v>85</v>
      </c>
      <c r="B164" s="14" t="s">
        <v>979</v>
      </c>
      <c r="C164" s="14" t="s">
        <v>925</v>
      </c>
      <c r="D164" s="14">
        <v>100</v>
      </c>
      <c r="E164" s="14" t="s">
        <v>928</v>
      </c>
      <c r="F164" s="14">
        <v>15</v>
      </c>
      <c r="G164" s="14" t="s">
        <v>139</v>
      </c>
      <c r="H164" s="27">
        <f>ROUND((F164/D164)*100, 2)</f>
      </c>
      <c r="I164" s="27">
        <f>ROUND((F164/D164)*250, 2)</f>
      </c>
      <c r="J164" s="27">
        <f>ROUND((F164/D164)*500, 2)</f>
      </c>
    </row>
    <row r="165" ht="20" customHeight="1" spans="1:10" x14ac:dyDescent="0.25">
      <c r="A165" s="12">
        <v>85</v>
      </c>
      <c r="B165" s="12" t="s">
        <v>979</v>
      </c>
      <c r="C165" s="12" t="s">
        <v>925</v>
      </c>
      <c r="D165" s="12">
        <v>100</v>
      </c>
      <c r="E165" s="12" t="s">
        <v>926</v>
      </c>
      <c r="F165" s="12">
        <v>2</v>
      </c>
      <c r="G165" s="12" t="s">
        <v>139</v>
      </c>
      <c r="H165" s="25">
        <f>ROUND((F165/D165)*100, 2)</f>
      </c>
      <c r="I165" s="25">
        <f>ROUND((F165/D165)*250, 2)</f>
      </c>
      <c r="J165" s="25">
        <f>ROUND((F165/D165)*500, 2)</f>
      </c>
    </row>
    <row r="166" ht="20" customHeight="1" spans="1:10" x14ac:dyDescent="0.25">
      <c r="A166" s="14">
        <v>102</v>
      </c>
      <c r="B166" s="14" t="s">
        <v>980</v>
      </c>
      <c r="C166" s="14" t="s">
        <v>925</v>
      </c>
      <c r="D166" s="14">
        <v>100</v>
      </c>
      <c r="E166" s="14" t="s">
        <v>927</v>
      </c>
      <c r="F166" s="14">
        <v>3</v>
      </c>
      <c r="G166" s="14" t="s">
        <v>305</v>
      </c>
      <c r="H166" s="27">
        <f>ROUND((F166/D166)*100, 2)</f>
      </c>
      <c r="I166" s="27">
        <f>ROUND((F166/D166)*250, 2)</f>
      </c>
      <c r="J166" s="27">
        <f>ROUND((F166/D166)*500, 2)</f>
      </c>
    </row>
    <row r="167" ht="20" customHeight="1" spans="1:10" x14ac:dyDescent="0.25">
      <c r="A167" s="12">
        <v>102</v>
      </c>
      <c r="B167" s="12" t="s">
        <v>980</v>
      </c>
      <c r="C167" s="12" t="s">
        <v>925</v>
      </c>
      <c r="D167" s="12">
        <v>100</v>
      </c>
      <c r="E167" s="12" t="s">
        <v>928</v>
      </c>
      <c r="F167" s="12">
        <v>15</v>
      </c>
      <c r="G167" s="12" t="s">
        <v>139</v>
      </c>
      <c r="H167" s="25">
        <f>ROUND((F167/D167)*100, 2)</f>
      </c>
      <c r="I167" s="25">
        <f>ROUND((F167/D167)*250, 2)</f>
      </c>
      <c r="J167" s="25">
        <f>ROUND((F167/D167)*500, 2)</f>
      </c>
    </row>
    <row r="168" ht="20" customHeight="1" spans="1:10" x14ac:dyDescent="0.25">
      <c r="A168" s="14">
        <v>102</v>
      </c>
      <c r="B168" s="14" t="s">
        <v>980</v>
      </c>
      <c r="C168" s="14" t="s">
        <v>925</v>
      </c>
      <c r="D168" s="14">
        <v>100</v>
      </c>
      <c r="E168" s="14" t="s">
        <v>900</v>
      </c>
      <c r="F168" s="14">
        <v>2</v>
      </c>
      <c r="G168" s="14" t="s">
        <v>305</v>
      </c>
      <c r="H168" s="27">
        <f>ROUND((F168/D168)*100, 2)</f>
      </c>
      <c r="I168" s="27">
        <f>ROUND((F168/D168)*250, 2)</f>
      </c>
      <c r="J168" s="27">
        <f>ROUND((F168/D168)*500, 2)</f>
      </c>
    </row>
    <row r="169" ht="20" customHeight="1" spans="1:10" x14ac:dyDescent="0.25">
      <c r="A169" s="12">
        <v>102</v>
      </c>
      <c r="B169" s="12" t="s">
        <v>980</v>
      </c>
      <c r="C169" s="12" t="s">
        <v>925</v>
      </c>
      <c r="D169" s="12">
        <v>100</v>
      </c>
      <c r="E169" s="12" t="s">
        <v>926</v>
      </c>
      <c r="F169" s="12">
        <v>2</v>
      </c>
      <c r="G169" s="12" t="s">
        <v>139</v>
      </c>
      <c r="H169" s="25">
        <f>ROUND((F169/D169)*100, 2)</f>
      </c>
      <c r="I169" s="25">
        <f>ROUND((F169/D169)*250, 2)</f>
      </c>
      <c r="J169" s="25">
        <f>ROUND((F169/D169)*500, 2)</f>
      </c>
    </row>
    <row r="170" ht="20" customHeight="1" spans="1:10" x14ac:dyDescent="0.25">
      <c r="A170" s="14">
        <v>38</v>
      </c>
      <c r="B170" s="14" t="s">
        <v>981</v>
      </c>
      <c r="C170" s="14" t="s">
        <v>897</v>
      </c>
      <c r="D170" s="14">
        <v>100</v>
      </c>
      <c r="E170" s="14" t="s">
        <v>901</v>
      </c>
      <c r="F170" s="14">
        <v>10</v>
      </c>
      <c r="G170" s="14" t="s">
        <v>305</v>
      </c>
      <c r="H170" s="27">
        <f>ROUND((F170/D170)*100, 2)</f>
      </c>
      <c r="I170" s="27">
        <f>ROUND((F170/D170)*250, 2)</f>
      </c>
      <c r="J170" s="27">
        <f>ROUND((F170/D170)*500, 2)</f>
      </c>
    </row>
    <row r="171" ht="20" customHeight="1" spans="1:10" x14ac:dyDescent="0.25">
      <c r="A171" s="12">
        <v>38</v>
      </c>
      <c r="B171" s="12" t="s">
        <v>981</v>
      </c>
      <c r="C171" s="12" t="s">
        <v>897</v>
      </c>
      <c r="D171" s="12">
        <v>100</v>
      </c>
      <c r="E171" s="12" t="s">
        <v>899</v>
      </c>
      <c r="F171" s="12">
        <v>15</v>
      </c>
      <c r="G171" s="12" t="s">
        <v>139</v>
      </c>
      <c r="H171" s="25">
        <f>ROUND((F171/D171)*100, 2)</f>
      </c>
      <c r="I171" s="25">
        <f>ROUND((F171/D171)*250, 2)</f>
      </c>
      <c r="J171" s="25">
        <f>ROUND((F171/D171)*500, 2)</f>
      </c>
    </row>
    <row r="172" ht="20" customHeight="1" spans="1:10" x14ac:dyDescent="0.25">
      <c r="A172" s="14">
        <v>38</v>
      </c>
      <c r="B172" s="14" t="s">
        <v>981</v>
      </c>
      <c r="C172" s="14" t="s">
        <v>897</v>
      </c>
      <c r="D172" s="14">
        <v>100</v>
      </c>
      <c r="E172" s="14" t="s">
        <v>898</v>
      </c>
      <c r="F172" s="14">
        <v>3</v>
      </c>
      <c r="G172" s="14" t="s">
        <v>139</v>
      </c>
      <c r="H172" s="27">
        <f>ROUND((F172/D172)*100, 2)</f>
      </c>
      <c r="I172" s="27">
        <f>ROUND((F172/D172)*250, 2)</f>
      </c>
      <c r="J172" s="27">
        <f>ROUND((F172/D172)*500, 2)</f>
      </c>
    </row>
    <row r="173" ht="20" customHeight="1" spans="1:10" x14ac:dyDescent="0.25">
      <c r="A173" s="12">
        <v>38</v>
      </c>
      <c r="B173" s="12" t="s">
        <v>981</v>
      </c>
      <c r="C173" s="12" t="s">
        <v>897</v>
      </c>
      <c r="D173" s="12">
        <v>100</v>
      </c>
      <c r="E173" s="12" t="s">
        <v>900</v>
      </c>
      <c r="F173" s="12">
        <v>1</v>
      </c>
      <c r="G173" s="12" t="s">
        <v>305</v>
      </c>
      <c r="H173" s="25">
        <f>ROUND((F173/D173)*100, 2)</f>
      </c>
      <c r="I173" s="25">
        <f>ROUND((F173/D173)*250, 2)</f>
      </c>
      <c r="J173" s="25">
        <f>ROUND((F173/D173)*500, 2)</f>
      </c>
    </row>
    <row r="174" ht="20" customHeight="1" spans="1:10" x14ac:dyDescent="0.25">
      <c r="A174" s="14">
        <v>196</v>
      </c>
      <c r="B174" s="14" t="s">
        <v>982</v>
      </c>
      <c r="C174" s="14" t="s">
        <v>937</v>
      </c>
      <c r="D174" s="14">
        <v>100</v>
      </c>
      <c r="E174" s="14" t="s">
        <v>540</v>
      </c>
      <c r="F174" s="14">
        <v>20</v>
      </c>
      <c r="G174" s="14" t="s">
        <v>305</v>
      </c>
      <c r="H174" s="27">
        <f>ROUND((F174/D174)*100, 2)</f>
      </c>
      <c r="I174" s="27">
        <f>ROUND((F174/D174)*250, 2)</f>
      </c>
      <c r="J174" s="27">
        <f>ROUND((F174/D174)*500, 2)</f>
      </c>
    </row>
    <row r="175" ht="20" customHeight="1" spans="1:10" x14ac:dyDescent="0.25">
      <c r="A175" s="12">
        <v>196</v>
      </c>
      <c r="B175" s="12" t="s">
        <v>982</v>
      </c>
      <c r="C175" s="12" t="s">
        <v>937</v>
      </c>
      <c r="D175" s="12">
        <v>100</v>
      </c>
      <c r="E175" s="12" t="s">
        <v>938</v>
      </c>
      <c r="F175" s="12">
        <v>3</v>
      </c>
      <c r="G175" s="12" t="s">
        <v>139</v>
      </c>
      <c r="H175" s="25">
        <f>ROUND((F175/D175)*100, 2)</f>
      </c>
      <c r="I175" s="25">
        <f>ROUND((F175/D175)*250, 2)</f>
      </c>
      <c r="J175" s="25">
        <f>ROUND((F175/D175)*500, 2)</f>
      </c>
    </row>
    <row r="176" ht="20" customHeight="1" spans="1:10" x14ac:dyDescent="0.25">
      <c r="A176" s="14">
        <v>196</v>
      </c>
      <c r="B176" s="14" t="s">
        <v>982</v>
      </c>
      <c r="C176" s="14" t="s">
        <v>937</v>
      </c>
      <c r="D176" s="14">
        <v>100</v>
      </c>
      <c r="E176" s="14" t="s">
        <v>245</v>
      </c>
      <c r="F176" s="14">
        <v>6</v>
      </c>
      <c r="G176" s="14" t="s">
        <v>139</v>
      </c>
      <c r="H176" s="27">
        <f>ROUND((F176/D176)*100, 2)</f>
      </c>
      <c r="I176" s="27">
        <f>ROUND((F176/D176)*250, 2)</f>
      </c>
      <c r="J176" s="27">
        <f>ROUND((F176/D176)*500, 2)</f>
      </c>
    </row>
    <row r="177" ht="20" customHeight="1" spans="1:10" x14ac:dyDescent="0.25">
      <c r="A177" s="12">
        <v>206</v>
      </c>
      <c r="B177" s="12" t="s">
        <v>983</v>
      </c>
      <c r="C177" s="12" t="s">
        <v>937</v>
      </c>
      <c r="D177" s="12">
        <v>100</v>
      </c>
      <c r="E177" s="12" t="s">
        <v>938</v>
      </c>
      <c r="F177" s="12">
        <v>3</v>
      </c>
      <c r="G177" s="12" t="s">
        <v>139</v>
      </c>
      <c r="H177" s="25">
        <f>ROUND((F177/D177)*100, 2)</f>
      </c>
      <c r="I177" s="25">
        <f>ROUND((F177/D177)*250, 2)</f>
      </c>
      <c r="J177" s="25">
        <f>ROUND((F177/D177)*500, 2)</f>
      </c>
    </row>
    <row r="178" ht="20" customHeight="1" spans="1:10" x14ac:dyDescent="0.25">
      <c r="A178" s="14">
        <v>206</v>
      </c>
      <c r="B178" s="14" t="s">
        <v>983</v>
      </c>
      <c r="C178" s="14" t="s">
        <v>937</v>
      </c>
      <c r="D178" s="14">
        <v>100</v>
      </c>
      <c r="E178" s="14" t="s">
        <v>245</v>
      </c>
      <c r="F178" s="14">
        <v>6</v>
      </c>
      <c r="G178" s="14" t="s">
        <v>139</v>
      </c>
      <c r="H178" s="27">
        <f>ROUND((F178/D178)*100, 2)</f>
      </c>
      <c r="I178" s="27">
        <f>ROUND((F178/D178)*250, 2)</f>
      </c>
      <c r="J178" s="27">
        <f>ROUND((F178/D178)*500, 2)</f>
      </c>
    </row>
    <row r="179" ht="20" customHeight="1" spans="1:10" x14ac:dyDescent="0.25">
      <c r="A179" s="12">
        <v>206</v>
      </c>
      <c r="B179" s="12" t="s">
        <v>983</v>
      </c>
      <c r="C179" s="12" t="s">
        <v>937</v>
      </c>
      <c r="D179" s="12">
        <v>100</v>
      </c>
      <c r="E179" s="12" t="s">
        <v>540</v>
      </c>
      <c r="F179" s="12">
        <v>20</v>
      </c>
      <c r="G179" s="12" t="s">
        <v>305</v>
      </c>
      <c r="H179" s="25">
        <f>ROUND((F179/D179)*100, 2)</f>
      </c>
      <c r="I179" s="25">
        <f>ROUND((F179/D179)*250, 2)</f>
      </c>
      <c r="J179" s="25">
        <f>ROUND((F179/D179)*500, 2)</f>
      </c>
    </row>
    <row r="180" ht="20" customHeight="1" spans="1:10" x14ac:dyDescent="0.25">
      <c r="A180" s="14">
        <v>230</v>
      </c>
      <c r="B180" s="14" t="s">
        <v>984</v>
      </c>
      <c r="C180" s="14" t="s">
        <v>930</v>
      </c>
      <c r="D180" s="14">
        <v>100</v>
      </c>
      <c r="E180" s="14" t="s">
        <v>134</v>
      </c>
      <c r="F180" s="14">
        <v>2</v>
      </c>
      <c r="G180" s="14" t="s">
        <v>305</v>
      </c>
      <c r="H180" s="27">
        <f>ROUND((F180/D180)*100, 2)</f>
      </c>
      <c r="I180" s="27">
        <f>ROUND((F180/D180)*250, 2)</f>
      </c>
      <c r="J180" s="27">
        <f>ROUND((F180/D180)*500, 2)</f>
      </c>
    </row>
    <row r="181" ht="20" customHeight="1" spans="1:10" x14ac:dyDescent="0.25">
      <c r="A181" s="12">
        <v>230</v>
      </c>
      <c r="B181" s="12" t="s">
        <v>984</v>
      </c>
      <c r="C181" s="12" t="s">
        <v>930</v>
      </c>
      <c r="D181" s="12">
        <v>100</v>
      </c>
      <c r="E181" s="12" t="s">
        <v>540</v>
      </c>
      <c r="F181" s="12">
        <v>15</v>
      </c>
      <c r="G181" s="12" t="s">
        <v>305</v>
      </c>
      <c r="H181" s="25">
        <f>ROUND((F181/D181)*100, 2)</f>
      </c>
      <c r="I181" s="25">
        <f>ROUND((F181/D181)*250, 2)</f>
      </c>
      <c r="J181" s="25">
        <f>ROUND((F181/D181)*500, 2)</f>
      </c>
    </row>
    <row r="182" ht="20" customHeight="1" spans="1:10" x14ac:dyDescent="0.25">
      <c r="A182" s="14">
        <v>230</v>
      </c>
      <c r="B182" s="14" t="s">
        <v>984</v>
      </c>
      <c r="C182" s="14" t="s">
        <v>930</v>
      </c>
      <c r="D182" s="14">
        <v>100</v>
      </c>
      <c r="E182" s="14" t="s">
        <v>931</v>
      </c>
      <c r="F182" s="14">
        <v>6</v>
      </c>
      <c r="G182" s="14" t="s">
        <v>139</v>
      </c>
      <c r="H182" s="27">
        <f>ROUND((F182/D182)*100, 2)</f>
      </c>
      <c r="I182" s="27">
        <f>ROUND((F182/D182)*250, 2)</f>
      </c>
      <c r="J182" s="27">
        <f>ROUND((F182/D182)*500, 2)</f>
      </c>
    </row>
    <row r="183" ht="20" customHeight="1" spans="1:10" x14ac:dyDescent="0.25">
      <c r="A183" s="12">
        <v>226</v>
      </c>
      <c r="B183" s="12" t="s">
        <v>985</v>
      </c>
      <c r="C183" s="12" t="s">
        <v>930</v>
      </c>
      <c r="D183" s="12">
        <v>100</v>
      </c>
      <c r="E183" s="12" t="s">
        <v>540</v>
      </c>
      <c r="F183" s="12">
        <v>15</v>
      </c>
      <c r="G183" s="12" t="s">
        <v>305</v>
      </c>
      <c r="H183" s="25">
        <f>ROUND((F183/D183)*100, 2)</f>
      </c>
      <c r="I183" s="25">
        <f>ROUND((F183/D183)*250, 2)</f>
      </c>
      <c r="J183" s="25">
        <f>ROUND((F183/D183)*500, 2)</f>
      </c>
    </row>
    <row r="184" ht="20" customHeight="1" spans="1:10" x14ac:dyDescent="0.25">
      <c r="A184" s="14">
        <v>226</v>
      </c>
      <c r="B184" s="14" t="s">
        <v>985</v>
      </c>
      <c r="C184" s="14" t="s">
        <v>930</v>
      </c>
      <c r="D184" s="14">
        <v>100</v>
      </c>
      <c r="E184" s="14" t="s">
        <v>134</v>
      </c>
      <c r="F184" s="14">
        <v>2</v>
      </c>
      <c r="G184" s="14" t="s">
        <v>305</v>
      </c>
      <c r="H184" s="27">
        <f>ROUND((F184/D184)*100, 2)</f>
      </c>
      <c r="I184" s="27">
        <f>ROUND((F184/D184)*250, 2)</f>
      </c>
      <c r="J184" s="27">
        <f>ROUND((F184/D184)*500, 2)</f>
      </c>
    </row>
    <row r="185" ht="20" customHeight="1" spans="1:10" x14ac:dyDescent="0.25">
      <c r="A185" s="12">
        <v>226</v>
      </c>
      <c r="B185" s="12" t="s">
        <v>985</v>
      </c>
      <c r="C185" s="12" t="s">
        <v>930</v>
      </c>
      <c r="D185" s="12">
        <v>100</v>
      </c>
      <c r="E185" s="12" t="s">
        <v>931</v>
      </c>
      <c r="F185" s="12">
        <v>6</v>
      </c>
      <c r="G185" s="12" t="s">
        <v>139</v>
      </c>
      <c r="H185" s="25">
        <f>ROUND((F185/D185)*100, 2)</f>
      </c>
      <c r="I185" s="25">
        <f>ROUND((F185/D185)*250, 2)</f>
      </c>
      <c r="J185" s="25">
        <f>ROUND((F185/D185)*500, 2)</f>
      </c>
    </row>
    <row r="186" ht="20" customHeight="1" spans="1:10" x14ac:dyDescent="0.25">
      <c r="A186" s="14">
        <v>194</v>
      </c>
      <c r="B186" s="14" t="s">
        <v>986</v>
      </c>
      <c r="C186" s="14" t="s">
        <v>987</v>
      </c>
      <c r="D186" s="14">
        <v>100</v>
      </c>
      <c r="E186" s="14" t="s">
        <v>899</v>
      </c>
      <c r="F186" s="14">
        <v>15</v>
      </c>
      <c r="G186" s="14" t="s">
        <v>139</v>
      </c>
      <c r="H186" s="27">
        <f>ROUND((F186/D186)*100, 2)</f>
      </c>
      <c r="I186" s="27">
        <f>ROUND((F186/D186)*250, 2)</f>
      </c>
      <c r="J186" s="27">
        <f>ROUND((F186/D186)*500, 2)</f>
      </c>
    </row>
    <row r="187" ht="20" customHeight="1" spans="1:10" x14ac:dyDescent="0.25">
      <c r="A187" s="12">
        <v>194</v>
      </c>
      <c r="B187" s="12" t="s">
        <v>986</v>
      </c>
      <c r="C187" s="12" t="s">
        <v>987</v>
      </c>
      <c r="D187" s="12">
        <v>100</v>
      </c>
      <c r="E187" s="12" t="s">
        <v>988</v>
      </c>
      <c r="F187" s="12">
        <v>8</v>
      </c>
      <c r="G187" s="12" t="s">
        <v>139</v>
      </c>
      <c r="H187" s="25">
        <f>ROUND((F187/D187)*100, 2)</f>
      </c>
      <c r="I187" s="25">
        <f>ROUND((F187/D187)*250, 2)</f>
      </c>
      <c r="J187" s="25">
        <f>ROUND((F187/D187)*500, 2)</f>
      </c>
    </row>
    <row r="188" ht="20" customHeight="1" spans="1:10" x14ac:dyDescent="0.25">
      <c r="A188" s="14">
        <v>225</v>
      </c>
      <c r="B188" s="14" t="s">
        <v>989</v>
      </c>
      <c r="C188" s="14" t="s">
        <v>930</v>
      </c>
      <c r="D188" s="14">
        <v>100</v>
      </c>
      <c r="E188" s="14" t="s">
        <v>540</v>
      </c>
      <c r="F188" s="14">
        <v>15</v>
      </c>
      <c r="G188" s="14" t="s">
        <v>305</v>
      </c>
      <c r="H188" s="27">
        <f>ROUND((F188/D188)*100, 2)</f>
      </c>
      <c r="I188" s="27">
        <f>ROUND((F188/D188)*250, 2)</f>
      </c>
      <c r="J188" s="27">
        <f>ROUND((F188/D188)*500, 2)</f>
      </c>
    </row>
    <row r="189" ht="20" customHeight="1" spans="1:10" x14ac:dyDescent="0.25">
      <c r="A189" s="12">
        <v>225</v>
      </c>
      <c r="B189" s="12" t="s">
        <v>989</v>
      </c>
      <c r="C189" s="12" t="s">
        <v>930</v>
      </c>
      <c r="D189" s="12">
        <v>100</v>
      </c>
      <c r="E189" s="12" t="s">
        <v>134</v>
      </c>
      <c r="F189" s="12">
        <v>2</v>
      </c>
      <c r="G189" s="12" t="s">
        <v>305</v>
      </c>
      <c r="H189" s="25">
        <f>ROUND((F189/D189)*100, 2)</f>
      </c>
      <c r="I189" s="25">
        <f>ROUND((F189/D189)*250, 2)</f>
      </c>
      <c r="J189" s="25">
        <f>ROUND((F189/D189)*500, 2)</f>
      </c>
    </row>
    <row r="190" ht="20" customHeight="1" spans="1:10" x14ac:dyDescent="0.25">
      <c r="A190" s="14">
        <v>225</v>
      </c>
      <c r="B190" s="14" t="s">
        <v>989</v>
      </c>
      <c r="C190" s="14" t="s">
        <v>930</v>
      </c>
      <c r="D190" s="14">
        <v>100</v>
      </c>
      <c r="E190" s="14" t="s">
        <v>931</v>
      </c>
      <c r="F190" s="14">
        <v>6</v>
      </c>
      <c r="G190" s="14" t="s">
        <v>139</v>
      </c>
      <c r="H190" s="27">
        <f>ROUND((F190/D190)*100, 2)</f>
      </c>
      <c r="I190" s="27">
        <f>ROUND((F190/D190)*250, 2)</f>
      </c>
      <c r="J190" s="27">
        <f>ROUND((F190/D190)*500, 2)</f>
      </c>
    </row>
    <row r="191" ht="20" customHeight="1" spans="1:10" x14ac:dyDescent="0.25">
      <c r="A191" s="12">
        <v>176</v>
      </c>
      <c r="B191" s="12" t="s">
        <v>990</v>
      </c>
      <c r="C191" s="12" t="s">
        <v>917</v>
      </c>
      <c r="D191" s="12">
        <v>100</v>
      </c>
      <c r="E191" s="12" t="s">
        <v>328</v>
      </c>
      <c r="F191" s="12">
        <v>3</v>
      </c>
      <c r="G191" s="12" t="s">
        <v>139</v>
      </c>
      <c r="H191" s="25">
        <f>ROUND((F191/D191)*100, 2)</f>
      </c>
      <c r="I191" s="25">
        <f>ROUND((F191/D191)*250, 2)</f>
      </c>
      <c r="J191" s="25">
        <f>ROUND((F191/D191)*500, 2)</f>
      </c>
    </row>
    <row r="192" ht="20" customHeight="1" spans="1:10" x14ac:dyDescent="0.25">
      <c r="A192" s="14">
        <v>176</v>
      </c>
      <c r="B192" s="14" t="s">
        <v>990</v>
      </c>
      <c r="C192" s="14" t="s">
        <v>917</v>
      </c>
      <c r="D192" s="14">
        <v>100</v>
      </c>
      <c r="E192" s="14" t="s">
        <v>919</v>
      </c>
      <c r="F192" s="14">
        <v>1</v>
      </c>
      <c r="G192" s="14" t="s">
        <v>139</v>
      </c>
      <c r="H192" s="27">
        <f>ROUND((F192/D192)*100, 2)</f>
      </c>
      <c r="I192" s="27">
        <f>ROUND((F192/D192)*250, 2)</f>
      </c>
      <c r="J192" s="27">
        <f>ROUND((F192/D192)*500, 2)</f>
      </c>
    </row>
    <row r="193" ht="20" customHeight="1" spans="1:10" x14ac:dyDescent="0.25">
      <c r="A193" s="12">
        <v>176</v>
      </c>
      <c r="B193" s="12" t="s">
        <v>990</v>
      </c>
      <c r="C193" s="12" t="s">
        <v>917</v>
      </c>
      <c r="D193" s="12">
        <v>100</v>
      </c>
      <c r="E193" s="12" t="s">
        <v>918</v>
      </c>
      <c r="F193" s="12">
        <v>10</v>
      </c>
      <c r="G193" s="12" t="s">
        <v>139</v>
      </c>
      <c r="H193" s="25">
        <f>ROUND((F193/D193)*100, 2)</f>
      </c>
      <c r="I193" s="25">
        <f>ROUND((F193/D193)*250, 2)</f>
      </c>
      <c r="J193" s="25">
        <f>ROUND((F193/D193)*500, 2)</f>
      </c>
    </row>
    <row r="194" ht="20" customHeight="1" spans="1:10" x14ac:dyDescent="0.25">
      <c r="A194" s="14">
        <v>176</v>
      </c>
      <c r="B194" s="14" t="s">
        <v>990</v>
      </c>
      <c r="C194" s="14" t="s">
        <v>917</v>
      </c>
      <c r="D194" s="14">
        <v>100</v>
      </c>
      <c r="E194" s="14" t="s">
        <v>898</v>
      </c>
      <c r="F194" s="14">
        <v>5</v>
      </c>
      <c r="G194" s="14" t="s">
        <v>305</v>
      </c>
      <c r="H194" s="27">
        <f>ROUND((F194/D194)*100, 2)</f>
      </c>
      <c r="I194" s="27">
        <f>ROUND((F194/D194)*250, 2)</f>
      </c>
      <c r="J194" s="27">
        <f>ROUND((F194/D194)*500, 2)</f>
      </c>
    </row>
    <row r="195" ht="20" customHeight="1" spans="1:10" x14ac:dyDescent="0.25">
      <c r="A195" s="12">
        <v>202</v>
      </c>
      <c r="B195" s="12" t="s">
        <v>991</v>
      </c>
      <c r="C195" s="12" t="s">
        <v>937</v>
      </c>
      <c r="D195" s="12">
        <v>100</v>
      </c>
      <c r="E195" s="12" t="s">
        <v>938</v>
      </c>
      <c r="F195" s="12">
        <v>3</v>
      </c>
      <c r="G195" s="12" t="s">
        <v>139</v>
      </c>
      <c r="H195" s="25">
        <f>ROUND((F195/D195)*100, 2)</f>
      </c>
      <c r="I195" s="25">
        <f>ROUND((F195/D195)*250, 2)</f>
      </c>
      <c r="J195" s="25">
        <f>ROUND((F195/D195)*500, 2)</f>
      </c>
    </row>
    <row r="196" ht="20" customHeight="1" spans="1:10" x14ac:dyDescent="0.25">
      <c r="A196" s="14">
        <v>202</v>
      </c>
      <c r="B196" s="14" t="s">
        <v>991</v>
      </c>
      <c r="C196" s="14" t="s">
        <v>937</v>
      </c>
      <c r="D196" s="14">
        <v>100</v>
      </c>
      <c r="E196" s="14" t="s">
        <v>540</v>
      </c>
      <c r="F196" s="14">
        <v>20</v>
      </c>
      <c r="G196" s="14" t="s">
        <v>305</v>
      </c>
      <c r="H196" s="27">
        <f>ROUND((F196/D196)*100, 2)</f>
      </c>
      <c r="I196" s="27">
        <f>ROUND((F196/D196)*250, 2)</f>
      </c>
      <c r="J196" s="27">
        <f>ROUND((F196/D196)*500, 2)</f>
      </c>
    </row>
    <row r="197" ht="20" customHeight="1" spans="1:10" x14ac:dyDescent="0.25">
      <c r="A197" s="12">
        <v>202</v>
      </c>
      <c r="B197" s="12" t="s">
        <v>991</v>
      </c>
      <c r="C197" s="12" t="s">
        <v>937</v>
      </c>
      <c r="D197" s="12">
        <v>100</v>
      </c>
      <c r="E197" s="12" t="s">
        <v>245</v>
      </c>
      <c r="F197" s="12">
        <v>6</v>
      </c>
      <c r="G197" s="12" t="s">
        <v>139</v>
      </c>
      <c r="H197" s="25">
        <f>ROUND((F197/D197)*100, 2)</f>
      </c>
      <c r="I197" s="25">
        <f>ROUND((F197/D197)*250, 2)</f>
      </c>
      <c r="J197" s="25">
        <f>ROUND((F197/D197)*500, 2)</f>
      </c>
    </row>
    <row r="198" ht="20" customHeight="1" spans="1:10" x14ac:dyDescent="0.25">
      <c r="A198" s="14">
        <v>203</v>
      </c>
      <c r="B198" s="14" t="s">
        <v>992</v>
      </c>
      <c r="C198" s="14" t="s">
        <v>937</v>
      </c>
      <c r="D198" s="14">
        <v>100</v>
      </c>
      <c r="E198" s="14" t="s">
        <v>540</v>
      </c>
      <c r="F198" s="14">
        <v>20</v>
      </c>
      <c r="G198" s="14" t="s">
        <v>305</v>
      </c>
      <c r="H198" s="27">
        <f>ROUND((F198/D198)*100, 2)</f>
      </c>
      <c r="I198" s="27">
        <f>ROUND((F198/D198)*250, 2)</f>
      </c>
      <c r="J198" s="27">
        <f>ROUND((F198/D198)*500, 2)</f>
      </c>
    </row>
    <row r="199" ht="20" customHeight="1" spans="1:10" x14ac:dyDescent="0.25">
      <c r="A199" s="12">
        <v>203</v>
      </c>
      <c r="B199" s="12" t="s">
        <v>992</v>
      </c>
      <c r="C199" s="12" t="s">
        <v>937</v>
      </c>
      <c r="D199" s="12">
        <v>100</v>
      </c>
      <c r="E199" s="12" t="s">
        <v>245</v>
      </c>
      <c r="F199" s="12">
        <v>6</v>
      </c>
      <c r="G199" s="12" t="s">
        <v>139</v>
      </c>
      <c r="H199" s="25">
        <f>ROUND((F199/D199)*100, 2)</f>
      </c>
      <c r="I199" s="25">
        <f>ROUND((F199/D199)*250, 2)</f>
      </c>
      <c r="J199" s="25">
        <f>ROUND((F199/D199)*500, 2)</f>
      </c>
    </row>
    <row r="200" ht="20" customHeight="1" spans="1:10" x14ac:dyDescent="0.25">
      <c r="A200" s="14">
        <v>203</v>
      </c>
      <c r="B200" s="14" t="s">
        <v>992</v>
      </c>
      <c r="C200" s="14" t="s">
        <v>937</v>
      </c>
      <c r="D200" s="14">
        <v>100</v>
      </c>
      <c r="E200" s="14" t="s">
        <v>938</v>
      </c>
      <c r="F200" s="14">
        <v>3</v>
      </c>
      <c r="G200" s="14" t="s">
        <v>139</v>
      </c>
      <c r="H200" s="27">
        <f>ROUND((F200/D200)*100, 2)</f>
      </c>
      <c r="I200" s="27">
        <f>ROUND((F200/D200)*250, 2)</f>
      </c>
      <c r="J200" s="27">
        <f>ROUND((F200/D200)*500, 2)</f>
      </c>
    </row>
    <row r="201" ht="20" customHeight="1" spans="1:10" x14ac:dyDescent="0.25">
      <c r="A201" s="12">
        <v>152</v>
      </c>
      <c r="B201" s="12" t="s">
        <v>993</v>
      </c>
      <c r="C201" s="12" t="s">
        <v>994</v>
      </c>
      <c r="D201" s="12">
        <v>100</v>
      </c>
      <c r="E201" s="12" t="s">
        <v>995</v>
      </c>
      <c r="F201" s="12">
        <v>10</v>
      </c>
      <c r="G201" s="12" t="s">
        <v>139</v>
      </c>
      <c r="H201" s="25">
        <f>ROUND((F201/D201)*100, 2)</f>
      </c>
      <c r="I201" s="25">
        <f>ROUND((F201/D201)*250, 2)</f>
      </c>
      <c r="J201" s="25">
        <f>ROUND((F201/D201)*500, 2)</f>
      </c>
    </row>
    <row r="202" ht="20" customHeight="1" spans="1:10" x14ac:dyDescent="0.25">
      <c r="A202" s="14">
        <v>152</v>
      </c>
      <c r="B202" s="14" t="s">
        <v>993</v>
      </c>
      <c r="C202" s="14" t="s">
        <v>994</v>
      </c>
      <c r="D202" s="14">
        <v>100</v>
      </c>
      <c r="E202" s="14" t="s">
        <v>264</v>
      </c>
      <c r="F202" s="14">
        <v>2</v>
      </c>
      <c r="G202" s="14" t="s">
        <v>139</v>
      </c>
      <c r="H202" s="27">
        <f>ROUND((F202/D202)*100, 2)</f>
      </c>
      <c r="I202" s="27">
        <f>ROUND((F202/D202)*250, 2)</f>
      </c>
      <c r="J202" s="27">
        <f>ROUND((F202/D202)*500, 2)</f>
      </c>
    </row>
    <row r="203" ht="20" customHeight="1" spans="1:10" x14ac:dyDescent="0.25">
      <c r="A203" s="12">
        <v>152</v>
      </c>
      <c r="B203" s="12" t="s">
        <v>993</v>
      </c>
      <c r="C203" s="12" t="s">
        <v>994</v>
      </c>
      <c r="D203" s="12">
        <v>100</v>
      </c>
      <c r="E203" s="12" t="s">
        <v>996</v>
      </c>
      <c r="F203" s="12">
        <v>100</v>
      </c>
      <c r="G203" s="12" t="s">
        <v>127</v>
      </c>
      <c r="H203" s="25">
        <f>ROUND((F203/D203)*100, 2)</f>
      </c>
      <c r="I203" s="25">
        <f>ROUND((F203/D203)*250, 2)</f>
      </c>
      <c r="J203" s="25">
        <f>ROUND((F203/D203)*500, 2)</f>
      </c>
    </row>
    <row r="204" ht="20" customHeight="1" spans="1:10" x14ac:dyDescent="0.25">
      <c r="A204" s="14">
        <v>152</v>
      </c>
      <c r="B204" s="14" t="s">
        <v>993</v>
      </c>
      <c r="C204" s="14" t="s">
        <v>994</v>
      </c>
      <c r="D204" s="14">
        <v>100</v>
      </c>
      <c r="E204" s="14" t="s">
        <v>909</v>
      </c>
      <c r="F204" s="14">
        <v>4</v>
      </c>
      <c r="G204" s="14" t="s">
        <v>139</v>
      </c>
      <c r="H204" s="27">
        <f>ROUND((F204/D204)*100, 2)</f>
      </c>
      <c r="I204" s="27">
        <f>ROUND((F204/D204)*250, 2)</f>
      </c>
      <c r="J204" s="27">
        <f>ROUND((F204/D204)*500, 2)</f>
      </c>
    </row>
    <row r="205" ht="20" customHeight="1" spans="1:10" x14ac:dyDescent="0.25">
      <c r="A205" s="12">
        <v>129</v>
      </c>
      <c r="B205" s="12" t="s">
        <v>997</v>
      </c>
      <c r="C205" s="12" t="s">
        <v>964</v>
      </c>
      <c r="D205" s="12">
        <v>100</v>
      </c>
      <c r="E205" s="12" t="s">
        <v>965</v>
      </c>
      <c r="F205" s="12">
        <v>20</v>
      </c>
      <c r="G205" s="12" t="s">
        <v>305</v>
      </c>
      <c r="H205" s="25">
        <f>ROUND((F205/D205)*100, 2)</f>
      </c>
      <c r="I205" s="25">
        <f>ROUND((F205/D205)*250, 2)</f>
      </c>
      <c r="J205" s="25">
        <f>ROUND((F205/D205)*500, 2)</f>
      </c>
    </row>
    <row r="206" ht="20" customHeight="1" spans="1:10" x14ac:dyDescent="0.25">
      <c r="A206" s="14">
        <v>129</v>
      </c>
      <c r="B206" s="14" t="s">
        <v>997</v>
      </c>
      <c r="C206" s="14" t="s">
        <v>964</v>
      </c>
      <c r="D206" s="14">
        <v>100</v>
      </c>
      <c r="E206" s="14" t="s">
        <v>926</v>
      </c>
      <c r="F206" s="14">
        <v>0.5</v>
      </c>
      <c r="G206" s="14" t="s">
        <v>139</v>
      </c>
      <c r="H206" s="27">
        <f>ROUND((F206/D206)*100, 2)</f>
      </c>
      <c r="I206" s="27">
        <f>ROUND((F206/D206)*250, 2)</f>
      </c>
      <c r="J206" s="27">
        <f>ROUND((F206/D206)*500, 2)</f>
      </c>
    </row>
    <row r="207" ht="20" customHeight="1" spans="1:10" x14ac:dyDescent="0.25">
      <c r="A207" s="12">
        <v>129</v>
      </c>
      <c r="B207" s="12" t="s">
        <v>997</v>
      </c>
      <c r="C207" s="12" t="s">
        <v>964</v>
      </c>
      <c r="D207" s="12">
        <v>100</v>
      </c>
      <c r="E207" s="12" t="s">
        <v>945</v>
      </c>
      <c r="F207" s="12">
        <v>5</v>
      </c>
      <c r="G207" s="12" t="s">
        <v>139</v>
      </c>
      <c r="H207" s="25">
        <f>ROUND((F207/D207)*100, 2)</f>
      </c>
      <c r="I207" s="25">
        <f>ROUND((F207/D207)*250, 2)</f>
      </c>
      <c r="J207" s="25">
        <f>ROUND((F207/D207)*500, 2)</f>
      </c>
    </row>
    <row r="208" ht="20" customHeight="1" spans="1:10" x14ac:dyDescent="0.25">
      <c r="A208" s="14">
        <v>79</v>
      </c>
      <c r="B208" s="14" t="s">
        <v>998</v>
      </c>
      <c r="C208" s="14" t="s">
        <v>925</v>
      </c>
      <c r="D208" s="14">
        <v>100</v>
      </c>
      <c r="E208" s="14" t="s">
        <v>928</v>
      </c>
      <c r="F208" s="14">
        <v>15</v>
      </c>
      <c r="G208" s="14" t="s">
        <v>139</v>
      </c>
      <c r="H208" s="27">
        <f>ROUND((F208/D208)*100, 2)</f>
      </c>
      <c r="I208" s="27">
        <f>ROUND((F208/D208)*250, 2)</f>
      </c>
      <c r="J208" s="27">
        <f>ROUND((F208/D208)*500, 2)</f>
      </c>
    </row>
    <row r="209" ht="20" customHeight="1" spans="1:10" x14ac:dyDescent="0.25">
      <c r="A209" s="12">
        <v>79</v>
      </c>
      <c r="B209" s="12" t="s">
        <v>998</v>
      </c>
      <c r="C209" s="12" t="s">
        <v>925</v>
      </c>
      <c r="D209" s="12">
        <v>100</v>
      </c>
      <c r="E209" s="12" t="s">
        <v>926</v>
      </c>
      <c r="F209" s="12">
        <v>2</v>
      </c>
      <c r="G209" s="12" t="s">
        <v>139</v>
      </c>
      <c r="H209" s="25">
        <f>ROUND((F209/D209)*100, 2)</f>
      </c>
      <c r="I209" s="25">
        <f>ROUND((F209/D209)*250, 2)</f>
      </c>
      <c r="J209" s="25">
        <f>ROUND((F209/D209)*500, 2)</f>
      </c>
    </row>
    <row r="210" ht="20" customHeight="1" spans="1:10" x14ac:dyDescent="0.25">
      <c r="A210" s="14">
        <v>79</v>
      </c>
      <c r="B210" s="14" t="s">
        <v>998</v>
      </c>
      <c r="C210" s="14" t="s">
        <v>925</v>
      </c>
      <c r="D210" s="14">
        <v>100</v>
      </c>
      <c r="E210" s="14" t="s">
        <v>927</v>
      </c>
      <c r="F210" s="14">
        <v>3</v>
      </c>
      <c r="G210" s="14" t="s">
        <v>305</v>
      </c>
      <c r="H210" s="27">
        <f>ROUND((F210/D210)*100, 2)</f>
      </c>
      <c r="I210" s="27">
        <f>ROUND((F210/D210)*250, 2)</f>
      </c>
      <c r="J210" s="27">
        <f>ROUND((F210/D210)*500, 2)</f>
      </c>
    </row>
    <row r="211" ht="20" customHeight="1" spans="1:10" x14ac:dyDescent="0.25">
      <c r="A211" s="12">
        <v>79</v>
      </c>
      <c r="B211" s="12" t="s">
        <v>998</v>
      </c>
      <c r="C211" s="12" t="s">
        <v>925</v>
      </c>
      <c r="D211" s="12">
        <v>100</v>
      </c>
      <c r="E211" s="12" t="s">
        <v>900</v>
      </c>
      <c r="F211" s="12">
        <v>2</v>
      </c>
      <c r="G211" s="12" t="s">
        <v>305</v>
      </c>
      <c r="H211" s="25">
        <f>ROUND((F211/D211)*100, 2)</f>
      </c>
      <c r="I211" s="25">
        <f>ROUND((F211/D211)*250, 2)</f>
      </c>
      <c r="J211" s="25">
        <f>ROUND((F211/D211)*500, 2)</f>
      </c>
    </row>
    <row r="212" ht="20" customHeight="1" spans="1:10" x14ac:dyDescent="0.25">
      <c r="A212" s="14">
        <v>159</v>
      </c>
      <c r="B212" s="14" t="s">
        <v>999</v>
      </c>
      <c r="C212" s="14" t="s">
        <v>921</v>
      </c>
      <c r="D212" s="14">
        <v>100</v>
      </c>
      <c r="E212" s="14" t="s">
        <v>911</v>
      </c>
      <c r="F212" s="14">
        <v>1.5</v>
      </c>
      <c r="G212" s="14" t="s">
        <v>139</v>
      </c>
      <c r="H212" s="27">
        <f>ROUND((F212/D212)*100, 2)</f>
      </c>
      <c r="I212" s="27">
        <f>ROUND((F212/D212)*250, 2)</f>
      </c>
      <c r="J212" s="27">
        <f>ROUND((F212/D212)*500, 2)</f>
      </c>
    </row>
    <row r="213" ht="20" customHeight="1" spans="1:10" x14ac:dyDescent="0.25">
      <c r="A213" s="12">
        <v>159</v>
      </c>
      <c r="B213" s="12" t="s">
        <v>999</v>
      </c>
      <c r="C213" s="12" t="s">
        <v>921</v>
      </c>
      <c r="D213" s="12">
        <v>100</v>
      </c>
      <c r="E213" s="12" t="s">
        <v>923</v>
      </c>
      <c r="F213" s="12">
        <v>2</v>
      </c>
      <c r="G213" s="12" t="s">
        <v>139</v>
      </c>
      <c r="H213" s="25">
        <f>ROUND((F213/D213)*100, 2)</f>
      </c>
      <c r="I213" s="25">
        <f>ROUND((F213/D213)*250, 2)</f>
      </c>
      <c r="J213" s="25">
        <f>ROUND((F213/D213)*500, 2)</f>
      </c>
    </row>
    <row r="214" ht="20" customHeight="1" spans="1:10" x14ac:dyDescent="0.25">
      <c r="A214" s="14">
        <v>159</v>
      </c>
      <c r="B214" s="14" t="s">
        <v>999</v>
      </c>
      <c r="C214" s="14" t="s">
        <v>921</v>
      </c>
      <c r="D214" s="14">
        <v>100</v>
      </c>
      <c r="E214" s="14" t="s">
        <v>922</v>
      </c>
      <c r="F214" s="14">
        <v>15</v>
      </c>
      <c r="G214" s="14" t="s">
        <v>139</v>
      </c>
      <c r="H214" s="27">
        <f>ROUND((F214/D214)*100, 2)</f>
      </c>
      <c r="I214" s="27">
        <f>ROUND((F214/D214)*250, 2)</f>
      </c>
      <c r="J214" s="27">
        <f>ROUND((F214/D214)*500, 2)</f>
      </c>
    </row>
    <row r="215" ht="20" customHeight="1" spans="1:10" x14ac:dyDescent="0.25">
      <c r="A215" s="12">
        <v>199</v>
      </c>
      <c r="B215" s="12" t="s">
        <v>1000</v>
      </c>
      <c r="C215" s="12" t="s">
        <v>937</v>
      </c>
      <c r="D215" s="12">
        <v>100</v>
      </c>
      <c r="E215" s="12" t="s">
        <v>245</v>
      </c>
      <c r="F215" s="12">
        <v>6</v>
      </c>
      <c r="G215" s="12" t="s">
        <v>139</v>
      </c>
      <c r="H215" s="25">
        <f>ROUND((F215/D215)*100, 2)</f>
      </c>
      <c r="I215" s="25">
        <f>ROUND((F215/D215)*250, 2)</f>
      </c>
      <c r="J215" s="25">
        <f>ROUND((F215/D215)*500, 2)</f>
      </c>
    </row>
    <row r="216" ht="20" customHeight="1" spans="1:10" x14ac:dyDescent="0.25">
      <c r="A216" s="14">
        <v>199</v>
      </c>
      <c r="B216" s="14" t="s">
        <v>1000</v>
      </c>
      <c r="C216" s="14" t="s">
        <v>937</v>
      </c>
      <c r="D216" s="14">
        <v>100</v>
      </c>
      <c r="E216" s="14" t="s">
        <v>540</v>
      </c>
      <c r="F216" s="14">
        <v>20</v>
      </c>
      <c r="G216" s="14" t="s">
        <v>305</v>
      </c>
      <c r="H216" s="27">
        <f>ROUND((F216/D216)*100, 2)</f>
      </c>
      <c r="I216" s="27">
        <f>ROUND((F216/D216)*250, 2)</f>
      </c>
      <c r="J216" s="27">
        <f>ROUND((F216/D216)*500, 2)</f>
      </c>
    </row>
    <row r="217" ht="20" customHeight="1" spans="1:10" x14ac:dyDescent="0.25">
      <c r="A217" s="12">
        <v>199</v>
      </c>
      <c r="B217" s="12" t="s">
        <v>1000</v>
      </c>
      <c r="C217" s="12" t="s">
        <v>937</v>
      </c>
      <c r="D217" s="12">
        <v>100</v>
      </c>
      <c r="E217" s="12" t="s">
        <v>938</v>
      </c>
      <c r="F217" s="12">
        <v>3</v>
      </c>
      <c r="G217" s="12" t="s">
        <v>139</v>
      </c>
      <c r="H217" s="25">
        <f>ROUND((F217/D217)*100, 2)</f>
      </c>
      <c r="I217" s="25">
        <f>ROUND((F217/D217)*250, 2)</f>
      </c>
      <c r="J217" s="25">
        <f>ROUND((F217/D217)*500, 2)</f>
      </c>
    </row>
    <row r="218" ht="20" customHeight="1" spans="1:10" x14ac:dyDescent="0.25">
      <c r="A218" s="14">
        <v>110</v>
      </c>
      <c r="B218" s="14" t="s">
        <v>1001</v>
      </c>
      <c r="C218" s="14" t="s">
        <v>944</v>
      </c>
      <c r="D218" s="14">
        <v>100</v>
      </c>
      <c r="E218" s="14" t="s">
        <v>927</v>
      </c>
      <c r="F218" s="14">
        <v>2</v>
      </c>
      <c r="G218" s="14" t="s">
        <v>305</v>
      </c>
      <c r="H218" s="27">
        <f>ROUND((F218/D218)*100, 2)</f>
      </c>
      <c r="I218" s="27">
        <f>ROUND((F218/D218)*250, 2)</f>
      </c>
      <c r="J218" s="27">
        <f>ROUND((F218/D218)*500, 2)</f>
      </c>
    </row>
    <row r="219" ht="20" customHeight="1" spans="1:10" x14ac:dyDescent="0.25">
      <c r="A219" s="12">
        <v>110</v>
      </c>
      <c r="B219" s="12" t="s">
        <v>1001</v>
      </c>
      <c r="C219" s="12" t="s">
        <v>944</v>
      </c>
      <c r="D219" s="12">
        <v>100</v>
      </c>
      <c r="E219" s="12" t="s">
        <v>945</v>
      </c>
      <c r="F219" s="12">
        <v>8</v>
      </c>
      <c r="G219" s="12" t="s">
        <v>139</v>
      </c>
      <c r="H219" s="25">
        <f>ROUND((F219/D219)*100, 2)</f>
      </c>
      <c r="I219" s="25">
        <f>ROUND((F219/D219)*250, 2)</f>
      </c>
      <c r="J219" s="25">
        <f>ROUND((F219/D219)*500, 2)</f>
      </c>
    </row>
    <row r="220" ht="20" customHeight="1" spans="1:10" x14ac:dyDescent="0.25">
      <c r="A220" s="14">
        <v>110</v>
      </c>
      <c r="B220" s="14" t="s">
        <v>1001</v>
      </c>
      <c r="C220" s="14" t="s">
        <v>944</v>
      </c>
      <c r="D220" s="14">
        <v>100</v>
      </c>
      <c r="E220" s="14" t="s">
        <v>946</v>
      </c>
      <c r="F220" s="14">
        <v>20</v>
      </c>
      <c r="G220" s="14" t="s">
        <v>139</v>
      </c>
      <c r="H220" s="27">
        <f>ROUND((F220/D220)*100, 2)</f>
      </c>
      <c r="I220" s="27">
        <f>ROUND((F220/D220)*250, 2)</f>
      </c>
      <c r="J220" s="27">
        <f>ROUND((F220/D220)*500, 2)</f>
      </c>
    </row>
    <row r="221" ht="20" customHeight="1" spans="1:10" x14ac:dyDescent="0.25">
      <c r="A221" s="12">
        <v>110</v>
      </c>
      <c r="B221" s="12" t="s">
        <v>1001</v>
      </c>
      <c r="C221" s="12" t="s">
        <v>944</v>
      </c>
      <c r="D221" s="12">
        <v>100</v>
      </c>
      <c r="E221" s="12" t="s">
        <v>900</v>
      </c>
      <c r="F221" s="12">
        <v>1.5</v>
      </c>
      <c r="G221" s="12" t="s">
        <v>305</v>
      </c>
      <c r="H221" s="25">
        <f>ROUND((F221/D221)*100, 2)</f>
      </c>
      <c r="I221" s="25">
        <f>ROUND((F221/D221)*250, 2)</f>
      </c>
      <c r="J221" s="25">
        <f>ROUND((F221/D221)*500, 2)</f>
      </c>
    </row>
    <row r="222" ht="20" customHeight="1" spans="1:10" x14ac:dyDescent="0.25">
      <c r="A222" s="14">
        <v>184</v>
      </c>
      <c r="B222" s="14" t="s">
        <v>1002</v>
      </c>
      <c r="C222" s="14" t="s">
        <v>917</v>
      </c>
      <c r="D222" s="14">
        <v>100</v>
      </c>
      <c r="E222" s="14" t="s">
        <v>918</v>
      </c>
      <c r="F222" s="14">
        <v>10</v>
      </c>
      <c r="G222" s="14" t="s">
        <v>139</v>
      </c>
      <c r="H222" s="27">
        <f>ROUND((F222/D222)*100, 2)</f>
      </c>
      <c r="I222" s="27">
        <f>ROUND((F222/D222)*250, 2)</f>
      </c>
      <c r="J222" s="27">
        <f>ROUND((F222/D222)*500, 2)</f>
      </c>
    </row>
    <row r="223" ht="20" customHeight="1" spans="1:10" x14ac:dyDescent="0.25">
      <c r="A223" s="12">
        <v>184</v>
      </c>
      <c r="B223" s="12" t="s">
        <v>1002</v>
      </c>
      <c r="C223" s="12" t="s">
        <v>917</v>
      </c>
      <c r="D223" s="12">
        <v>100</v>
      </c>
      <c r="E223" s="12" t="s">
        <v>898</v>
      </c>
      <c r="F223" s="12">
        <v>5</v>
      </c>
      <c r="G223" s="12" t="s">
        <v>305</v>
      </c>
      <c r="H223" s="25">
        <f>ROUND((F223/D223)*100, 2)</f>
      </c>
      <c r="I223" s="25">
        <f>ROUND((F223/D223)*250, 2)</f>
      </c>
      <c r="J223" s="25">
        <f>ROUND((F223/D223)*500, 2)</f>
      </c>
    </row>
    <row r="224" ht="20" customHeight="1" spans="1:10" x14ac:dyDescent="0.25">
      <c r="A224" s="14">
        <v>184</v>
      </c>
      <c r="B224" s="14" t="s">
        <v>1002</v>
      </c>
      <c r="C224" s="14" t="s">
        <v>917</v>
      </c>
      <c r="D224" s="14">
        <v>100</v>
      </c>
      <c r="E224" s="14" t="s">
        <v>328</v>
      </c>
      <c r="F224" s="14">
        <v>3</v>
      </c>
      <c r="G224" s="14" t="s">
        <v>139</v>
      </c>
      <c r="H224" s="27">
        <f>ROUND((F224/D224)*100, 2)</f>
      </c>
      <c r="I224" s="27">
        <f>ROUND((F224/D224)*250, 2)</f>
      </c>
      <c r="J224" s="27">
        <f>ROUND((F224/D224)*500, 2)</f>
      </c>
    </row>
    <row r="225" ht="20" customHeight="1" spans="1:10" x14ac:dyDescent="0.25">
      <c r="A225" s="12">
        <v>184</v>
      </c>
      <c r="B225" s="12" t="s">
        <v>1002</v>
      </c>
      <c r="C225" s="12" t="s">
        <v>917</v>
      </c>
      <c r="D225" s="12">
        <v>100</v>
      </c>
      <c r="E225" s="12" t="s">
        <v>919</v>
      </c>
      <c r="F225" s="12">
        <v>1</v>
      </c>
      <c r="G225" s="12" t="s">
        <v>139</v>
      </c>
      <c r="H225" s="25">
        <f>ROUND((F225/D225)*100, 2)</f>
      </c>
      <c r="I225" s="25">
        <f>ROUND((F225/D225)*250, 2)</f>
      </c>
      <c r="J225" s="25">
        <f>ROUND((F225/D225)*500, 2)</f>
      </c>
    </row>
    <row r="226" ht="20" customHeight="1" spans="1:10" x14ac:dyDescent="0.25">
      <c r="A226" s="14">
        <v>45</v>
      </c>
      <c r="B226" s="14" t="s">
        <v>1003</v>
      </c>
      <c r="C226" s="14" t="s">
        <v>1004</v>
      </c>
      <c r="D226" s="14">
        <v>100</v>
      </c>
      <c r="E226" s="14" t="s">
        <v>900</v>
      </c>
      <c r="F226" s="14">
        <v>1.5</v>
      </c>
      <c r="G226" s="14" t="s">
        <v>305</v>
      </c>
      <c r="H226" s="27">
        <f>ROUND((F226/D226)*100, 2)</f>
      </c>
      <c r="I226" s="27">
        <f>ROUND((F226/D226)*250, 2)</f>
      </c>
      <c r="J226" s="27">
        <f>ROUND((F226/D226)*500, 2)</f>
      </c>
    </row>
    <row r="227" ht="20" customHeight="1" spans="1:10" x14ac:dyDescent="0.25">
      <c r="A227" s="12">
        <v>45</v>
      </c>
      <c r="B227" s="12" t="s">
        <v>1003</v>
      </c>
      <c r="C227" s="12" t="s">
        <v>1004</v>
      </c>
      <c r="D227" s="12">
        <v>100</v>
      </c>
      <c r="E227" s="12" t="s">
        <v>1005</v>
      </c>
      <c r="F227" s="12">
        <v>12</v>
      </c>
      <c r="G227" s="12" t="s">
        <v>139</v>
      </c>
      <c r="H227" s="25">
        <f>ROUND((F227/D227)*100, 2)</f>
      </c>
      <c r="I227" s="25">
        <f>ROUND((F227/D227)*250, 2)</f>
      </c>
      <c r="J227" s="25">
        <f>ROUND((F227/D227)*500, 2)</f>
      </c>
    </row>
    <row r="228" ht="20" customHeight="1" spans="1:10" x14ac:dyDescent="0.25">
      <c r="A228" s="14">
        <v>45</v>
      </c>
      <c r="B228" s="14" t="s">
        <v>1003</v>
      </c>
      <c r="C228" s="14" t="s">
        <v>1004</v>
      </c>
      <c r="D228" s="14">
        <v>100</v>
      </c>
      <c r="E228" s="14" t="s">
        <v>950</v>
      </c>
      <c r="F228" s="14">
        <v>10</v>
      </c>
      <c r="G228" s="14" t="s">
        <v>139</v>
      </c>
      <c r="H228" s="27">
        <f>ROUND((F228/D228)*100, 2)</f>
      </c>
      <c r="I228" s="27">
        <f>ROUND((F228/D228)*250, 2)</f>
      </c>
      <c r="J228" s="27">
        <f>ROUND((F228/D228)*500, 2)</f>
      </c>
    </row>
    <row r="229" ht="20" customHeight="1" spans="1:10" x14ac:dyDescent="0.25">
      <c r="A229" s="12">
        <v>45</v>
      </c>
      <c r="B229" s="12" t="s">
        <v>1003</v>
      </c>
      <c r="C229" s="12" t="s">
        <v>1004</v>
      </c>
      <c r="D229" s="12">
        <v>100</v>
      </c>
      <c r="E229" s="12" t="s">
        <v>1006</v>
      </c>
      <c r="F229" s="12">
        <v>2</v>
      </c>
      <c r="G229" s="12" t="s">
        <v>139</v>
      </c>
      <c r="H229" s="25">
        <f>ROUND((F229/D229)*100, 2)</f>
      </c>
      <c r="I229" s="25">
        <f>ROUND((F229/D229)*250, 2)</f>
      </c>
      <c r="J229" s="25">
        <f>ROUND((F229/D229)*500, 2)</f>
      </c>
    </row>
    <row r="230" ht="20" customHeight="1" spans="1:10" x14ac:dyDescent="0.25">
      <c r="A230" s="14">
        <v>106</v>
      </c>
      <c r="B230" s="14" t="s">
        <v>1007</v>
      </c>
      <c r="C230" s="14" t="s">
        <v>944</v>
      </c>
      <c r="D230" s="14">
        <v>100</v>
      </c>
      <c r="E230" s="14" t="s">
        <v>927</v>
      </c>
      <c r="F230" s="14">
        <v>2</v>
      </c>
      <c r="G230" s="14" t="s">
        <v>305</v>
      </c>
      <c r="H230" s="27">
        <f>ROUND((F230/D230)*100, 2)</f>
      </c>
      <c r="I230" s="27">
        <f>ROUND((F230/D230)*250, 2)</f>
      </c>
      <c r="J230" s="27">
        <f>ROUND((F230/D230)*500, 2)</f>
      </c>
    </row>
    <row r="231" ht="20" customHeight="1" spans="1:10" x14ac:dyDescent="0.25">
      <c r="A231" s="12">
        <v>106</v>
      </c>
      <c r="B231" s="12" t="s">
        <v>1007</v>
      </c>
      <c r="C231" s="12" t="s">
        <v>944</v>
      </c>
      <c r="D231" s="12">
        <v>100</v>
      </c>
      <c r="E231" s="12" t="s">
        <v>900</v>
      </c>
      <c r="F231" s="12">
        <v>1.5</v>
      </c>
      <c r="G231" s="12" t="s">
        <v>305</v>
      </c>
      <c r="H231" s="25">
        <f>ROUND((F231/D231)*100, 2)</f>
      </c>
      <c r="I231" s="25">
        <f>ROUND((F231/D231)*250, 2)</f>
      </c>
      <c r="J231" s="25">
        <f>ROUND((F231/D231)*500, 2)</f>
      </c>
    </row>
    <row r="232" ht="20" customHeight="1" spans="1:10" x14ac:dyDescent="0.25">
      <c r="A232" s="14">
        <v>106</v>
      </c>
      <c r="B232" s="14" t="s">
        <v>1007</v>
      </c>
      <c r="C232" s="14" t="s">
        <v>944</v>
      </c>
      <c r="D232" s="14">
        <v>100</v>
      </c>
      <c r="E232" s="14" t="s">
        <v>945</v>
      </c>
      <c r="F232" s="14">
        <v>8</v>
      </c>
      <c r="G232" s="14" t="s">
        <v>139</v>
      </c>
      <c r="H232" s="27">
        <f>ROUND((F232/D232)*100, 2)</f>
      </c>
      <c r="I232" s="27">
        <f>ROUND((F232/D232)*250, 2)</f>
      </c>
      <c r="J232" s="27">
        <f>ROUND((F232/D232)*500, 2)</f>
      </c>
    </row>
    <row r="233" ht="20" customHeight="1" spans="1:10" x14ac:dyDescent="0.25">
      <c r="A233" s="12">
        <v>106</v>
      </c>
      <c r="B233" s="12" t="s">
        <v>1007</v>
      </c>
      <c r="C233" s="12" t="s">
        <v>944</v>
      </c>
      <c r="D233" s="12">
        <v>100</v>
      </c>
      <c r="E233" s="12" t="s">
        <v>946</v>
      </c>
      <c r="F233" s="12">
        <v>20</v>
      </c>
      <c r="G233" s="12" t="s">
        <v>139</v>
      </c>
      <c r="H233" s="25">
        <f>ROUND((F233/D233)*100, 2)</f>
      </c>
      <c r="I233" s="25">
        <f>ROUND((F233/D233)*250, 2)</f>
      </c>
      <c r="J233" s="25">
        <f>ROUND((F233/D233)*500, 2)</f>
      </c>
    </row>
    <row r="234" ht="20" customHeight="1" spans="1:10" x14ac:dyDescent="0.25">
      <c r="A234" s="14">
        <v>46</v>
      </c>
      <c r="B234" s="14" t="s">
        <v>1008</v>
      </c>
      <c r="C234" s="14" t="s">
        <v>1004</v>
      </c>
      <c r="D234" s="14">
        <v>100</v>
      </c>
      <c r="E234" s="14" t="s">
        <v>1006</v>
      </c>
      <c r="F234" s="14">
        <v>2</v>
      </c>
      <c r="G234" s="14" t="s">
        <v>139</v>
      </c>
      <c r="H234" s="27">
        <f>ROUND((F234/D234)*100, 2)</f>
      </c>
      <c r="I234" s="27">
        <f>ROUND((F234/D234)*250, 2)</f>
      </c>
      <c r="J234" s="27">
        <f>ROUND((F234/D234)*500, 2)</f>
      </c>
    </row>
    <row r="235" ht="20" customHeight="1" spans="1:10" x14ac:dyDescent="0.25">
      <c r="A235" s="12">
        <v>46</v>
      </c>
      <c r="B235" s="12" t="s">
        <v>1008</v>
      </c>
      <c r="C235" s="12" t="s">
        <v>1004</v>
      </c>
      <c r="D235" s="12">
        <v>100</v>
      </c>
      <c r="E235" s="12" t="s">
        <v>1005</v>
      </c>
      <c r="F235" s="12">
        <v>12</v>
      </c>
      <c r="G235" s="12" t="s">
        <v>139</v>
      </c>
      <c r="H235" s="25">
        <f>ROUND((F235/D235)*100, 2)</f>
      </c>
      <c r="I235" s="25">
        <f>ROUND((F235/D235)*250, 2)</f>
      </c>
      <c r="J235" s="25">
        <f>ROUND((F235/D235)*500, 2)</f>
      </c>
    </row>
    <row r="236" ht="20" customHeight="1" spans="1:10" x14ac:dyDescent="0.25">
      <c r="A236" s="14">
        <v>46</v>
      </c>
      <c r="B236" s="14" t="s">
        <v>1008</v>
      </c>
      <c r="C236" s="14" t="s">
        <v>1004</v>
      </c>
      <c r="D236" s="14">
        <v>100</v>
      </c>
      <c r="E236" s="14" t="s">
        <v>950</v>
      </c>
      <c r="F236" s="14">
        <v>10</v>
      </c>
      <c r="G236" s="14" t="s">
        <v>139</v>
      </c>
      <c r="H236" s="27">
        <f>ROUND((F236/D236)*100, 2)</f>
      </c>
      <c r="I236" s="27">
        <f>ROUND((F236/D236)*250, 2)</f>
      </c>
      <c r="J236" s="27">
        <f>ROUND((F236/D236)*500, 2)</f>
      </c>
    </row>
    <row r="237" ht="20" customHeight="1" spans="1:10" x14ac:dyDescent="0.25">
      <c r="A237" s="12">
        <v>46</v>
      </c>
      <c r="B237" s="12" t="s">
        <v>1008</v>
      </c>
      <c r="C237" s="12" t="s">
        <v>1004</v>
      </c>
      <c r="D237" s="12">
        <v>100</v>
      </c>
      <c r="E237" s="12" t="s">
        <v>900</v>
      </c>
      <c r="F237" s="12">
        <v>1.5</v>
      </c>
      <c r="G237" s="12" t="s">
        <v>305</v>
      </c>
      <c r="H237" s="25">
        <f>ROUND((F237/D237)*100, 2)</f>
      </c>
      <c r="I237" s="25">
        <f>ROUND((F237/D237)*250, 2)</f>
      </c>
      <c r="J237" s="25">
        <f>ROUND((F237/D237)*500, 2)</f>
      </c>
    </row>
    <row r="238" ht="20" customHeight="1" spans="1:10" x14ac:dyDescent="0.25">
      <c r="A238" s="14">
        <v>177</v>
      </c>
      <c r="B238" s="14" t="s">
        <v>1009</v>
      </c>
      <c r="C238" s="14" t="s">
        <v>917</v>
      </c>
      <c r="D238" s="14">
        <v>100</v>
      </c>
      <c r="E238" s="14" t="s">
        <v>918</v>
      </c>
      <c r="F238" s="14">
        <v>10</v>
      </c>
      <c r="G238" s="14" t="s">
        <v>139</v>
      </c>
      <c r="H238" s="27">
        <f>ROUND((F238/D238)*100, 2)</f>
      </c>
      <c r="I238" s="27">
        <f>ROUND((F238/D238)*250, 2)</f>
      </c>
      <c r="J238" s="27">
        <f>ROUND((F238/D238)*500, 2)</f>
      </c>
    </row>
    <row r="239" ht="20" customHeight="1" spans="1:10" x14ac:dyDescent="0.25">
      <c r="A239" s="12">
        <v>177</v>
      </c>
      <c r="B239" s="12" t="s">
        <v>1009</v>
      </c>
      <c r="C239" s="12" t="s">
        <v>917</v>
      </c>
      <c r="D239" s="12">
        <v>100</v>
      </c>
      <c r="E239" s="12" t="s">
        <v>919</v>
      </c>
      <c r="F239" s="12">
        <v>1</v>
      </c>
      <c r="G239" s="12" t="s">
        <v>139</v>
      </c>
      <c r="H239" s="25">
        <f>ROUND((F239/D239)*100, 2)</f>
      </c>
      <c r="I239" s="25">
        <f>ROUND((F239/D239)*250, 2)</f>
      </c>
      <c r="J239" s="25">
        <f>ROUND((F239/D239)*500, 2)</f>
      </c>
    </row>
    <row r="240" ht="20" customHeight="1" spans="1:10" x14ac:dyDescent="0.25">
      <c r="A240" s="14">
        <v>177</v>
      </c>
      <c r="B240" s="14" t="s">
        <v>1009</v>
      </c>
      <c r="C240" s="14" t="s">
        <v>917</v>
      </c>
      <c r="D240" s="14">
        <v>100</v>
      </c>
      <c r="E240" s="14" t="s">
        <v>328</v>
      </c>
      <c r="F240" s="14">
        <v>3</v>
      </c>
      <c r="G240" s="14" t="s">
        <v>139</v>
      </c>
      <c r="H240" s="27">
        <f>ROUND((F240/D240)*100, 2)</f>
      </c>
      <c r="I240" s="27">
        <f>ROUND((F240/D240)*250, 2)</f>
      </c>
      <c r="J240" s="27">
        <f>ROUND((F240/D240)*500, 2)</f>
      </c>
    </row>
    <row r="241" ht="20" customHeight="1" spans="1:10" x14ac:dyDescent="0.25">
      <c r="A241" s="12">
        <v>177</v>
      </c>
      <c r="B241" s="12" t="s">
        <v>1009</v>
      </c>
      <c r="C241" s="12" t="s">
        <v>917</v>
      </c>
      <c r="D241" s="12">
        <v>100</v>
      </c>
      <c r="E241" s="12" t="s">
        <v>898</v>
      </c>
      <c r="F241" s="12">
        <v>5</v>
      </c>
      <c r="G241" s="12" t="s">
        <v>305</v>
      </c>
      <c r="H241" s="25">
        <f>ROUND((F241/D241)*100, 2)</f>
      </c>
      <c r="I241" s="25">
        <f>ROUND((F241/D241)*250, 2)</f>
      </c>
      <c r="J241" s="25">
        <f>ROUND((F241/D241)*500, 2)</f>
      </c>
    </row>
    <row r="242" ht="20" customHeight="1" spans="1:10" x14ac:dyDescent="0.25">
      <c r="A242" s="14">
        <v>171</v>
      </c>
      <c r="B242" s="14" t="s">
        <v>1010</v>
      </c>
      <c r="C242" s="14" t="s">
        <v>917</v>
      </c>
      <c r="D242" s="14">
        <v>100</v>
      </c>
      <c r="E242" s="14" t="s">
        <v>328</v>
      </c>
      <c r="F242" s="14">
        <v>3</v>
      </c>
      <c r="G242" s="14" t="s">
        <v>139</v>
      </c>
      <c r="H242" s="27">
        <f>ROUND((F242/D242)*100, 2)</f>
      </c>
      <c r="I242" s="27">
        <f>ROUND((F242/D242)*250, 2)</f>
      </c>
      <c r="J242" s="27">
        <f>ROUND((F242/D242)*500, 2)</f>
      </c>
    </row>
    <row r="243" ht="20" customHeight="1" spans="1:10" x14ac:dyDescent="0.25">
      <c r="A243" s="12">
        <v>171</v>
      </c>
      <c r="B243" s="12" t="s">
        <v>1010</v>
      </c>
      <c r="C243" s="12" t="s">
        <v>917</v>
      </c>
      <c r="D243" s="12">
        <v>100</v>
      </c>
      <c r="E243" s="12" t="s">
        <v>919</v>
      </c>
      <c r="F243" s="12">
        <v>1</v>
      </c>
      <c r="G243" s="12" t="s">
        <v>139</v>
      </c>
      <c r="H243" s="25">
        <f>ROUND((F243/D243)*100, 2)</f>
      </c>
      <c r="I243" s="25">
        <f>ROUND((F243/D243)*250, 2)</f>
      </c>
      <c r="J243" s="25">
        <f>ROUND((F243/D243)*500, 2)</f>
      </c>
    </row>
    <row r="244" ht="20" customHeight="1" spans="1:10" x14ac:dyDescent="0.25">
      <c r="A244" s="14">
        <v>171</v>
      </c>
      <c r="B244" s="14" t="s">
        <v>1010</v>
      </c>
      <c r="C244" s="14" t="s">
        <v>917</v>
      </c>
      <c r="D244" s="14">
        <v>100</v>
      </c>
      <c r="E244" s="14" t="s">
        <v>898</v>
      </c>
      <c r="F244" s="14">
        <v>5</v>
      </c>
      <c r="G244" s="14" t="s">
        <v>305</v>
      </c>
      <c r="H244" s="27">
        <f>ROUND((F244/D244)*100, 2)</f>
      </c>
      <c r="I244" s="27">
        <f>ROUND((F244/D244)*250, 2)</f>
      </c>
      <c r="J244" s="27">
        <f>ROUND((F244/D244)*500, 2)</f>
      </c>
    </row>
    <row r="245" ht="20" customHeight="1" spans="1:10" x14ac:dyDescent="0.25">
      <c r="A245" s="12">
        <v>171</v>
      </c>
      <c r="B245" s="12" t="s">
        <v>1010</v>
      </c>
      <c r="C245" s="12" t="s">
        <v>917</v>
      </c>
      <c r="D245" s="12">
        <v>100</v>
      </c>
      <c r="E245" s="12" t="s">
        <v>918</v>
      </c>
      <c r="F245" s="12">
        <v>10</v>
      </c>
      <c r="G245" s="12" t="s">
        <v>139</v>
      </c>
      <c r="H245" s="25">
        <f>ROUND((F245/D245)*100, 2)</f>
      </c>
      <c r="I245" s="25">
        <f>ROUND((F245/D245)*250, 2)</f>
      </c>
      <c r="J245" s="25">
        <f>ROUND((F245/D245)*500, 2)</f>
      </c>
    </row>
    <row r="246" ht="20" customHeight="1" spans="1:10" x14ac:dyDescent="0.25">
      <c r="A246" s="14">
        <v>113</v>
      </c>
      <c r="B246" s="14" t="s">
        <v>1011</v>
      </c>
      <c r="C246" s="14" t="s">
        <v>944</v>
      </c>
      <c r="D246" s="14">
        <v>100</v>
      </c>
      <c r="E246" s="14" t="s">
        <v>946</v>
      </c>
      <c r="F246" s="14">
        <v>20</v>
      </c>
      <c r="G246" s="14" t="s">
        <v>139</v>
      </c>
      <c r="H246" s="27">
        <f>ROUND((F246/D246)*100, 2)</f>
      </c>
      <c r="I246" s="27">
        <f>ROUND((F246/D246)*250, 2)</f>
      </c>
      <c r="J246" s="27">
        <f>ROUND((F246/D246)*500, 2)</f>
      </c>
    </row>
    <row r="247" ht="20" customHeight="1" spans="1:10" x14ac:dyDescent="0.25">
      <c r="A247" s="12">
        <v>113</v>
      </c>
      <c r="B247" s="12" t="s">
        <v>1011</v>
      </c>
      <c r="C247" s="12" t="s">
        <v>944</v>
      </c>
      <c r="D247" s="12">
        <v>100</v>
      </c>
      <c r="E247" s="12" t="s">
        <v>900</v>
      </c>
      <c r="F247" s="12">
        <v>1.5</v>
      </c>
      <c r="G247" s="12" t="s">
        <v>305</v>
      </c>
      <c r="H247" s="25">
        <f>ROUND((F247/D247)*100, 2)</f>
      </c>
      <c r="I247" s="25">
        <f>ROUND((F247/D247)*250, 2)</f>
      </c>
      <c r="J247" s="25">
        <f>ROUND((F247/D247)*500, 2)</f>
      </c>
    </row>
    <row r="248" ht="20" customHeight="1" spans="1:10" x14ac:dyDescent="0.25">
      <c r="A248" s="14">
        <v>113</v>
      </c>
      <c r="B248" s="14" t="s">
        <v>1011</v>
      </c>
      <c r="C248" s="14" t="s">
        <v>944</v>
      </c>
      <c r="D248" s="14">
        <v>100</v>
      </c>
      <c r="E248" s="14" t="s">
        <v>927</v>
      </c>
      <c r="F248" s="14">
        <v>2</v>
      </c>
      <c r="G248" s="14" t="s">
        <v>305</v>
      </c>
      <c r="H248" s="27">
        <f>ROUND((F248/D248)*100, 2)</f>
      </c>
      <c r="I248" s="27">
        <f>ROUND((F248/D248)*250, 2)</f>
      </c>
      <c r="J248" s="27">
        <f>ROUND((F248/D248)*500, 2)</f>
      </c>
    </row>
    <row r="249" ht="20" customHeight="1" spans="1:10" x14ac:dyDescent="0.25">
      <c r="A249" s="12">
        <v>113</v>
      </c>
      <c r="B249" s="12" t="s">
        <v>1011</v>
      </c>
      <c r="C249" s="12" t="s">
        <v>944</v>
      </c>
      <c r="D249" s="12">
        <v>100</v>
      </c>
      <c r="E249" s="12" t="s">
        <v>945</v>
      </c>
      <c r="F249" s="12">
        <v>8</v>
      </c>
      <c r="G249" s="12" t="s">
        <v>139</v>
      </c>
      <c r="H249" s="25">
        <f>ROUND((F249/D249)*100, 2)</f>
      </c>
      <c r="I249" s="25">
        <f>ROUND((F249/D249)*250, 2)</f>
      </c>
      <c r="J249" s="25">
        <f>ROUND((F249/D249)*500, 2)</f>
      </c>
    </row>
    <row r="250" ht="20" customHeight="1" spans="1:10" x14ac:dyDescent="0.25">
      <c r="A250" s="14">
        <v>98</v>
      </c>
      <c r="B250" s="14" t="s">
        <v>1012</v>
      </c>
      <c r="C250" s="14" t="s">
        <v>925</v>
      </c>
      <c r="D250" s="14">
        <v>100</v>
      </c>
      <c r="E250" s="14" t="s">
        <v>927</v>
      </c>
      <c r="F250" s="14">
        <v>3</v>
      </c>
      <c r="G250" s="14" t="s">
        <v>305</v>
      </c>
      <c r="H250" s="27">
        <f>ROUND((F250/D250)*100, 2)</f>
      </c>
      <c r="I250" s="27">
        <f>ROUND((F250/D250)*250, 2)</f>
      </c>
      <c r="J250" s="27">
        <f>ROUND((F250/D250)*500, 2)</f>
      </c>
    </row>
    <row r="251" ht="20" customHeight="1" spans="1:10" x14ac:dyDescent="0.25">
      <c r="A251" s="12">
        <v>98</v>
      </c>
      <c r="B251" s="12" t="s">
        <v>1012</v>
      </c>
      <c r="C251" s="12" t="s">
        <v>925</v>
      </c>
      <c r="D251" s="12">
        <v>100</v>
      </c>
      <c r="E251" s="12" t="s">
        <v>900</v>
      </c>
      <c r="F251" s="12">
        <v>2</v>
      </c>
      <c r="G251" s="12" t="s">
        <v>305</v>
      </c>
      <c r="H251" s="25">
        <f>ROUND((F251/D251)*100, 2)</f>
      </c>
      <c r="I251" s="25">
        <f>ROUND((F251/D251)*250, 2)</f>
      </c>
      <c r="J251" s="25">
        <f>ROUND((F251/D251)*500, 2)</f>
      </c>
    </row>
    <row r="252" ht="20" customHeight="1" spans="1:10" x14ac:dyDescent="0.25">
      <c r="A252" s="14">
        <v>98</v>
      </c>
      <c r="B252" s="14" t="s">
        <v>1012</v>
      </c>
      <c r="C252" s="14" t="s">
        <v>925</v>
      </c>
      <c r="D252" s="14">
        <v>100</v>
      </c>
      <c r="E252" s="14" t="s">
        <v>926</v>
      </c>
      <c r="F252" s="14">
        <v>2</v>
      </c>
      <c r="G252" s="14" t="s">
        <v>139</v>
      </c>
      <c r="H252" s="27">
        <f>ROUND((F252/D252)*100, 2)</f>
      </c>
      <c r="I252" s="27">
        <f>ROUND((F252/D252)*250, 2)</f>
      </c>
      <c r="J252" s="27">
        <f>ROUND((F252/D252)*500, 2)</f>
      </c>
    </row>
    <row r="253" ht="20" customHeight="1" spans="1:10" x14ac:dyDescent="0.25">
      <c r="A253" s="12">
        <v>98</v>
      </c>
      <c r="B253" s="12" t="s">
        <v>1012</v>
      </c>
      <c r="C253" s="12" t="s">
        <v>925</v>
      </c>
      <c r="D253" s="12">
        <v>100</v>
      </c>
      <c r="E253" s="12" t="s">
        <v>928</v>
      </c>
      <c r="F253" s="12">
        <v>15</v>
      </c>
      <c r="G253" s="12" t="s">
        <v>139</v>
      </c>
      <c r="H253" s="25">
        <f>ROUND((F253/D253)*100, 2)</f>
      </c>
      <c r="I253" s="25">
        <f>ROUND((F253/D253)*250, 2)</f>
      </c>
      <c r="J253" s="25">
        <f>ROUND((F253/D253)*500, 2)</f>
      </c>
    </row>
    <row r="254" ht="20" customHeight="1" spans="1:10" x14ac:dyDescent="0.25">
      <c r="A254" s="14">
        <v>68</v>
      </c>
      <c r="B254" s="14" t="s">
        <v>1013</v>
      </c>
      <c r="C254" s="14" t="s">
        <v>967</v>
      </c>
      <c r="D254" s="14">
        <v>100</v>
      </c>
      <c r="E254" s="14" t="s">
        <v>970</v>
      </c>
      <c r="F254" s="14">
        <v>15</v>
      </c>
      <c r="G254" s="14" t="s">
        <v>139</v>
      </c>
      <c r="H254" s="27">
        <f>ROUND((F254/D254)*100, 2)</f>
      </c>
      <c r="I254" s="27">
        <f>ROUND((F254/D254)*250, 2)</f>
      </c>
      <c r="J254" s="27">
        <f>ROUND((F254/D254)*500, 2)</f>
      </c>
    </row>
    <row r="255" ht="20" customHeight="1" spans="1:10" x14ac:dyDescent="0.25">
      <c r="A255" s="12">
        <v>68</v>
      </c>
      <c r="B255" s="12" t="s">
        <v>1013</v>
      </c>
      <c r="C255" s="12" t="s">
        <v>967</v>
      </c>
      <c r="D255" s="12">
        <v>100</v>
      </c>
      <c r="E255" s="12" t="s">
        <v>968</v>
      </c>
      <c r="F255" s="12">
        <v>2</v>
      </c>
      <c r="G255" s="12" t="s">
        <v>139</v>
      </c>
      <c r="H255" s="25">
        <f>ROUND((F255/D255)*100, 2)</f>
      </c>
      <c r="I255" s="25">
        <f>ROUND((F255/D255)*250, 2)</f>
      </c>
      <c r="J255" s="25">
        <f>ROUND((F255/D255)*500, 2)</f>
      </c>
    </row>
    <row r="256" ht="20" customHeight="1" spans="1:10" x14ac:dyDescent="0.25">
      <c r="A256" s="14">
        <v>68</v>
      </c>
      <c r="B256" s="14" t="s">
        <v>1013</v>
      </c>
      <c r="C256" s="14" t="s">
        <v>967</v>
      </c>
      <c r="D256" s="14">
        <v>100</v>
      </c>
      <c r="E256" s="14" t="s">
        <v>969</v>
      </c>
      <c r="F256" s="14">
        <v>1.5</v>
      </c>
      <c r="G256" s="14" t="s">
        <v>139</v>
      </c>
      <c r="H256" s="27">
        <f>ROUND((F256/D256)*100, 2)</f>
      </c>
      <c r="I256" s="27">
        <f>ROUND((F256/D256)*250, 2)</f>
      </c>
      <c r="J256" s="27">
        <f>ROUND((F256/D256)*500, 2)</f>
      </c>
    </row>
    <row r="257" ht="20" customHeight="1" spans="1:10" x14ac:dyDescent="0.25">
      <c r="A257" s="12">
        <v>68</v>
      </c>
      <c r="B257" s="12" t="s">
        <v>1013</v>
      </c>
      <c r="C257" s="12" t="s">
        <v>967</v>
      </c>
      <c r="D257" s="12">
        <v>100</v>
      </c>
      <c r="E257" s="12" t="s">
        <v>399</v>
      </c>
      <c r="F257" s="12">
        <v>2</v>
      </c>
      <c r="G257" s="12" t="s">
        <v>305</v>
      </c>
      <c r="H257" s="25">
        <f>ROUND((F257/D257)*100, 2)</f>
      </c>
      <c r="I257" s="25">
        <f>ROUND((F257/D257)*250, 2)</f>
      </c>
      <c r="J257" s="25">
        <f>ROUND((F257/D257)*500, 2)</f>
      </c>
    </row>
    <row r="258" ht="20" customHeight="1" spans="1:10" x14ac:dyDescent="0.25">
      <c r="A258" s="14">
        <v>68</v>
      </c>
      <c r="B258" s="14" t="s">
        <v>1013</v>
      </c>
      <c r="C258" s="14" t="s">
        <v>967</v>
      </c>
      <c r="D258" s="14">
        <v>100</v>
      </c>
      <c r="E258" s="14" t="s">
        <v>175</v>
      </c>
      <c r="F258" s="14">
        <v>20</v>
      </c>
      <c r="G258" s="14" t="s">
        <v>139</v>
      </c>
      <c r="H258" s="27">
        <f>ROUND((F258/D258)*100, 2)</f>
      </c>
      <c r="I258" s="27">
        <f>ROUND((F258/D258)*250, 2)</f>
      </c>
      <c r="J258" s="27">
        <f>ROUND((F258/D258)*500, 2)</f>
      </c>
    </row>
    <row r="259" ht="20" customHeight="1" spans="1:10" x14ac:dyDescent="0.25">
      <c r="A259" s="12">
        <v>97</v>
      </c>
      <c r="B259" s="12" t="s">
        <v>1014</v>
      </c>
      <c r="C259" s="12" t="s">
        <v>925</v>
      </c>
      <c r="D259" s="12">
        <v>100</v>
      </c>
      <c r="E259" s="12" t="s">
        <v>928</v>
      </c>
      <c r="F259" s="12">
        <v>15</v>
      </c>
      <c r="G259" s="12" t="s">
        <v>139</v>
      </c>
      <c r="H259" s="25">
        <f>ROUND((F259/D259)*100, 2)</f>
      </c>
      <c r="I259" s="25">
        <f>ROUND((F259/D259)*250, 2)</f>
      </c>
      <c r="J259" s="25">
        <f>ROUND((F259/D259)*500, 2)</f>
      </c>
    </row>
    <row r="260" ht="20" customHeight="1" spans="1:10" x14ac:dyDescent="0.25">
      <c r="A260" s="14">
        <v>97</v>
      </c>
      <c r="B260" s="14" t="s">
        <v>1014</v>
      </c>
      <c r="C260" s="14" t="s">
        <v>925</v>
      </c>
      <c r="D260" s="14">
        <v>100</v>
      </c>
      <c r="E260" s="14" t="s">
        <v>900</v>
      </c>
      <c r="F260" s="14">
        <v>2</v>
      </c>
      <c r="G260" s="14" t="s">
        <v>305</v>
      </c>
      <c r="H260" s="27">
        <f>ROUND((F260/D260)*100, 2)</f>
      </c>
      <c r="I260" s="27">
        <f>ROUND((F260/D260)*250, 2)</f>
      </c>
      <c r="J260" s="27">
        <f>ROUND((F260/D260)*500, 2)</f>
      </c>
    </row>
    <row r="261" ht="20" customHeight="1" spans="1:10" x14ac:dyDescent="0.25">
      <c r="A261" s="12">
        <v>97</v>
      </c>
      <c r="B261" s="12" t="s">
        <v>1014</v>
      </c>
      <c r="C261" s="12" t="s">
        <v>925</v>
      </c>
      <c r="D261" s="12">
        <v>100</v>
      </c>
      <c r="E261" s="12" t="s">
        <v>926</v>
      </c>
      <c r="F261" s="12">
        <v>2</v>
      </c>
      <c r="G261" s="12" t="s">
        <v>139</v>
      </c>
      <c r="H261" s="25">
        <f>ROUND((F261/D261)*100, 2)</f>
      </c>
      <c r="I261" s="25">
        <f>ROUND((F261/D261)*250, 2)</f>
      </c>
      <c r="J261" s="25">
        <f>ROUND((F261/D261)*500, 2)</f>
      </c>
    </row>
    <row r="262" ht="20" customHeight="1" spans="1:10" x14ac:dyDescent="0.25">
      <c r="A262" s="14">
        <v>97</v>
      </c>
      <c r="B262" s="14" t="s">
        <v>1014</v>
      </c>
      <c r="C262" s="14" t="s">
        <v>925</v>
      </c>
      <c r="D262" s="14">
        <v>100</v>
      </c>
      <c r="E262" s="14" t="s">
        <v>927</v>
      </c>
      <c r="F262" s="14">
        <v>3</v>
      </c>
      <c r="G262" s="14" t="s">
        <v>305</v>
      </c>
      <c r="H262" s="27">
        <f>ROUND((F262/D262)*100, 2)</f>
      </c>
      <c r="I262" s="27">
        <f>ROUND((F262/D262)*250, 2)</f>
      </c>
      <c r="J262" s="27">
        <f>ROUND((F262/D262)*500, 2)</f>
      </c>
    </row>
    <row r="263" ht="20" customHeight="1" spans="1:10" x14ac:dyDescent="0.25">
      <c r="A263" s="12">
        <v>112</v>
      </c>
      <c r="B263" s="12" t="s">
        <v>1015</v>
      </c>
      <c r="C263" s="12" t="s">
        <v>944</v>
      </c>
      <c r="D263" s="12">
        <v>100</v>
      </c>
      <c r="E263" s="12" t="s">
        <v>927</v>
      </c>
      <c r="F263" s="12">
        <v>2</v>
      </c>
      <c r="G263" s="12" t="s">
        <v>305</v>
      </c>
      <c r="H263" s="25">
        <f>ROUND((F263/D263)*100, 2)</f>
      </c>
      <c r="I263" s="25">
        <f>ROUND((F263/D263)*250, 2)</f>
      </c>
      <c r="J263" s="25">
        <f>ROUND((F263/D263)*500, 2)</f>
      </c>
    </row>
    <row r="264" ht="20" customHeight="1" spans="1:10" x14ac:dyDescent="0.25">
      <c r="A264" s="14">
        <v>112</v>
      </c>
      <c r="B264" s="14" t="s">
        <v>1015</v>
      </c>
      <c r="C264" s="14" t="s">
        <v>944</v>
      </c>
      <c r="D264" s="14">
        <v>100</v>
      </c>
      <c r="E264" s="14" t="s">
        <v>946</v>
      </c>
      <c r="F264" s="14">
        <v>20</v>
      </c>
      <c r="G264" s="14" t="s">
        <v>139</v>
      </c>
      <c r="H264" s="27">
        <f>ROUND((F264/D264)*100, 2)</f>
      </c>
      <c r="I264" s="27">
        <f>ROUND((F264/D264)*250, 2)</f>
      </c>
      <c r="J264" s="27">
        <f>ROUND((F264/D264)*500, 2)</f>
      </c>
    </row>
    <row r="265" ht="20" customHeight="1" spans="1:10" x14ac:dyDescent="0.25">
      <c r="A265" s="12">
        <v>112</v>
      </c>
      <c r="B265" s="12" t="s">
        <v>1015</v>
      </c>
      <c r="C265" s="12" t="s">
        <v>944</v>
      </c>
      <c r="D265" s="12">
        <v>100</v>
      </c>
      <c r="E265" s="12" t="s">
        <v>900</v>
      </c>
      <c r="F265" s="12">
        <v>1.5</v>
      </c>
      <c r="G265" s="12" t="s">
        <v>305</v>
      </c>
      <c r="H265" s="25">
        <f>ROUND((F265/D265)*100, 2)</f>
      </c>
      <c r="I265" s="25">
        <f>ROUND((F265/D265)*250, 2)</f>
      </c>
      <c r="J265" s="25">
        <f>ROUND((F265/D265)*500, 2)</f>
      </c>
    </row>
    <row r="266" ht="20" customHeight="1" spans="1:10" x14ac:dyDescent="0.25">
      <c r="A266" s="14">
        <v>112</v>
      </c>
      <c r="B266" s="14" t="s">
        <v>1015</v>
      </c>
      <c r="C266" s="14" t="s">
        <v>944</v>
      </c>
      <c r="D266" s="14">
        <v>100</v>
      </c>
      <c r="E266" s="14" t="s">
        <v>945</v>
      </c>
      <c r="F266" s="14">
        <v>8</v>
      </c>
      <c r="G266" s="14" t="s">
        <v>139</v>
      </c>
      <c r="H266" s="27">
        <f>ROUND((F266/D266)*100, 2)</f>
      </c>
      <c r="I266" s="27">
        <f>ROUND((F266/D266)*250, 2)</f>
      </c>
      <c r="J266" s="27">
        <f>ROUND((F266/D266)*500, 2)</f>
      </c>
    </row>
    <row r="267" ht="20" customHeight="1" spans="1:10" x14ac:dyDescent="0.25">
      <c r="A267" s="12">
        <v>61</v>
      </c>
      <c r="B267" s="12" t="s">
        <v>1016</v>
      </c>
      <c r="C267" s="12" t="s">
        <v>948</v>
      </c>
      <c r="D267" s="12">
        <v>100</v>
      </c>
      <c r="E267" s="12" t="s">
        <v>951</v>
      </c>
      <c r="F267" s="12">
        <v>1</v>
      </c>
      <c r="G267" s="12" t="s">
        <v>139</v>
      </c>
      <c r="H267" s="25">
        <f>ROUND((F267/D267)*100, 2)</f>
      </c>
      <c r="I267" s="25">
        <f>ROUND((F267/D267)*250, 2)</f>
      </c>
      <c r="J267" s="25">
        <f>ROUND((F267/D267)*500, 2)</f>
      </c>
    </row>
    <row r="268" ht="20" customHeight="1" spans="1:10" x14ac:dyDescent="0.25">
      <c r="A268" s="14">
        <v>61</v>
      </c>
      <c r="B268" s="14" t="s">
        <v>1016</v>
      </c>
      <c r="C268" s="14" t="s">
        <v>948</v>
      </c>
      <c r="D268" s="14">
        <v>100</v>
      </c>
      <c r="E268" s="14" t="s">
        <v>950</v>
      </c>
      <c r="F268" s="14">
        <v>10</v>
      </c>
      <c r="G268" s="14" t="s">
        <v>139</v>
      </c>
      <c r="H268" s="27">
        <f>ROUND((F268/D268)*100, 2)</f>
      </c>
      <c r="I268" s="27">
        <f>ROUND((F268/D268)*250, 2)</f>
      </c>
      <c r="J268" s="27">
        <f>ROUND((F268/D268)*500, 2)</f>
      </c>
    </row>
    <row r="269" ht="20" customHeight="1" spans="1:10" x14ac:dyDescent="0.25">
      <c r="A269" s="12">
        <v>61</v>
      </c>
      <c r="B269" s="12" t="s">
        <v>1016</v>
      </c>
      <c r="C269" s="12" t="s">
        <v>948</v>
      </c>
      <c r="D269" s="12">
        <v>100</v>
      </c>
      <c r="E269" s="12" t="s">
        <v>900</v>
      </c>
      <c r="F269" s="12">
        <v>2</v>
      </c>
      <c r="G269" s="12" t="s">
        <v>305</v>
      </c>
      <c r="H269" s="25">
        <f>ROUND((F269/D269)*100, 2)</f>
      </c>
      <c r="I269" s="25">
        <f>ROUND((F269/D269)*250, 2)</f>
      </c>
      <c r="J269" s="25">
        <f>ROUND((F269/D269)*500, 2)</f>
      </c>
    </row>
    <row r="270" ht="20" customHeight="1" spans="1:10" x14ac:dyDescent="0.25">
      <c r="A270" s="14">
        <v>61</v>
      </c>
      <c r="B270" s="14" t="s">
        <v>1016</v>
      </c>
      <c r="C270" s="14" t="s">
        <v>948</v>
      </c>
      <c r="D270" s="14">
        <v>100</v>
      </c>
      <c r="E270" s="14" t="s">
        <v>949</v>
      </c>
      <c r="F270" s="14">
        <v>20</v>
      </c>
      <c r="G270" s="14" t="s">
        <v>139</v>
      </c>
      <c r="H270" s="27">
        <f>ROUND((F270/D270)*100, 2)</f>
      </c>
      <c r="I270" s="27">
        <f>ROUND((F270/D270)*250, 2)</f>
      </c>
      <c r="J270" s="27">
        <f>ROUND((F270/D270)*500, 2)</f>
      </c>
    </row>
    <row r="271" ht="20" customHeight="1" spans="1:10" x14ac:dyDescent="0.25">
      <c r="A271" s="12">
        <v>118</v>
      </c>
      <c r="B271" s="12" t="s">
        <v>1017</v>
      </c>
      <c r="C271" s="12" t="s">
        <v>944</v>
      </c>
      <c r="D271" s="12">
        <v>100</v>
      </c>
      <c r="E271" s="12" t="s">
        <v>900</v>
      </c>
      <c r="F271" s="12">
        <v>1.5</v>
      </c>
      <c r="G271" s="12" t="s">
        <v>305</v>
      </c>
      <c r="H271" s="25">
        <f>ROUND((F271/D271)*100, 2)</f>
      </c>
      <c r="I271" s="25">
        <f>ROUND((F271/D271)*250, 2)</f>
      </c>
      <c r="J271" s="25">
        <f>ROUND((F271/D271)*500, 2)</f>
      </c>
    </row>
    <row r="272" ht="20" customHeight="1" spans="1:10" x14ac:dyDescent="0.25">
      <c r="A272" s="14">
        <v>118</v>
      </c>
      <c r="B272" s="14" t="s">
        <v>1017</v>
      </c>
      <c r="C272" s="14" t="s">
        <v>944</v>
      </c>
      <c r="D272" s="14">
        <v>100</v>
      </c>
      <c r="E272" s="14" t="s">
        <v>946</v>
      </c>
      <c r="F272" s="14">
        <v>20</v>
      </c>
      <c r="G272" s="14" t="s">
        <v>139</v>
      </c>
      <c r="H272" s="27">
        <f>ROUND((F272/D272)*100, 2)</f>
      </c>
      <c r="I272" s="27">
        <f>ROUND((F272/D272)*250, 2)</f>
      </c>
      <c r="J272" s="27">
        <f>ROUND((F272/D272)*500, 2)</f>
      </c>
    </row>
    <row r="273" ht="20" customHeight="1" spans="1:10" x14ac:dyDescent="0.25">
      <c r="A273" s="12">
        <v>118</v>
      </c>
      <c r="B273" s="12" t="s">
        <v>1017</v>
      </c>
      <c r="C273" s="12" t="s">
        <v>944</v>
      </c>
      <c r="D273" s="12">
        <v>100</v>
      </c>
      <c r="E273" s="12" t="s">
        <v>927</v>
      </c>
      <c r="F273" s="12">
        <v>2</v>
      </c>
      <c r="G273" s="12" t="s">
        <v>305</v>
      </c>
      <c r="H273" s="25">
        <f>ROUND((F273/D273)*100, 2)</f>
      </c>
      <c r="I273" s="25">
        <f>ROUND((F273/D273)*250, 2)</f>
      </c>
      <c r="J273" s="25">
        <f>ROUND((F273/D273)*500, 2)</f>
      </c>
    </row>
    <row r="274" ht="20" customHeight="1" spans="1:10" x14ac:dyDescent="0.25">
      <c r="A274" s="14">
        <v>118</v>
      </c>
      <c r="B274" s="14" t="s">
        <v>1017</v>
      </c>
      <c r="C274" s="14" t="s">
        <v>944</v>
      </c>
      <c r="D274" s="14">
        <v>100</v>
      </c>
      <c r="E274" s="14" t="s">
        <v>945</v>
      </c>
      <c r="F274" s="14">
        <v>8</v>
      </c>
      <c r="G274" s="14" t="s">
        <v>139</v>
      </c>
      <c r="H274" s="27">
        <f>ROUND((F274/D274)*100, 2)</f>
      </c>
      <c r="I274" s="27">
        <f>ROUND((F274/D274)*250, 2)</f>
      </c>
      <c r="J274" s="27">
        <f>ROUND((F274/D274)*500, 2)</f>
      </c>
    </row>
    <row r="275" ht="20" customHeight="1" spans="1:10" x14ac:dyDescent="0.25">
      <c r="A275" s="12">
        <v>214</v>
      </c>
      <c r="B275" s="12" t="s">
        <v>1018</v>
      </c>
      <c r="C275" s="12" t="s">
        <v>940</v>
      </c>
      <c r="D275" s="12">
        <v>100</v>
      </c>
      <c r="E275" s="12" t="s">
        <v>134</v>
      </c>
      <c r="F275" s="12">
        <v>2</v>
      </c>
      <c r="G275" s="12" t="s">
        <v>305</v>
      </c>
      <c r="H275" s="25">
        <f>ROUND((F275/D275)*100, 2)</f>
      </c>
      <c r="I275" s="25">
        <f>ROUND((F275/D275)*250, 2)</f>
      </c>
      <c r="J275" s="25">
        <f>ROUND((F275/D275)*500, 2)</f>
      </c>
    </row>
    <row r="276" ht="20" customHeight="1" spans="1:10" x14ac:dyDescent="0.25">
      <c r="A276" s="14">
        <v>214</v>
      </c>
      <c r="B276" s="14" t="s">
        <v>1018</v>
      </c>
      <c r="C276" s="14" t="s">
        <v>940</v>
      </c>
      <c r="D276" s="14">
        <v>100</v>
      </c>
      <c r="E276" s="14" t="s">
        <v>942</v>
      </c>
      <c r="F276" s="14">
        <v>20</v>
      </c>
      <c r="G276" s="14" t="s">
        <v>305</v>
      </c>
      <c r="H276" s="27">
        <f>ROUND((F276/D276)*100, 2)</f>
      </c>
      <c r="I276" s="27">
        <f>ROUND((F276/D276)*250, 2)</f>
      </c>
      <c r="J276" s="27">
        <f>ROUND((F276/D276)*500, 2)</f>
      </c>
    </row>
    <row r="277" ht="20" customHeight="1" spans="1:10" x14ac:dyDescent="0.25">
      <c r="A277" s="12">
        <v>214</v>
      </c>
      <c r="B277" s="12" t="s">
        <v>1018</v>
      </c>
      <c r="C277" s="12" t="s">
        <v>940</v>
      </c>
      <c r="D277" s="12">
        <v>100</v>
      </c>
      <c r="E277" s="12" t="s">
        <v>941</v>
      </c>
      <c r="F277" s="12">
        <v>0.5</v>
      </c>
      <c r="G277" s="12" t="s">
        <v>139</v>
      </c>
      <c r="H277" s="25">
        <f>ROUND((F277/D277)*100, 2)</f>
      </c>
      <c r="I277" s="25">
        <f>ROUND((F277/D277)*250, 2)</f>
      </c>
      <c r="J277" s="25">
        <f>ROUND((F277/D277)*500, 2)</f>
      </c>
    </row>
    <row r="278" ht="20" customHeight="1" spans="1:10" x14ac:dyDescent="0.25">
      <c r="A278" s="14">
        <v>157</v>
      </c>
      <c r="B278" s="14" t="s">
        <v>1019</v>
      </c>
      <c r="C278" s="14" t="s">
        <v>921</v>
      </c>
      <c r="D278" s="14">
        <v>100</v>
      </c>
      <c r="E278" s="14" t="s">
        <v>922</v>
      </c>
      <c r="F278" s="14">
        <v>15</v>
      </c>
      <c r="G278" s="14" t="s">
        <v>139</v>
      </c>
      <c r="H278" s="27">
        <f>ROUND((F278/D278)*100, 2)</f>
      </c>
      <c r="I278" s="27">
        <f>ROUND((F278/D278)*250, 2)</f>
      </c>
      <c r="J278" s="27">
        <f>ROUND((F278/D278)*500, 2)</f>
      </c>
    </row>
    <row r="279" ht="20" customHeight="1" spans="1:10" x14ac:dyDescent="0.25">
      <c r="A279" s="12">
        <v>157</v>
      </c>
      <c r="B279" s="12" t="s">
        <v>1019</v>
      </c>
      <c r="C279" s="12" t="s">
        <v>921</v>
      </c>
      <c r="D279" s="12">
        <v>100</v>
      </c>
      <c r="E279" s="12" t="s">
        <v>911</v>
      </c>
      <c r="F279" s="12">
        <v>1.5</v>
      </c>
      <c r="G279" s="12" t="s">
        <v>139</v>
      </c>
      <c r="H279" s="25">
        <f>ROUND((F279/D279)*100, 2)</f>
      </c>
      <c r="I279" s="25">
        <f>ROUND((F279/D279)*250, 2)</f>
      </c>
      <c r="J279" s="25">
        <f>ROUND((F279/D279)*500, 2)</f>
      </c>
    </row>
    <row r="280" ht="20" customHeight="1" spans="1:10" x14ac:dyDescent="0.25">
      <c r="A280" s="14">
        <v>157</v>
      </c>
      <c r="B280" s="14" t="s">
        <v>1019</v>
      </c>
      <c r="C280" s="14" t="s">
        <v>921</v>
      </c>
      <c r="D280" s="14">
        <v>100</v>
      </c>
      <c r="E280" s="14" t="s">
        <v>923</v>
      </c>
      <c r="F280" s="14">
        <v>2</v>
      </c>
      <c r="G280" s="14" t="s">
        <v>139</v>
      </c>
      <c r="H280" s="27">
        <f>ROUND((F280/D280)*100, 2)</f>
      </c>
      <c r="I280" s="27">
        <f>ROUND((F280/D280)*250, 2)</f>
      </c>
      <c r="J280" s="27">
        <f>ROUND((F280/D280)*500, 2)</f>
      </c>
    </row>
    <row r="281" ht="20" customHeight="1" spans="1:10" x14ac:dyDescent="0.25">
      <c r="A281" s="12">
        <v>219</v>
      </c>
      <c r="B281" s="12" t="s">
        <v>1020</v>
      </c>
      <c r="C281" s="12" t="s">
        <v>930</v>
      </c>
      <c r="D281" s="12">
        <v>100</v>
      </c>
      <c r="E281" s="12" t="s">
        <v>134</v>
      </c>
      <c r="F281" s="12">
        <v>2</v>
      </c>
      <c r="G281" s="12" t="s">
        <v>305</v>
      </c>
      <c r="H281" s="25">
        <f>ROUND((F281/D281)*100, 2)</f>
      </c>
      <c r="I281" s="25">
        <f>ROUND((F281/D281)*250, 2)</f>
      </c>
      <c r="J281" s="25">
        <f>ROUND((F281/D281)*500, 2)</f>
      </c>
    </row>
    <row r="282" ht="20" customHeight="1" spans="1:10" x14ac:dyDescent="0.25">
      <c r="A282" s="14">
        <v>219</v>
      </c>
      <c r="B282" s="14" t="s">
        <v>1020</v>
      </c>
      <c r="C282" s="14" t="s">
        <v>930</v>
      </c>
      <c r="D282" s="14">
        <v>100</v>
      </c>
      <c r="E282" s="14" t="s">
        <v>931</v>
      </c>
      <c r="F282" s="14">
        <v>6</v>
      </c>
      <c r="G282" s="14" t="s">
        <v>139</v>
      </c>
      <c r="H282" s="27">
        <f>ROUND((F282/D282)*100, 2)</f>
      </c>
      <c r="I282" s="27">
        <f>ROUND((F282/D282)*250, 2)</f>
      </c>
      <c r="J282" s="27">
        <f>ROUND((F282/D282)*500, 2)</f>
      </c>
    </row>
    <row r="283" ht="20" customHeight="1" spans="1:10" x14ac:dyDescent="0.25">
      <c r="A283" s="12">
        <v>219</v>
      </c>
      <c r="B283" s="12" t="s">
        <v>1020</v>
      </c>
      <c r="C283" s="12" t="s">
        <v>930</v>
      </c>
      <c r="D283" s="12">
        <v>100</v>
      </c>
      <c r="E283" s="12" t="s">
        <v>540</v>
      </c>
      <c r="F283" s="12">
        <v>15</v>
      </c>
      <c r="G283" s="12" t="s">
        <v>305</v>
      </c>
      <c r="H283" s="25">
        <f>ROUND((F283/D283)*100, 2)</f>
      </c>
      <c r="I283" s="25">
        <f>ROUND((F283/D283)*250, 2)</f>
      </c>
      <c r="J283" s="25">
        <f>ROUND((F283/D283)*500, 2)</f>
      </c>
    </row>
    <row r="284" ht="20" customHeight="1" spans="1:10" x14ac:dyDescent="0.25">
      <c r="A284" s="14">
        <v>66</v>
      </c>
      <c r="B284" s="14" t="s">
        <v>1021</v>
      </c>
      <c r="C284" s="14" t="s">
        <v>967</v>
      </c>
      <c r="D284" s="14">
        <v>100</v>
      </c>
      <c r="E284" s="14" t="s">
        <v>970</v>
      </c>
      <c r="F284" s="14">
        <v>15</v>
      </c>
      <c r="G284" s="14" t="s">
        <v>139</v>
      </c>
      <c r="H284" s="27">
        <f>ROUND((F284/D284)*100, 2)</f>
      </c>
      <c r="I284" s="27">
        <f>ROUND((F284/D284)*250, 2)</f>
      </c>
      <c r="J284" s="27">
        <f>ROUND((F284/D284)*500, 2)</f>
      </c>
    </row>
    <row r="285" ht="20" customHeight="1" spans="1:10" x14ac:dyDescent="0.25">
      <c r="A285" s="12">
        <v>66</v>
      </c>
      <c r="B285" s="12" t="s">
        <v>1021</v>
      </c>
      <c r="C285" s="12" t="s">
        <v>967</v>
      </c>
      <c r="D285" s="12">
        <v>100</v>
      </c>
      <c r="E285" s="12" t="s">
        <v>399</v>
      </c>
      <c r="F285" s="12">
        <v>2</v>
      </c>
      <c r="G285" s="12" t="s">
        <v>305</v>
      </c>
      <c r="H285" s="25">
        <f>ROUND((F285/D285)*100, 2)</f>
      </c>
      <c r="I285" s="25">
        <f>ROUND((F285/D285)*250, 2)</f>
      </c>
      <c r="J285" s="25">
        <f>ROUND((F285/D285)*500, 2)</f>
      </c>
    </row>
    <row r="286" ht="20" customHeight="1" spans="1:10" x14ac:dyDescent="0.25">
      <c r="A286" s="14">
        <v>66</v>
      </c>
      <c r="B286" s="14" t="s">
        <v>1021</v>
      </c>
      <c r="C286" s="14" t="s">
        <v>967</v>
      </c>
      <c r="D286" s="14">
        <v>100</v>
      </c>
      <c r="E286" s="14" t="s">
        <v>969</v>
      </c>
      <c r="F286" s="14">
        <v>1.5</v>
      </c>
      <c r="G286" s="14" t="s">
        <v>139</v>
      </c>
      <c r="H286" s="27">
        <f>ROUND((F286/D286)*100, 2)</f>
      </c>
      <c r="I286" s="27">
        <f>ROUND((F286/D286)*250, 2)</f>
      </c>
      <c r="J286" s="27">
        <f>ROUND((F286/D286)*500, 2)</f>
      </c>
    </row>
    <row r="287" ht="20" customHeight="1" spans="1:10" x14ac:dyDescent="0.25">
      <c r="A287" s="12">
        <v>66</v>
      </c>
      <c r="B287" s="12" t="s">
        <v>1021</v>
      </c>
      <c r="C287" s="12" t="s">
        <v>967</v>
      </c>
      <c r="D287" s="12">
        <v>100</v>
      </c>
      <c r="E287" s="12" t="s">
        <v>175</v>
      </c>
      <c r="F287" s="12">
        <v>20</v>
      </c>
      <c r="G287" s="12" t="s">
        <v>139</v>
      </c>
      <c r="H287" s="25">
        <f>ROUND((F287/D287)*100, 2)</f>
      </c>
      <c r="I287" s="25">
        <f>ROUND((F287/D287)*250, 2)</f>
      </c>
      <c r="J287" s="25">
        <f>ROUND((F287/D287)*500, 2)</f>
      </c>
    </row>
    <row r="288" ht="20" customHeight="1" spans="1:10" x14ac:dyDescent="0.25">
      <c r="A288" s="14">
        <v>66</v>
      </c>
      <c r="B288" s="14" t="s">
        <v>1021</v>
      </c>
      <c r="C288" s="14" t="s">
        <v>967</v>
      </c>
      <c r="D288" s="14">
        <v>100</v>
      </c>
      <c r="E288" s="14" t="s">
        <v>968</v>
      </c>
      <c r="F288" s="14">
        <v>2</v>
      </c>
      <c r="G288" s="14" t="s">
        <v>139</v>
      </c>
      <c r="H288" s="27">
        <f>ROUND((F288/D288)*100, 2)</f>
      </c>
      <c r="I288" s="27">
        <f>ROUND((F288/D288)*250, 2)</f>
      </c>
      <c r="J288" s="27">
        <f>ROUND((F288/D288)*500, 2)</f>
      </c>
    </row>
    <row r="289" ht="20" customHeight="1" spans="1:10" x14ac:dyDescent="0.25">
      <c r="A289" s="12">
        <v>59</v>
      </c>
      <c r="B289" s="12" t="s">
        <v>1022</v>
      </c>
      <c r="C289" s="12" t="s">
        <v>948</v>
      </c>
      <c r="D289" s="12">
        <v>100</v>
      </c>
      <c r="E289" s="12" t="s">
        <v>950</v>
      </c>
      <c r="F289" s="12">
        <v>10</v>
      </c>
      <c r="G289" s="12" t="s">
        <v>139</v>
      </c>
      <c r="H289" s="25">
        <f>ROUND((F289/D289)*100, 2)</f>
      </c>
      <c r="I289" s="25">
        <f>ROUND((F289/D289)*250, 2)</f>
      </c>
      <c r="J289" s="25">
        <f>ROUND((F289/D289)*500, 2)</f>
      </c>
    </row>
    <row r="290" ht="20" customHeight="1" spans="1:10" x14ac:dyDescent="0.25">
      <c r="A290" s="14">
        <v>59</v>
      </c>
      <c r="B290" s="14" t="s">
        <v>1022</v>
      </c>
      <c r="C290" s="14" t="s">
        <v>948</v>
      </c>
      <c r="D290" s="14">
        <v>100</v>
      </c>
      <c r="E290" s="14" t="s">
        <v>900</v>
      </c>
      <c r="F290" s="14">
        <v>2</v>
      </c>
      <c r="G290" s="14" t="s">
        <v>305</v>
      </c>
      <c r="H290" s="27">
        <f>ROUND((F290/D290)*100, 2)</f>
      </c>
      <c r="I290" s="27">
        <f>ROUND((F290/D290)*250, 2)</f>
      </c>
      <c r="J290" s="27">
        <f>ROUND((F290/D290)*500, 2)</f>
      </c>
    </row>
    <row r="291" ht="20" customHeight="1" spans="1:10" x14ac:dyDescent="0.25">
      <c r="A291" s="12">
        <v>59</v>
      </c>
      <c r="B291" s="12" t="s">
        <v>1022</v>
      </c>
      <c r="C291" s="12" t="s">
        <v>948</v>
      </c>
      <c r="D291" s="12">
        <v>100</v>
      </c>
      <c r="E291" s="12" t="s">
        <v>949</v>
      </c>
      <c r="F291" s="12">
        <v>20</v>
      </c>
      <c r="G291" s="12" t="s">
        <v>139</v>
      </c>
      <c r="H291" s="25">
        <f>ROUND((F291/D291)*100, 2)</f>
      </c>
      <c r="I291" s="25">
        <f>ROUND((F291/D291)*250, 2)</f>
      </c>
      <c r="J291" s="25">
        <f>ROUND((F291/D291)*500, 2)</f>
      </c>
    </row>
    <row r="292" ht="20" customHeight="1" spans="1:10" x14ac:dyDescent="0.25">
      <c r="A292" s="14">
        <v>59</v>
      </c>
      <c r="B292" s="14" t="s">
        <v>1022</v>
      </c>
      <c r="C292" s="14" t="s">
        <v>948</v>
      </c>
      <c r="D292" s="14">
        <v>100</v>
      </c>
      <c r="E292" s="14" t="s">
        <v>951</v>
      </c>
      <c r="F292" s="14">
        <v>1</v>
      </c>
      <c r="G292" s="14" t="s">
        <v>139</v>
      </c>
      <c r="H292" s="27">
        <f>ROUND((F292/D292)*100, 2)</f>
      </c>
      <c r="I292" s="27">
        <f>ROUND((F292/D292)*250, 2)</f>
      </c>
      <c r="J292" s="27">
        <f>ROUND((F292/D292)*500, 2)</f>
      </c>
    </row>
    <row r="293" ht="20" customHeight="1" spans="1:10" x14ac:dyDescent="0.25">
      <c r="A293" s="12">
        <v>95</v>
      </c>
      <c r="B293" s="12" t="s">
        <v>1023</v>
      </c>
      <c r="C293" s="12" t="s">
        <v>925</v>
      </c>
      <c r="D293" s="12">
        <v>100</v>
      </c>
      <c r="E293" s="12" t="s">
        <v>900</v>
      </c>
      <c r="F293" s="12">
        <v>2</v>
      </c>
      <c r="G293" s="12" t="s">
        <v>305</v>
      </c>
      <c r="H293" s="25">
        <f>ROUND((F293/D293)*100, 2)</f>
      </c>
      <c r="I293" s="25">
        <f>ROUND((F293/D293)*250, 2)</f>
      </c>
      <c r="J293" s="25">
        <f>ROUND((F293/D293)*500, 2)</f>
      </c>
    </row>
    <row r="294" ht="20" customHeight="1" spans="1:10" x14ac:dyDescent="0.25">
      <c r="A294" s="14">
        <v>95</v>
      </c>
      <c r="B294" s="14" t="s">
        <v>1023</v>
      </c>
      <c r="C294" s="14" t="s">
        <v>925</v>
      </c>
      <c r="D294" s="14">
        <v>100</v>
      </c>
      <c r="E294" s="14" t="s">
        <v>927</v>
      </c>
      <c r="F294" s="14">
        <v>3</v>
      </c>
      <c r="G294" s="14" t="s">
        <v>305</v>
      </c>
      <c r="H294" s="27">
        <f>ROUND((F294/D294)*100, 2)</f>
      </c>
      <c r="I294" s="27">
        <f>ROUND((F294/D294)*250, 2)</f>
      </c>
      <c r="J294" s="27">
        <f>ROUND((F294/D294)*500, 2)</f>
      </c>
    </row>
    <row r="295" ht="20" customHeight="1" spans="1:10" x14ac:dyDescent="0.25">
      <c r="A295" s="12">
        <v>95</v>
      </c>
      <c r="B295" s="12" t="s">
        <v>1023</v>
      </c>
      <c r="C295" s="12" t="s">
        <v>925</v>
      </c>
      <c r="D295" s="12">
        <v>100</v>
      </c>
      <c r="E295" s="12" t="s">
        <v>928</v>
      </c>
      <c r="F295" s="12">
        <v>15</v>
      </c>
      <c r="G295" s="12" t="s">
        <v>139</v>
      </c>
      <c r="H295" s="25">
        <f>ROUND((F295/D295)*100, 2)</f>
      </c>
      <c r="I295" s="25">
        <f>ROUND((F295/D295)*250, 2)</f>
      </c>
      <c r="J295" s="25">
        <f>ROUND((F295/D295)*500, 2)</f>
      </c>
    </row>
    <row r="296" ht="20" customHeight="1" spans="1:10" x14ac:dyDescent="0.25">
      <c r="A296" s="14">
        <v>95</v>
      </c>
      <c r="B296" s="14" t="s">
        <v>1023</v>
      </c>
      <c r="C296" s="14" t="s">
        <v>925</v>
      </c>
      <c r="D296" s="14">
        <v>100</v>
      </c>
      <c r="E296" s="14" t="s">
        <v>926</v>
      </c>
      <c r="F296" s="14">
        <v>2</v>
      </c>
      <c r="G296" s="14" t="s">
        <v>139</v>
      </c>
      <c r="H296" s="27">
        <f>ROUND((F296/D296)*100, 2)</f>
      </c>
      <c r="I296" s="27">
        <f>ROUND((F296/D296)*250, 2)</f>
      </c>
      <c r="J296" s="27">
        <f>ROUND((F296/D296)*500, 2)</f>
      </c>
    </row>
    <row r="297" ht="20" customHeight="1" spans="1:10" x14ac:dyDescent="0.25">
      <c r="A297" s="12">
        <v>71</v>
      </c>
      <c r="B297" s="12" t="s">
        <v>1024</v>
      </c>
      <c r="C297" s="12" t="s">
        <v>913</v>
      </c>
      <c r="D297" s="12">
        <v>100</v>
      </c>
      <c r="E297" s="12" t="s">
        <v>914</v>
      </c>
      <c r="F297" s="12">
        <v>10</v>
      </c>
      <c r="G297" s="12" t="s">
        <v>139</v>
      </c>
      <c r="H297" s="25">
        <f>ROUND((F297/D297)*100, 2)</f>
      </c>
      <c r="I297" s="25">
        <f>ROUND((F297/D297)*250, 2)</f>
      </c>
      <c r="J297" s="25">
        <f>ROUND((F297/D297)*500, 2)</f>
      </c>
    </row>
    <row r="298" ht="20" customHeight="1" spans="1:10" x14ac:dyDescent="0.25">
      <c r="A298" s="14">
        <v>71</v>
      </c>
      <c r="B298" s="14" t="s">
        <v>1024</v>
      </c>
      <c r="C298" s="14" t="s">
        <v>913</v>
      </c>
      <c r="D298" s="14">
        <v>100</v>
      </c>
      <c r="E298" s="14" t="s">
        <v>915</v>
      </c>
      <c r="F298" s="14">
        <v>1.5</v>
      </c>
      <c r="G298" s="14" t="s">
        <v>139</v>
      </c>
      <c r="H298" s="27">
        <f>ROUND((F298/D298)*100, 2)</f>
      </c>
      <c r="I298" s="27">
        <f>ROUND((F298/D298)*250, 2)</f>
      </c>
      <c r="J298" s="27">
        <f>ROUND((F298/D298)*500, 2)</f>
      </c>
    </row>
    <row r="299" ht="20" customHeight="1" spans="1:10" x14ac:dyDescent="0.25">
      <c r="A299" s="12">
        <v>74</v>
      </c>
      <c r="B299" s="12" t="s">
        <v>1025</v>
      </c>
      <c r="C299" s="12" t="s">
        <v>913</v>
      </c>
      <c r="D299" s="12">
        <v>100</v>
      </c>
      <c r="E299" s="12" t="s">
        <v>914</v>
      </c>
      <c r="F299" s="12">
        <v>10</v>
      </c>
      <c r="G299" s="12" t="s">
        <v>139</v>
      </c>
      <c r="H299" s="25">
        <f>ROUND((F299/D299)*100, 2)</f>
      </c>
      <c r="I299" s="25">
        <f>ROUND((F299/D299)*250, 2)</f>
      </c>
      <c r="J299" s="25">
        <f>ROUND((F299/D299)*500, 2)</f>
      </c>
    </row>
    <row r="300" ht="20" customHeight="1" spans="1:10" x14ac:dyDescent="0.25">
      <c r="A300" s="14">
        <v>74</v>
      </c>
      <c r="B300" s="14" t="s">
        <v>1025</v>
      </c>
      <c r="C300" s="14" t="s">
        <v>913</v>
      </c>
      <c r="D300" s="14">
        <v>100</v>
      </c>
      <c r="E300" s="14" t="s">
        <v>915</v>
      </c>
      <c r="F300" s="14">
        <v>1.5</v>
      </c>
      <c r="G300" s="14" t="s">
        <v>139</v>
      </c>
      <c r="H300" s="27">
        <f>ROUND((F300/D300)*100, 2)</f>
      </c>
      <c r="I300" s="27">
        <f>ROUND((F300/D300)*250, 2)</f>
      </c>
      <c r="J300" s="27">
        <f>ROUND((F300/D300)*500, 2)</f>
      </c>
    </row>
    <row r="301" ht="20" customHeight="1" spans="1:10" x14ac:dyDescent="0.25">
      <c r="A301" s="12">
        <v>86</v>
      </c>
      <c r="B301" s="12" t="s">
        <v>1026</v>
      </c>
      <c r="C301" s="12" t="s">
        <v>925</v>
      </c>
      <c r="D301" s="12">
        <v>100</v>
      </c>
      <c r="E301" s="12" t="s">
        <v>900</v>
      </c>
      <c r="F301" s="12">
        <v>2</v>
      </c>
      <c r="G301" s="12" t="s">
        <v>305</v>
      </c>
      <c r="H301" s="25">
        <f>ROUND((F301/D301)*100, 2)</f>
      </c>
      <c r="I301" s="25">
        <f>ROUND((F301/D301)*250, 2)</f>
      </c>
      <c r="J301" s="25">
        <f>ROUND((F301/D301)*500, 2)</f>
      </c>
    </row>
    <row r="302" ht="20" customHeight="1" spans="1:10" x14ac:dyDescent="0.25">
      <c r="A302" s="14">
        <v>86</v>
      </c>
      <c r="B302" s="14" t="s">
        <v>1026</v>
      </c>
      <c r="C302" s="14" t="s">
        <v>925</v>
      </c>
      <c r="D302" s="14">
        <v>100</v>
      </c>
      <c r="E302" s="14" t="s">
        <v>928</v>
      </c>
      <c r="F302" s="14">
        <v>15</v>
      </c>
      <c r="G302" s="14" t="s">
        <v>139</v>
      </c>
      <c r="H302" s="27">
        <f>ROUND((F302/D302)*100, 2)</f>
      </c>
      <c r="I302" s="27">
        <f>ROUND((F302/D302)*250, 2)</f>
      </c>
      <c r="J302" s="27">
        <f>ROUND((F302/D302)*500, 2)</f>
      </c>
    </row>
    <row r="303" ht="20" customHeight="1" spans="1:10" x14ac:dyDescent="0.25">
      <c r="A303" s="12">
        <v>86</v>
      </c>
      <c r="B303" s="12" t="s">
        <v>1026</v>
      </c>
      <c r="C303" s="12" t="s">
        <v>925</v>
      </c>
      <c r="D303" s="12">
        <v>100</v>
      </c>
      <c r="E303" s="12" t="s">
        <v>926</v>
      </c>
      <c r="F303" s="12">
        <v>2</v>
      </c>
      <c r="G303" s="12" t="s">
        <v>139</v>
      </c>
      <c r="H303" s="25">
        <f>ROUND((F303/D303)*100, 2)</f>
      </c>
      <c r="I303" s="25">
        <f>ROUND((F303/D303)*250, 2)</f>
      </c>
      <c r="J303" s="25">
        <f>ROUND((F303/D303)*500, 2)</f>
      </c>
    </row>
    <row r="304" ht="20" customHeight="1" spans="1:10" x14ac:dyDescent="0.25">
      <c r="A304" s="14">
        <v>86</v>
      </c>
      <c r="B304" s="14" t="s">
        <v>1026</v>
      </c>
      <c r="C304" s="14" t="s">
        <v>925</v>
      </c>
      <c r="D304" s="14">
        <v>100</v>
      </c>
      <c r="E304" s="14" t="s">
        <v>927</v>
      </c>
      <c r="F304" s="14">
        <v>3</v>
      </c>
      <c r="G304" s="14" t="s">
        <v>305</v>
      </c>
      <c r="H304" s="27">
        <f>ROUND((F304/D304)*100, 2)</f>
      </c>
      <c r="I304" s="27">
        <f>ROUND((F304/D304)*250, 2)</f>
      </c>
      <c r="J304" s="27">
        <f>ROUND((F304/D304)*500, 2)</f>
      </c>
    </row>
    <row r="305" ht="20" customHeight="1" spans="1:10" x14ac:dyDescent="0.25">
      <c r="A305" s="12">
        <v>123</v>
      </c>
      <c r="B305" s="12" t="s">
        <v>1027</v>
      </c>
      <c r="C305" s="12" t="s">
        <v>944</v>
      </c>
      <c r="D305" s="12">
        <v>100</v>
      </c>
      <c r="E305" s="12" t="s">
        <v>900</v>
      </c>
      <c r="F305" s="12">
        <v>1.5</v>
      </c>
      <c r="G305" s="12" t="s">
        <v>305</v>
      </c>
      <c r="H305" s="25">
        <f>ROUND((F305/D305)*100, 2)</f>
      </c>
      <c r="I305" s="25">
        <f>ROUND((F305/D305)*250, 2)</f>
      </c>
      <c r="J305" s="25">
        <f>ROUND((F305/D305)*500, 2)</f>
      </c>
    </row>
    <row r="306" ht="20" customHeight="1" spans="1:10" x14ac:dyDescent="0.25">
      <c r="A306" s="14">
        <v>123</v>
      </c>
      <c r="B306" s="14" t="s">
        <v>1027</v>
      </c>
      <c r="C306" s="14" t="s">
        <v>944</v>
      </c>
      <c r="D306" s="14">
        <v>100</v>
      </c>
      <c r="E306" s="14" t="s">
        <v>945</v>
      </c>
      <c r="F306" s="14">
        <v>8</v>
      </c>
      <c r="G306" s="14" t="s">
        <v>139</v>
      </c>
      <c r="H306" s="27">
        <f>ROUND((F306/D306)*100, 2)</f>
      </c>
      <c r="I306" s="27">
        <f>ROUND((F306/D306)*250, 2)</f>
      </c>
      <c r="J306" s="27">
        <f>ROUND((F306/D306)*500, 2)</f>
      </c>
    </row>
    <row r="307" ht="20" customHeight="1" spans="1:10" x14ac:dyDescent="0.25">
      <c r="A307" s="12">
        <v>123</v>
      </c>
      <c r="B307" s="12" t="s">
        <v>1027</v>
      </c>
      <c r="C307" s="12" t="s">
        <v>944</v>
      </c>
      <c r="D307" s="12">
        <v>100</v>
      </c>
      <c r="E307" s="12" t="s">
        <v>927</v>
      </c>
      <c r="F307" s="12">
        <v>2</v>
      </c>
      <c r="G307" s="12" t="s">
        <v>305</v>
      </c>
      <c r="H307" s="25">
        <f>ROUND((F307/D307)*100, 2)</f>
      </c>
      <c r="I307" s="25">
        <f>ROUND((F307/D307)*250, 2)</f>
      </c>
      <c r="J307" s="25">
        <f>ROUND((F307/D307)*500, 2)</f>
      </c>
    </row>
    <row r="308" ht="20" customHeight="1" spans="1:10" x14ac:dyDescent="0.25">
      <c r="A308" s="14">
        <v>123</v>
      </c>
      <c r="B308" s="14" t="s">
        <v>1027</v>
      </c>
      <c r="C308" s="14" t="s">
        <v>944</v>
      </c>
      <c r="D308" s="14">
        <v>100</v>
      </c>
      <c r="E308" s="14" t="s">
        <v>946</v>
      </c>
      <c r="F308" s="14">
        <v>20</v>
      </c>
      <c r="G308" s="14" t="s">
        <v>139</v>
      </c>
      <c r="H308" s="27">
        <f>ROUND((F308/D308)*100, 2)</f>
      </c>
      <c r="I308" s="27">
        <f>ROUND((F308/D308)*250, 2)</f>
      </c>
      <c r="J308" s="27">
        <f>ROUND((F308/D308)*500, 2)</f>
      </c>
    </row>
    <row r="309" ht="20" customHeight="1" spans="1:10" x14ac:dyDescent="0.25">
      <c r="A309" s="12">
        <v>77</v>
      </c>
      <c r="B309" s="12" t="s">
        <v>1028</v>
      </c>
      <c r="C309" s="12" t="s">
        <v>925</v>
      </c>
      <c r="D309" s="12">
        <v>100</v>
      </c>
      <c r="E309" s="12" t="s">
        <v>928</v>
      </c>
      <c r="F309" s="12">
        <v>15</v>
      </c>
      <c r="G309" s="12" t="s">
        <v>139</v>
      </c>
      <c r="H309" s="25">
        <f>ROUND((F309/D309)*100, 2)</f>
      </c>
      <c r="I309" s="25">
        <f>ROUND((F309/D309)*250, 2)</f>
      </c>
      <c r="J309" s="25">
        <f>ROUND((F309/D309)*500, 2)</f>
      </c>
    </row>
    <row r="310" ht="20" customHeight="1" spans="1:10" x14ac:dyDescent="0.25">
      <c r="A310" s="14">
        <v>77</v>
      </c>
      <c r="B310" s="14" t="s">
        <v>1028</v>
      </c>
      <c r="C310" s="14" t="s">
        <v>925</v>
      </c>
      <c r="D310" s="14">
        <v>100</v>
      </c>
      <c r="E310" s="14" t="s">
        <v>926</v>
      </c>
      <c r="F310" s="14">
        <v>2</v>
      </c>
      <c r="G310" s="14" t="s">
        <v>139</v>
      </c>
      <c r="H310" s="27">
        <f>ROUND((F310/D310)*100, 2)</f>
      </c>
      <c r="I310" s="27">
        <f>ROUND((F310/D310)*250, 2)</f>
      </c>
      <c r="J310" s="27">
        <f>ROUND((F310/D310)*500, 2)</f>
      </c>
    </row>
    <row r="311" ht="20" customHeight="1" spans="1:10" x14ac:dyDescent="0.25">
      <c r="A311" s="12">
        <v>77</v>
      </c>
      <c r="B311" s="12" t="s">
        <v>1028</v>
      </c>
      <c r="C311" s="12" t="s">
        <v>925</v>
      </c>
      <c r="D311" s="12">
        <v>100</v>
      </c>
      <c r="E311" s="12" t="s">
        <v>927</v>
      </c>
      <c r="F311" s="12">
        <v>3</v>
      </c>
      <c r="G311" s="12" t="s">
        <v>305</v>
      </c>
      <c r="H311" s="25">
        <f>ROUND((F311/D311)*100, 2)</f>
      </c>
      <c r="I311" s="25">
        <f>ROUND((F311/D311)*250, 2)</f>
      </c>
      <c r="J311" s="25">
        <f>ROUND((F311/D311)*500, 2)</f>
      </c>
    </row>
    <row r="312" ht="20" customHeight="1" spans="1:10" x14ac:dyDescent="0.25">
      <c r="A312" s="14">
        <v>77</v>
      </c>
      <c r="B312" s="14" t="s">
        <v>1028</v>
      </c>
      <c r="C312" s="14" t="s">
        <v>925</v>
      </c>
      <c r="D312" s="14">
        <v>100</v>
      </c>
      <c r="E312" s="14" t="s">
        <v>900</v>
      </c>
      <c r="F312" s="14">
        <v>2</v>
      </c>
      <c r="G312" s="14" t="s">
        <v>305</v>
      </c>
      <c r="H312" s="27">
        <f>ROUND((F312/D312)*100, 2)</f>
      </c>
      <c r="I312" s="27">
        <f>ROUND((F312/D312)*250, 2)</f>
      </c>
      <c r="J312" s="27">
        <f>ROUND((F312/D312)*500, 2)</f>
      </c>
    </row>
    <row r="313" ht="20" customHeight="1" spans="1:10" x14ac:dyDescent="0.25">
      <c r="A313" s="12">
        <v>3</v>
      </c>
      <c r="B313" s="12" t="s">
        <v>1029</v>
      </c>
      <c r="C313" s="12" t="s">
        <v>897</v>
      </c>
      <c r="D313" s="12">
        <v>100</v>
      </c>
      <c r="E313" s="12" t="s">
        <v>898</v>
      </c>
      <c r="F313" s="12">
        <v>3</v>
      </c>
      <c r="G313" s="12" t="s">
        <v>139</v>
      </c>
      <c r="H313" s="25">
        <f>ROUND((F313/D313)*100, 2)</f>
      </c>
      <c r="I313" s="25">
        <f>ROUND((F313/D313)*250, 2)</f>
      </c>
      <c r="J313" s="25">
        <f>ROUND((F313/D313)*500, 2)</f>
      </c>
    </row>
    <row r="314" ht="20" customHeight="1" spans="1:10" x14ac:dyDescent="0.25">
      <c r="A314" s="14">
        <v>3</v>
      </c>
      <c r="B314" s="14" t="s">
        <v>1029</v>
      </c>
      <c r="C314" s="14" t="s">
        <v>897</v>
      </c>
      <c r="D314" s="14">
        <v>100</v>
      </c>
      <c r="E314" s="14" t="s">
        <v>900</v>
      </c>
      <c r="F314" s="14">
        <v>1</v>
      </c>
      <c r="G314" s="14" t="s">
        <v>305</v>
      </c>
      <c r="H314" s="27">
        <f>ROUND((F314/D314)*100, 2)</f>
      </c>
      <c r="I314" s="27">
        <f>ROUND((F314/D314)*250, 2)</f>
      </c>
      <c r="J314" s="27">
        <f>ROUND((F314/D314)*500, 2)</f>
      </c>
    </row>
    <row r="315" ht="20" customHeight="1" spans="1:10" x14ac:dyDescent="0.25">
      <c r="A315" s="12">
        <v>3</v>
      </c>
      <c r="B315" s="12" t="s">
        <v>1029</v>
      </c>
      <c r="C315" s="12" t="s">
        <v>897</v>
      </c>
      <c r="D315" s="12">
        <v>100</v>
      </c>
      <c r="E315" s="12" t="s">
        <v>899</v>
      </c>
      <c r="F315" s="12">
        <v>15</v>
      </c>
      <c r="G315" s="12" t="s">
        <v>139</v>
      </c>
      <c r="H315" s="25">
        <f>ROUND((F315/D315)*100, 2)</f>
      </c>
      <c r="I315" s="25">
        <f>ROUND((F315/D315)*250, 2)</f>
      </c>
      <c r="J315" s="25">
        <f>ROUND((F315/D315)*500, 2)</f>
      </c>
    </row>
    <row r="316" ht="20" customHeight="1" spans="1:10" x14ac:dyDescent="0.25">
      <c r="A316" s="14">
        <v>3</v>
      </c>
      <c r="B316" s="14" t="s">
        <v>1029</v>
      </c>
      <c r="C316" s="14" t="s">
        <v>897</v>
      </c>
      <c r="D316" s="14">
        <v>100</v>
      </c>
      <c r="E316" s="14" t="s">
        <v>901</v>
      </c>
      <c r="F316" s="14">
        <v>10</v>
      </c>
      <c r="G316" s="14" t="s">
        <v>305</v>
      </c>
      <c r="H316" s="27">
        <f>ROUND((F316/D316)*100, 2)</f>
      </c>
      <c r="I316" s="27">
        <f>ROUND((F316/D316)*250, 2)</f>
      </c>
      <c r="J316" s="27">
        <f>ROUND((F316/D316)*500, 2)</f>
      </c>
    </row>
    <row r="317" ht="20" customHeight="1" spans="1:10" x14ac:dyDescent="0.25">
      <c r="A317" s="12">
        <v>11</v>
      </c>
      <c r="B317" s="12" t="s">
        <v>1030</v>
      </c>
      <c r="C317" s="12" t="s">
        <v>897</v>
      </c>
      <c r="D317" s="12">
        <v>100</v>
      </c>
      <c r="E317" s="12" t="s">
        <v>900</v>
      </c>
      <c r="F317" s="12">
        <v>1</v>
      </c>
      <c r="G317" s="12" t="s">
        <v>305</v>
      </c>
      <c r="H317" s="25">
        <f>ROUND((F317/D317)*100, 2)</f>
      </c>
      <c r="I317" s="25">
        <f>ROUND((F317/D317)*250, 2)</f>
      </c>
      <c r="J317" s="25">
        <f>ROUND((F317/D317)*500, 2)</f>
      </c>
    </row>
    <row r="318" ht="20" customHeight="1" spans="1:10" x14ac:dyDescent="0.25">
      <c r="A318" s="14">
        <v>11</v>
      </c>
      <c r="B318" s="14" t="s">
        <v>1030</v>
      </c>
      <c r="C318" s="14" t="s">
        <v>897</v>
      </c>
      <c r="D318" s="14">
        <v>100</v>
      </c>
      <c r="E318" s="14" t="s">
        <v>899</v>
      </c>
      <c r="F318" s="14">
        <v>15</v>
      </c>
      <c r="G318" s="14" t="s">
        <v>139</v>
      </c>
      <c r="H318" s="27">
        <f>ROUND((F318/D318)*100, 2)</f>
      </c>
      <c r="I318" s="27">
        <f>ROUND((F318/D318)*250, 2)</f>
      </c>
      <c r="J318" s="27">
        <f>ROUND((F318/D318)*500, 2)</f>
      </c>
    </row>
    <row r="319" ht="20" customHeight="1" spans="1:10" x14ac:dyDescent="0.25">
      <c r="A319" s="12">
        <v>11</v>
      </c>
      <c r="B319" s="12" t="s">
        <v>1030</v>
      </c>
      <c r="C319" s="12" t="s">
        <v>897</v>
      </c>
      <c r="D319" s="12">
        <v>100</v>
      </c>
      <c r="E319" s="12" t="s">
        <v>898</v>
      </c>
      <c r="F319" s="12">
        <v>3</v>
      </c>
      <c r="G319" s="12" t="s">
        <v>139</v>
      </c>
      <c r="H319" s="25">
        <f>ROUND((F319/D319)*100, 2)</f>
      </c>
      <c r="I319" s="25">
        <f>ROUND((F319/D319)*250, 2)</f>
      </c>
      <c r="J319" s="25">
        <f>ROUND((F319/D319)*500, 2)</f>
      </c>
    </row>
    <row r="320" ht="20" customHeight="1" spans="1:10" x14ac:dyDescent="0.25">
      <c r="A320" s="14">
        <v>11</v>
      </c>
      <c r="B320" s="14" t="s">
        <v>1030</v>
      </c>
      <c r="C320" s="14" t="s">
        <v>897</v>
      </c>
      <c r="D320" s="14">
        <v>100</v>
      </c>
      <c r="E320" s="14" t="s">
        <v>901</v>
      </c>
      <c r="F320" s="14">
        <v>10</v>
      </c>
      <c r="G320" s="14" t="s">
        <v>305</v>
      </c>
      <c r="H320" s="27">
        <f>ROUND((F320/D320)*100, 2)</f>
      </c>
      <c r="I320" s="27">
        <f>ROUND((F320/D320)*250, 2)</f>
      </c>
      <c r="J320" s="27">
        <f>ROUND((F320/D320)*500, 2)</f>
      </c>
    </row>
    <row r="321" ht="20" customHeight="1" spans="1:10" x14ac:dyDescent="0.25">
      <c r="A321" s="12">
        <v>195</v>
      </c>
      <c r="B321" s="12" t="s">
        <v>1031</v>
      </c>
      <c r="C321" s="12" t="s">
        <v>987</v>
      </c>
      <c r="D321" s="12">
        <v>100</v>
      </c>
      <c r="E321" s="12" t="s">
        <v>988</v>
      </c>
      <c r="F321" s="12">
        <v>8</v>
      </c>
      <c r="G321" s="12" t="s">
        <v>139</v>
      </c>
      <c r="H321" s="25">
        <f>ROUND((F321/D321)*100, 2)</f>
      </c>
      <c r="I321" s="25">
        <f>ROUND((F321/D321)*250, 2)</f>
      </c>
      <c r="J321" s="25">
        <f>ROUND((F321/D321)*500, 2)</f>
      </c>
    </row>
    <row r="322" ht="20" customHeight="1" spans="1:10" x14ac:dyDescent="0.25">
      <c r="A322" s="14">
        <v>195</v>
      </c>
      <c r="B322" s="14" t="s">
        <v>1031</v>
      </c>
      <c r="C322" s="14" t="s">
        <v>987</v>
      </c>
      <c r="D322" s="14">
        <v>100</v>
      </c>
      <c r="E322" s="14" t="s">
        <v>899</v>
      </c>
      <c r="F322" s="14">
        <v>15</v>
      </c>
      <c r="G322" s="14" t="s">
        <v>139</v>
      </c>
      <c r="H322" s="27">
        <f>ROUND((F322/D322)*100, 2)</f>
      </c>
      <c r="I322" s="27">
        <f>ROUND((F322/D322)*250, 2)</f>
      </c>
      <c r="J322" s="27">
        <f>ROUND((F322/D322)*500, 2)</f>
      </c>
    </row>
    <row r="323" ht="20" customHeight="1" spans="1:10" x14ac:dyDescent="0.25">
      <c r="A323" s="12">
        <v>22</v>
      </c>
      <c r="B323" s="12" t="s">
        <v>1032</v>
      </c>
      <c r="C323" s="12" t="s">
        <v>897</v>
      </c>
      <c r="D323" s="12">
        <v>100</v>
      </c>
      <c r="E323" s="12" t="s">
        <v>899</v>
      </c>
      <c r="F323" s="12">
        <v>15</v>
      </c>
      <c r="G323" s="12" t="s">
        <v>139</v>
      </c>
      <c r="H323" s="25">
        <f>ROUND((F323/D323)*100, 2)</f>
      </c>
      <c r="I323" s="25">
        <f>ROUND((F323/D323)*250, 2)</f>
      </c>
      <c r="J323" s="25">
        <f>ROUND((F323/D323)*500, 2)</f>
      </c>
    </row>
    <row r="324" ht="20" customHeight="1" spans="1:10" x14ac:dyDescent="0.25">
      <c r="A324" s="14">
        <v>22</v>
      </c>
      <c r="B324" s="14" t="s">
        <v>1032</v>
      </c>
      <c r="C324" s="14" t="s">
        <v>897</v>
      </c>
      <c r="D324" s="14">
        <v>100</v>
      </c>
      <c r="E324" s="14" t="s">
        <v>900</v>
      </c>
      <c r="F324" s="14">
        <v>1</v>
      </c>
      <c r="G324" s="14" t="s">
        <v>305</v>
      </c>
      <c r="H324" s="27">
        <f>ROUND((F324/D324)*100, 2)</f>
      </c>
      <c r="I324" s="27">
        <f>ROUND((F324/D324)*250, 2)</f>
      </c>
      <c r="J324" s="27">
        <f>ROUND((F324/D324)*500, 2)</f>
      </c>
    </row>
    <row r="325" ht="20" customHeight="1" spans="1:10" x14ac:dyDescent="0.25">
      <c r="A325" s="12">
        <v>22</v>
      </c>
      <c r="B325" s="12" t="s">
        <v>1032</v>
      </c>
      <c r="C325" s="12" t="s">
        <v>897</v>
      </c>
      <c r="D325" s="12">
        <v>100</v>
      </c>
      <c r="E325" s="12" t="s">
        <v>901</v>
      </c>
      <c r="F325" s="12">
        <v>10</v>
      </c>
      <c r="G325" s="12" t="s">
        <v>305</v>
      </c>
      <c r="H325" s="25">
        <f>ROUND((F325/D325)*100, 2)</f>
      </c>
      <c r="I325" s="25">
        <f>ROUND((F325/D325)*250, 2)</f>
      </c>
      <c r="J325" s="25">
        <f>ROUND((F325/D325)*500, 2)</f>
      </c>
    </row>
    <row r="326" ht="20" customHeight="1" spans="1:10" x14ac:dyDescent="0.25">
      <c r="A326" s="14">
        <v>22</v>
      </c>
      <c r="B326" s="14" t="s">
        <v>1032</v>
      </c>
      <c r="C326" s="14" t="s">
        <v>897</v>
      </c>
      <c r="D326" s="14">
        <v>100</v>
      </c>
      <c r="E326" s="14" t="s">
        <v>898</v>
      </c>
      <c r="F326" s="14">
        <v>3</v>
      </c>
      <c r="G326" s="14" t="s">
        <v>139</v>
      </c>
      <c r="H326" s="27">
        <f>ROUND((F326/D326)*100, 2)</f>
      </c>
      <c r="I326" s="27">
        <f>ROUND((F326/D326)*250, 2)</f>
      </c>
      <c r="J326" s="27">
        <f>ROUND((F326/D326)*500, 2)</f>
      </c>
    </row>
    <row r="327" ht="20" customHeight="1" spans="1:10" x14ac:dyDescent="0.25">
      <c r="A327" s="12">
        <v>187</v>
      </c>
      <c r="B327" s="12" t="s">
        <v>1033</v>
      </c>
      <c r="C327" s="12" t="s">
        <v>987</v>
      </c>
      <c r="D327" s="12">
        <v>100</v>
      </c>
      <c r="E327" s="12" t="s">
        <v>988</v>
      </c>
      <c r="F327" s="12">
        <v>8</v>
      </c>
      <c r="G327" s="12" t="s">
        <v>139</v>
      </c>
      <c r="H327" s="25">
        <f>ROUND((F327/D327)*100, 2)</f>
      </c>
      <c r="I327" s="25">
        <f>ROUND((F327/D327)*250, 2)</f>
      </c>
      <c r="J327" s="25">
        <f>ROUND((F327/D327)*500, 2)</f>
      </c>
    </row>
    <row r="328" ht="20" customHeight="1" spans="1:10" x14ac:dyDescent="0.25">
      <c r="A328" s="14">
        <v>187</v>
      </c>
      <c r="B328" s="14" t="s">
        <v>1033</v>
      </c>
      <c r="C328" s="14" t="s">
        <v>987</v>
      </c>
      <c r="D328" s="14">
        <v>100</v>
      </c>
      <c r="E328" s="14" t="s">
        <v>899</v>
      </c>
      <c r="F328" s="14">
        <v>15</v>
      </c>
      <c r="G328" s="14" t="s">
        <v>139</v>
      </c>
      <c r="H328" s="27">
        <f>ROUND((F328/D328)*100, 2)</f>
      </c>
      <c r="I328" s="27">
        <f>ROUND((F328/D328)*250, 2)</f>
      </c>
      <c r="J328" s="27">
        <f>ROUND((F328/D328)*500, 2)</f>
      </c>
    </row>
    <row r="329" ht="20" customHeight="1" spans="1:10" x14ac:dyDescent="0.25">
      <c r="A329" s="12">
        <v>25</v>
      </c>
      <c r="B329" s="12" t="s">
        <v>1034</v>
      </c>
      <c r="C329" s="12" t="s">
        <v>897</v>
      </c>
      <c r="D329" s="12">
        <v>100</v>
      </c>
      <c r="E329" s="12" t="s">
        <v>899</v>
      </c>
      <c r="F329" s="12">
        <v>15</v>
      </c>
      <c r="G329" s="12" t="s">
        <v>139</v>
      </c>
      <c r="H329" s="25">
        <f>ROUND((F329/D329)*100, 2)</f>
      </c>
      <c r="I329" s="25">
        <f>ROUND((F329/D329)*250, 2)</f>
      </c>
      <c r="J329" s="25">
        <f>ROUND((F329/D329)*500, 2)</f>
      </c>
    </row>
    <row r="330" ht="20" customHeight="1" spans="1:10" x14ac:dyDescent="0.25">
      <c r="A330" s="14">
        <v>25</v>
      </c>
      <c r="B330" s="14" t="s">
        <v>1034</v>
      </c>
      <c r="C330" s="14" t="s">
        <v>897</v>
      </c>
      <c r="D330" s="14">
        <v>100</v>
      </c>
      <c r="E330" s="14" t="s">
        <v>900</v>
      </c>
      <c r="F330" s="14">
        <v>1</v>
      </c>
      <c r="G330" s="14" t="s">
        <v>305</v>
      </c>
      <c r="H330" s="27">
        <f>ROUND((F330/D330)*100, 2)</f>
      </c>
      <c r="I330" s="27">
        <f>ROUND((F330/D330)*250, 2)</f>
      </c>
      <c r="J330" s="27">
        <f>ROUND((F330/D330)*500, 2)</f>
      </c>
    </row>
    <row r="331" ht="20" customHeight="1" spans="1:10" x14ac:dyDescent="0.25">
      <c r="A331" s="12">
        <v>25</v>
      </c>
      <c r="B331" s="12" t="s">
        <v>1034</v>
      </c>
      <c r="C331" s="12" t="s">
        <v>897</v>
      </c>
      <c r="D331" s="12">
        <v>100</v>
      </c>
      <c r="E331" s="12" t="s">
        <v>901</v>
      </c>
      <c r="F331" s="12">
        <v>10</v>
      </c>
      <c r="G331" s="12" t="s">
        <v>305</v>
      </c>
      <c r="H331" s="25">
        <f>ROUND((F331/D331)*100, 2)</f>
      </c>
      <c r="I331" s="25">
        <f>ROUND((F331/D331)*250, 2)</f>
      </c>
      <c r="J331" s="25">
        <f>ROUND((F331/D331)*500, 2)</f>
      </c>
    </row>
    <row r="332" ht="20" customHeight="1" spans="1:10" x14ac:dyDescent="0.25">
      <c r="A332" s="14">
        <v>25</v>
      </c>
      <c r="B332" s="14" t="s">
        <v>1034</v>
      </c>
      <c r="C332" s="14" t="s">
        <v>897</v>
      </c>
      <c r="D332" s="14">
        <v>100</v>
      </c>
      <c r="E332" s="14" t="s">
        <v>898</v>
      </c>
      <c r="F332" s="14">
        <v>3</v>
      </c>
      <c r="G332" s="14" t="s">
        <v>139</v>
      </c>
      <c r="H332" s="27">
        <f>ROUND((F332/D332)*100, 2)</f>
      </c>
      <c r="I332" s="27">
        <f>ROUND((F332/D332)*250, 2)</f>
      </c>
      <c r="J332" s="27">
        <f>ROUND((F332/D332)*500, 2)</f>
      </c>
    </row>
    <row r="333" ht="20" customHeight="1" spans="1:10" x14ac:dyDescent="0.25">
      <c r="A333" s="12">
        <v>26</v>
      </c>
      <c r="B333" s="12" t="s">
        <v>1035</v>
      </c>
      <c r="C333" s="12" t="s">
        <v>897</v>
      </c>
      <c r="D333" s="12">
        <v>100</v>
      </c>
      <c r="E333" s="12" t="s">
        <v>900</v>
      </c>
      <c r="F333" s="12">
        <v>1</v>
      </c>
      <c r="G333" s="12" t="s">
        <v>305</v>
      </c>
      <c r="H333" s="25">
        <f>ROUND((F333/D333)*100, 2)</f>
      </c>
      <c r="I333" s="25">
        <f>ROUND((F333/D333)*250, 2)</f>
      </c>
      <c r="J333" s="25">
        <f>ROUND((F333/D333)*500, 2)</f>
      </c>
    </row>
    <row r="334" ht="20" customHeight="1" spans="1:10" x14ac:dyDescent="0.25">
      <c r="A334" s="14">
        <v>26</v>
      </c>
      <c r="B334" s="14" t="s">
        <v>1035</v>
      </c>
      <c r="C334" s="14" t="s">
        <v>897</v>
      </c>
      <c r="D334" s="14">
        <v>100</v>
      </c>
      <c r="E334" s="14" t="s">
        <v>898</v>
      </c>
      <c r="F334" s="14">
        <v>3</v>
      </c>
      <c r="G334" s="14" t="s">
        <v>139</v>
      </c>
      <c r="H334" s="27">
        <f>ROUND((F334/D334)*100, 2)</f>
      </c>
      <c r="I334" s="27">
        <f>ROUND((F334/D334)*250, 2)</f>
      </c>
      <c r="J334" s="27">
        <f>ROUND((F334/D334)*500, 2)</f>
      </c>
    </row>
    <row r="335" ht="20" customHeight="1" spans="1:10" x14ac:dyDescent="0.25">
      <c r="A335" s="12">
        <v>26</v>
      </c>
      <c r="B335" s="12" t="s">
        <v>1035</v>
      </c>
      <c r="C335" s="12" t="s">
        <v>897</v>
      </c>
      <c r="D335" s="12">
        <v>100</v>
      </c>
      <c r="E335" s="12" t="s">
        <v>901</v>
      </c>
      <c r="F335" s="12">
        <v>10</v>
      </c>
      <c r="G335" s="12" t="s">
        <v>305</v>
      </c>
      <c r="H335" s="25">
        <f>ROUND((F335/D335)*100, 2)</f>
      </c>
      <c r="I335" s="25">
        <f>ROUND((F335/D335)*250, 2)</f>
      </c>
      <c r="J335" s="25">
        <f>ROUND((F335/D335)*500, 2)</f>
      </c>
    </row>
    <row r="336" ht="20" customHeight="1" spans="1:10" x14ac:dyDescent="0.25">
      <c r="A336" s="14">
        <v>26</v>
      </c>
      <c r="B336" s="14" t="s">
        <v>1035</v>
      </c>
      <c r="C336" s="14" t="s">
        <v>897</v>
      </c>
      <c r="D336" s="14">
        <v>100</v>
      </c>
      <c r="E336" s="14" t="s">
        <v>899</v>
      </c>
      <c r="F336" s="14">
        <v>15</v>
      </c>
      <c r="G336" s="14" t="s">
        <v>139</v>
      </c>
      <c r="H336" s="27">
        <f>ROUND((F336/D336)*100, 2)</f>
      </c>
      <c r="I336" s="27">
        <f>ROUND((F336/D336)*250, 2)</f>
      </c>
      <c r="J336" s="27">
        <f>ROUND((F336/D336)*500, 2)</f>
      </c>
    </row>
    <row r="337" ht="20" customHeight="1" spans="1:10" x14ac:dyDescent="0.25">
      <c r="A337" s="12">
        <v>216</v>
      </c>
      <c r="B337" s="12" t="s">
        <v>1036</v>
      </c>
      <c r="C337" s="12" t="s">
        <v>940</v>
      </c>
      <c r="D337" s="12">
        <v>100</v>
      </c>
      <c r="E337" s="12" t="s">
        <v>134</v>
      </c>
      <c r="F337" s="12">
        <v>2</v>
      </c>
      <c r="G337" s="12" t="s">
        <v>305</v>
      </c>
      <c r="H337" s="25">
        <f>ROUND((F337/D337)*100, 2)</f>
      </c>
      <c r="I337" s="25">
        <f>ROUND((F337/D337)*250, 2)</f>
      </c>
      <c r="J337" s="25">
        <f>ROUND((F337/D337)*500, 2)</f>
      </c>
    </row>
    <row r="338" ht="20" customHeight="1" spans="1:10" x14ac:dyDescent="0.25">
      <c r="A338" s="14">
        <v>216</v>
      </c>
      <c r="B338" s="14" t="s">
        <v>1036</v>
      </c>
      <c r="C338" s="14" t="s">
        <v>940</v>
      </c>
      <c r="D338" s="14">
        <v>100</v>
      </c>
      <c r="E338" s="14" t="s">
        <v>942</v>
      </c>
      <c r="F338" s="14">
        <v>20</v>
      </c>
      <c r="G338" s="14" t="s">
        <v>305</v>
      </c>
      <c r="H338" s="27">
        <f>ROUND((F338/D338)*100, 2)</f>
      </c>
      <c r="I338" s="27">
        <f>ROUND((F338/D338)*250, 2)</f>
      </c>
      <c r="J338" s="27">
        <f>ROUND((F338/D338)*500, 2)</f>
      </c>
    </row>
    <row r="339" ht="20" customHeight="1" spans="1:10" x14ac:dyDescent="0.25">
      <c r="A339" s="12">
        <v>216</v>
      </c>
      <c r="B339" s="12" t="s">
        <v>1036</v>
      </c>
      <c r="C339" s="12" t="s">
        <v>940</v>
      </c>
      <c r="D339" s="12">
        <v>100</v>
      </c>
      <c r="E339" s="12" t="s">
        <v>941</v>
      </c>
      <c r="F339" s="12">
        <v>0.5</v>
      </c>
      <c r="G339" s="12" t="s">
        <v>139</v>
      </c>
      <c r="H339" s="25">
        <f>ROUND((F339/D339)*100, 2)</f>
      </c>
      <c r="I339" s="25">
        <f>ROUND((F339/D339)*250, 2)</f>
      </c>
      <c r="J339" s="25">
        <f>ROUND((F339/D339)*500, 2)</f>
      </c>
    </row>
    <row r="340" ht="20" customHeight="1" spans="1:10" x14ac:dyDescent="0.25">
      <c r="A340" s="14">
        <v>125</v>
      </c>
      <c r="B340" s="14" t="s">
        <v>1037</v>
      </c>
      <c r="C340" s="14" t="s">
        <v>944</v>
      </c>
      <c r="D340" s="14">
        <v>100</v>
      </c>
      <c r="E340" s="14" t="s">
        <v>945</v>
      </c>
      <c r="F340" s="14">
        <v>8</v>
      </c>
      <c r="G340" s="14" t="s">
        <v>139</v>
      </c>
      <c r="H340" s="27">
        <f>ROUND((F340/D340)*100, 2)</f>
      </c>
      <c r="I340" s="27">
        <f>ROUND((F340/D340)*250, 2)</f>
      </c>
      <c r="J340" s="27">
        <f>ROUND((F340/D340)*500, 2)</f>
      </c>
    </row>
    <row r="341" ht="20" customHeight="1" spans="1:10" x14ac:dyDescent="0.25">
      <c r="A341" s="12">
        <v>125</v>
      </c>
      <c r="B341" s="12" t="s">
        <v>1037</v>
      </c>
      <c r="C341" s="12" t="s">
        <v>944</v>
      </c>
      <c r="D341" s="12">
        <v>100</v>
      </c>
      <c r="E341" s="12" t="s">
        <v>927</v>
      </c>
      <c r="F341" s="12">
        <v>2</v>
      </c>
      <c r="G341" s="12" t="s">
        <v>305</v>
      </c>
      <c r="H341" s="25">
        <f>ROUND((F341/D341)*100, 2)</f>
      </c>
      <c r="I341" s="25">
        <f>ROUND((F341/D341)*250, 2)</f>
      </c>
      <c r="J341" s="25">
        <f>ROUND((F341/D341)*500, 2)</f>
      </c>
    </row>
    <row r="342" ht="20" customHeight="1" spans="1:10" x14ac:dyDescent="0.25">
      <c r="A342" s="14">
        <v>125</v>
      </c>
      <c r="B342" s="14" t="s">
        <v>1037</v>
      </c>
      <c r="C342" s="14" t="s">
        <v>944</v>
      </c>
      <c r="D342" s="14">
        <v>100</v>
      </c>
      <c r="E342" s="14" t="s">
        <v>946</v>
      </c>
      <c r="F342" s="14">
        <v>20</v>
      </c>
      <c r="G342" s="14" t="s">
        <v>139</v>
      </c>
      <c r="H342" s="27">
        <f>ROUND((F342/D342)*100, 2)</f>
      </c>
      <c r="I342" s="27">
        <f>ROUND((F342/D342)*250, 2)</f>
      </c>
      <c r="J342" s="27">
        <f>ROUND((F342/D342)*500, 2)</f>
      </c>
    </row>
    <row r="343" ht="20" customHeight="1" spans="1:10" x14ac:dyDescent="0.25">
      <c r="A343" s="12">
        <v>125</v>
      </c>
      <c r="B343" s="12" t="s">
        <v>1037</v>
      </c>
      <c r="C343" s="12" t="s">
        <v>944</v>
      </c>
      <c r="D343" s="12">
        <v>100</v>
      </c>
      <c r="E343" s="12" t="s">
        <v>900</v>
      </c>
      <c r="F343" s="12">
        <v>1.5</v>
      </c>
      <c r="G343" s="12" t="s">
        <v>305</v>
      </c>
      <c r="H343" s="25">
        <f>ROUND((F343/D343)*100, 2)</f>
      </c>
      <c r="I343" s="25">
        <f>ROUND((F343/D343)*250, 2)</f>
      </c>
      <c r="J343" s="25">
        <f>ROUND((F343/D343)*500, 2)</f>
      </c>
    </row>
    <row r="344" ht="20" customHeight="1" spans="1:10" x14ac:dyDescent="0.25">
      <c r="A344" s="14">
        <v>207</v>
      </c>
      <c r="B344" s="14" t="s">
        <v>1038</v>
      </c>
      <c r="C344" s="14" t="s">
        <v>937</v>
      </c>
      <c r="D344" s="14">
        <v>100</v>
      </c>
      <c r="E344" s="14" t="s">
        <v>938</v>
      </c>
      <c r="F344" s="14">
        <v>3</v>
      </c>
      <c r="G344" s="14" t="s">
        <v>139</v>
      </c>
      <c r="H344" s="27">
        <f>ROUND((F344/D344)*100, 2)</f>
      </c>
      <c r="I344" s="27">
        <f>ROUND((F344/D344)*250, 2)</f>
      </c>
      <c r="J344" s="27">
        <f>ROUND((F344/D344)*500, 2)</f>
      </c>
    </row>
    <row r="345" ht="20" customHeight="1" spans="1:10" x14ac:dyDescent="0.25">
      <c r="A345" s="12">
        <v>207</v>
      </c>
      <c r="B345" s="12" t="s">
        <v>1038</v>
      </c>
      <c r="C345" s="12" t="s">
        <v>937</v>
      </c>
      <c r="D345" s="12">
        <v>100</v>
      </c>
      <c r="E345" s="12" t="s">
        <v>540</v>
      </c>
      <c r="F345" s="12">
        <v>20</v>
      </c>
      <c r="G345" s="12" t="s">
        <v>305</v>
      </c>
      <c r="H345" s="25">
        <f>ROUND((F345/D345)*100, 2)</f>
      </c>
      <c r="I345" s="25">
        <f>ROUND((F345/D345)*250, 2)</f>
      </c>
      <c r="J345" s="25">
        <f>ROUND((F345/D345)*500, 2)</f>
      </c>
    </row>
    <row r="346" ht="20" customHeight="1" spans="1:10" x14ac:dyDescent="0.25">
      <c r="A346" s="14">
        <v>207</v>
      </c>
      <c r="B346" s="14" t="s">
        <v>1038</v>
      </c>
      <c r="C346" s="14" t="s">
        <v>937</v>
      </c>
      <c r="D346" s="14">
        <v>100</v>
      </c>
      <c r="E346" s="14" t="s">
        <v>245</v>
      </c>
      <c r="F346" s="14">
        <v>6</v>
      </c>
      <c r="G346" s="14" t="s">
        <v>139</v>
      </c>
      <c r="H346" s="27">
        <f>ROUND((F346/D346)*100, 2)</f>
      </c>
      <c r="I346" s="27">
        <f>ROUND((F346/D346)*250, 2)</f>
      </c>
      <c r="J346" s="27">
        <f>ROUND((F346/D346)*500, 2)</f>
      </c>
    </row>
    <row r="347" ht="20" customHeight="1" spans="1:10" x14ac:dyDescent="0.25">
      <c r="A347" s="12">
        <v>99</v>
      </c>
      <c r="B347" s="12" t="s">
        <v>1039</v>
      </c>
      <c r="C347" s="12" t="s">
        <v>925</v>
      </c>
      <c r="D347" s="12">
        <v>100</v>
      </c>
      <c r="E347" s="12" t="s">
        <v>926</v>
      </c>
      <c r="F347" s="12">
        <v>2</v>
      </c>
      <c r="G347" s="12" t="s">
        <v>139</v>
      </c>
      <c r="H347" s="25">
        <f>ROUND((F347/D347)*100, 2)</f>
      </c>
      <c r="I347" s="25">
        <f>ROUND((F347/D347)*250, 2)</f>
      </c>
      <c r="J347" s="25">
        <f>ROUND((F347/D347)*500, 2)</f>
      </c>
    </row>
    <row r="348" ht="20" customHeight="1" spans="1:10" x14ac:dyDescent="0.25">
      <c r="A348" s="14">
        <v>99</v>
      </c>
      <c r="B348" s="14" t="s">
        <v>1039</v>
      </c>
      <c r="C348" s="14" t="s">
        <v>925</v>
      </c>
      <c r="D348" s="14">
        <v>100</v>
      </c>
      <c r="E348" s="14" t="s">
        <v>928</v>
      </c>
      <c r="F348" s="14">
        <v>15</v>
      </c>
      <c r="G348" s="14" t="s">
        <v>139</v>
      </c>
      <c r="H348" s="27">
        <f>ROUND((F348/D348)*100, 2)</f>
      </c>
      <c r="I348" s="27">
        <f>ROUND((F348/D348)*250, 2)</f>
      </c>
      <c r="J348" s="27">
        <f>ROUND((F348/D348)*500, 2)</f>
      </c>
    </row>
    <row r="349" ht="20" customHeight="1" spans="1:10" x14ac:dyDescent="0.25">
      <c r="A349" s="12">
        <v>99</v>
      </c>
      <c r="B349" s="12" t="s">
        <v>1039</v>
      </c>
      <c r="C349" s="12" t="s">
        <v>925</v>
      </c>
      <c r="D349" s="12">
        <v>100</v>
      </c>
      <c r="E349" s="12" t="s">
        <v>927</v>
      </c>
      <c r="F349" s="12">
        <v>3</v>
      </c>
      <c r="G349" s="12" t="s">
        <v>305</v>
      </c>
      <c r="H349" s="25">
        <f>ROUND((F349/D349)*100, 2)</f>
      </c>
      <c r="I349" s="25">
        <f>ROUND((F349/D349)*250, 2)</f>
      </c>
      <c r="J349" s="25">
        <f>ROUND((F349/D349)*500, 2)</f>
      </c>
    </row>
    <row r="350" ht="20" customHeight="1" spans="1:10" x14ac:dyDescent="0.25">
      <c r="A350" s="14">
        <v>99</v>
      </c>
      <c r="B350" s="14" t="s">
        <v>1039</v>
      </c>
      <c r="C350" s="14" t="s">
        <v>925</v>
      </c>
      <c r="D350" s="14">
        <v>100</v>
      </c>
      <c r="E350" s="14" t="s">
        <v>900</v>
      </c>
      <c r="F350" s="14">
        <v>2</v>
      </c>
      <c r="G350" s="14" t="s">
        <v>305</v>
      </c>
      <c r="H350" s="27">
        <f>ROUND((F350/D350)*100, 2)</f>
      </c>
      <c r="I350" s="27">
        <f>ROUND((F350/D350)*250, 2)</f>
      </c>
      <c r="J350" s="27">
        <f>ROUND((F350/D350)*500, 2)</f>
      </c>
    </row>
    <row r="351" ht="20" customHeight="1" spans="1:10" x14ac:dyDescent="0.25">
      <c r="A351" s="12">
        <v>130</v>
      </c>
      <c r="B351" s="12" t="s">
        <v>1040</v>
      </c>
      <c r="C351" s="12" t="s">
        <v>964</v>
      </c>
      <c r="D351" s="12">
        <v>100</v>
      </c>
      <c r="E351" s="12" t="s">
        <v>965</v>
      </c>
      <c r="F351" s="12">
        <v>20</v>
      </c>
      <c r="G351" s="12" t="s">
        <v>305</v>
      </c>
      <c r="H351" s="25">
        <f>ROUND((F351/D351)*100, 2)</f>
      </c>
      <c r="I351" s="25">
        <f>ROUND((F351/D351)*250, 2)</f>
      </c>
      <c r="J351" s="25">
        <f>ROUND((F351/D351)*500, 2)</f>
      </c>
    </row>
    <row r="352" ht="20" customHeight="1" spans="1:10" x14ac:dyDescent="0.25">
      <c r="A352" s="14">
        <v>130</v>
      </c>
      <c r="B352" s="14" t="s">
        <v>1040</v>
      </c>
      <c r="C352" s="14" t="s">
        <v>964</v>
      </c>
      <c r="D352" s="14">
        <v>100</v>
      </c>
      <c r="E352" s="14" t="s">
        <v>945</v>
      </c>
      <c r="F352" s="14">
        <v>5</v>
      </c>
      <c r="G352" s="14" t="s">
        <v>139</v>
      </c>
      <c r="H352" s="27">
        <f>ROUND((F352/D352)*100, 2)</f>
      </c>
      <c r="I352" s="27">
        <f>ROUND((F352/D352)*250, 2)</f>
      </c>
      <c r="J352" s="27">
        <f>ROUND((F352/D352)*500, 2)</f>
      </c>
    </row>
    <row r="353" ht="20" customHeight="1" spans="1:10" x14ac:dyDescent="0.25">
      <c r="A353" s="12">
        <v>130</v>
      </c>
      <c r="B353" s="12" t="s">
        <v>1040</v>
      </c>
      <c r="C353" s="12" t="s">
        <v>964</v>
      </c>
      <c r="D353" s="12">
        <v>100</v>
      </c>
      <c r="E353" s="12" t="s">
        <v>926</v>
      </c>
      <c r="F353" s="12">
        <v>0.5</v>
      </c>
      <c r="G353" s="12" t="s">
        <v>139</v>
      </c>
      <c r="H353" s="25">
        <f>ROUND((F353/D353)*100, 2)</f>
      </c>
      <c r="I353" s="25">
        <f>ROUND((F353/D353)*250, 2)</f>
      </c>
      <c r="J353" s="25">
        <f>ROUND((F353/D353)*500, 2)</f>
      </c>
    </row>
    <row r="354" ht="20" customHeight="1" spans="1:10" x14ac:dyDescent="0.25">
      <c r="A354" s="14">
        <v>2</v>
      </c>
      <c r="B354" s="14" t="s">
        <v>1041</v>
      </c>
      <c r="C354" s="14" t="s">
        <v>897</v>
      </c>
      <c r="D354" s="14">
        <v>100</v>
      </c>
      <c r="E354" s="14" t="s">
        <v>898</v>
      </c>
      <c r="F354" s="14">
        <v>3</v>
      </c>
      <c r="G354" s="14" t="s">
        <v>139</v>
      </c>
      <c r="H354" s="27">
        <f>ROUND((F354/D354)*100, 2)</f>
      </c>
      <c r="I354" s="27">
        <f>ROUND((F354/D354)*250, 2)</f>
      </c>
      <c r="J354" s="27">
        <f>ROUND((F354/D354)*500, 2)</f>
      </c>
    </row>
    <row r="355" ht="20" customHeight="1" spans="1:10" x14ac:dyDescent="0.25">
      <c r="A355" s="12">
        <v>2</v>
      </c>
      <c r="B355" s="12" t="s">
        <v>1041</v>
      </c>
      <c r="C355" s="12" t="s">
        <v>897</v>
      </c>
      <c r="D355" s="12">
        <v>100</v>
      </c>
      <c r="E355" s="12" t="s">
        <v>900</v>
      </c>
      <c r="F355" s="12">
        <v>1</v>
      </c>
      <c r="G355" s="12" t="s">
        <v>305</v>
      </c>
      <c r="H355" s="25">
        <f>ROUND((F355/D355)*100, 2)</f>
      </c>
      <c r="I355" s="25">
        <f>ROUND((F355/D355)*250, 2)</f>
      </c>
      <c r="J355" s="25">
        <f>ROUND((F355/D355)*500, 2)</f>
      </c>
    </row>
    <row r="356" ht="20" customHeight="1" spans="1:10" x14ac:dyDescent="0.25">
      <c r="A356" s="14">
        <v>2</v>
      </c>
      <c r="B356" s="14" t="s">
        <v>1041</v>
      </c>
      <c r="C356" s="14" t="s">
        <v>897</v>
      </c>
      <c r="D356" s="14">
        <v>100</v>
      </c>
      <c r="E356" s="14" t="s">
        <v>899</v>
      </c>
      <c r="F356" s="14">
        <v>15</v>
      </c>
      <c r="G356" s="14" t="s">
        <v>139</v>
      </c>
      <c r="H356" s="27">
        <f>ROUND((F356/D356)*100, 2)</f>
      </c>
      <c r="I356" s="27">
        <f>ROUND((F356/D356)*250, 2)</f>
      </c>
      <c r="J356" s="27">
        <f>ROUND((F356/D356)*500, 2)</f>
      </c>
    </row>
    <row r="357" ht="20" customHeight="1" spans="1:10" x14ac:dyDescent="0.25">
      <c r="A357" s="12">
        <v>2</v>
      </c>
      <c r="B357" s="12" t="s">
        <v>1041</v>
      </c>
      <c r="C357" s="12" t="s">
        <v>897</v>
      </c>
      <c r="D357" s="12">
        <v>100</v>
      </c>
      <c r="E357" s="12" t="s">
        <v>901</v>
      </c>
      <c r="F357" s="12">
        <v>10</v>
      </c>
      <c r="G357" s="12" t="s">
        <v>305</v>
      </c>
      <c r="H357" s="25">
        <f>ROUND((F357/D357)*100, 2)</f>
      </c>
      <c r="I357" s="25">
        <f>ROUND((F357/D357)*250, 2)</f>
      </c>
      <c r="J357" s="25">
        <f>ROUND((F357/D357)*500, 2)</f>
      </c>
    </row>
    <row r="358" ht="20" customHeight="1" spans="1:10" x14ac:dyDescent="0.25">
      <c r="A358" s="14">
        <v>4</v>
      </c>
      <c r="B358" s="14" t="s">
        <v>1042</v>
      </c>
      <c r="C358" s="14" t="s">
        <v>897</v>
      </c>
      <c r="D358" s="14">
        <v>100</v>
      </c>
      <c r="E358" s="14" t="s">
        <v>898</v>
      </c>
      <c r="F358" s="14">
        <v>3</v>
      </c>
      <c r="G358" s="14" t="s">
        <v>139</v>
      </c>
      <c r="H358" s="27">
        <f>ROUND((F358/D358)*100, 2)</f>
      </c>
      <c r="I358" s="27">
        <f>ROUND((F358/D358)*250, 2)</f>
      </c>
      <c r="J358" s="27">
        <f>ROUND((F358/D358)*500, 2)</f>
      </c>
    </row>
    <row r="359" ht="20" customHeight="1" spans="1:10" x14ac:dyDescent="0.25">
      <c r="A359" s="12">
        <v>4</v>
      </c>
      <c r="B359" s="12" t="s">
        <v>1042</v>
      </c>
      <c r="C359" s="12" t="s">
        <v>897</v>
      </c>
      <c r="D359" s="12">
        <v>100</v>
      </c>
      <c r="E359" s="12" t="s">
        <v>900</v>
      </c>
      <c r="F359" s="12">
        <v>1</v>
      </c>
      <c r="G359" s="12" t="s">
        <v>305</v>
      </c>
      <c r="H359" s="25">
        <f>ROUND((F359/D359)*100, 2)</f>
      </c>
      <c r="I359" s="25">
        <f>ROUND((F359/D359)*250, 2)</f>
      </c>
      <c r="J359" s="25">
        <f>ROUND((F359/D359)*500, 2)</f>
      </c>
    </row>
    <row r="360" ht="20" customHeight="1" spans="1:10" x14ac:dyDescent="0.25">
      <c r="A360" s="14">
        <v>4</v>
      </c>
      <c r="B360" s="14" t="s">
        <v>1042</v>
      </c>
      <c r="C360" s="14" t="s">
        <v>897</v>
      </c>
      <c r="D360" s="14">
        <v>100</v>
      </c>
      <c r="E360" s="14" t="s">
        <v>899</v>
      </c>
      <c r="F360" s="14">
        <v>15</v>
      </c>
      <c r="G360" s="14" t="s">
        <v>139</v>
      </c>
      <c r="H360" s="27">
        <f>ROUND((F360/D360)*100, 2)</f>
      </c>
      <c r="I360" s="27">
        <f>ROUND((F360/D360)*250, 2)</f>
      </c>
      <c r="J360" s="27">
        <f>ROUND((F360/D360)*500, 2)</f>
      </c>
    </row>
    <row r="361" ht="20" customHeight="1" spans="1:10" x14ac:dyDescent="0.25">
      <c r="A361" s="12">
        <v>4</v>
      </c>
      <c r="B361" s="12" t="s">
        <v>1042</v>
      </c>
      <c r="C361" s="12" t="s">
        <v>897</v>
      </c>
      <c r="D361" s="12">
        <v>100</v>
      </c>
      <c r="E361" s="12" t="s">
        <v>901</v>
      </c>
      <c r="F361" s="12">
        <v>10</v>
      </c>
      <c r="G361" s="12" t="s">
        <v>305</v>
      </c>
      <c r="H361" s="25">
        <f>ROUND((F361/D361)*100, 2)</f>
      </c>
      <c r="I361" s="25">
        <f>ROUND((F361/D361)*250, 2)</f>
      </c>
      <c r="J361" s="25">
        <f>ROUND((F361/D361)*500, 2)</f>
      </c>
    </row>
    <row r="362" ht="20" customHeight="1" spans="1:10" x14ac:dyDescent="0.25">
      <c r="A362" s="14">
        <v>232</v>
      </c>
      <c r="B362" s="14" t="s">
        <v>1043</v>
      </c>
      <c r="C362" s="14" t="s">
        <v>930</v>
      </c>
      <c r="D362" s="14">
        <v>100</v>
      </c>
      <c r="E362" s="14" t="s">
        <v>134</v>
      </c>
      <c r="F362" s="14">
        <v>2</v>
      </c>
      <c r="G362" s="14" t="s">
        <v>305</v>
      </c>
      <c r="H362" s="27">
        <f>ROUND((F362/D362)*100, 2)</f>
      </c>
      <c r="I362" s="27">
        <f>ROUND((F362/D362)*250, 2)</f>
      </c>
      <c r="J362" s="27">
        <f>ROUND((F362/D362)*500, 2)</f>
      </c>
    </row>
    <row r="363" ht="20" customHeight="1" spans="1:10" x14ac:dyDescent="0.25">
      <c r="A363" s="12">
        <v>232</v>
      </c>
      <c r="B363" s="12" t="s">
        <v>1043</v>
      </c>
      <c r="C363" s="12" t="s">
        <v>930</v>
      </c>
      <c r="D363" s="12">
        <v>100</v>
      </c>
      <c r="E363" s="12" t="s">
        <v>931</v>
      </c>
      <c r="F363" s="12">
        <v>6</v>
      </c>
      <c r="G363" s="12" t="s">
        <v>139</v>
      </c>
      <c r="H363" s="25">
        <f>ROUND((F363/D363)*100, 2)</f>
      </c>
      <c r="I363" s="25">
        <f>ROUND((F363/D363)*250, 2)</f>
      </c>
      <c r="J363" s="25">
        <f>ROUND((F363/D363)*500, 2)</f>
      </c>
    </row>
    <row r="364" ht="20" customHeight="1" spans="1:10" x14ac:dyDescent="0.25">
      <c r="A364" s="14">
        <v>232</v>
      </c>
      <c r="B364" s="14" t="s">
        <v>1043</v>
      </c>
      <c r="C364" s="14" t="s">
        <v>930</v>
      </c>
      <c r="D364" s="14">
        <v>100</v>
      </c>
      <c r="E364" s="14" t="s">
        <v>540</v>
      </c>
      <c r="F364" s="14">
        <v>15</v>
      </c>
      <c r="G364" s="14" t="s">
        <v>305</v>
      </c>
      <c r="H364" s="27">
        <f>ROUND((F364/D364)*100, 2)</f>
      </c>
      <c r="I364" s="27">
        <f>ROUND((F364/D364)*250, 2)</f>
      </c>
      <c r="J364" s="27">
        <f>ROUND((F364/D364)*500, 2)</f>
      </c>
    </row>
    <row r="365" ht="20" customHeight="1" spans="1:10" x14ac:dyDescent="0.25">
      <c r="A365" s="12">
        <v>211</v>
      </c>
      <c r="B365" s="12" t="s">
        <v>1044</v>
      </c>
      <c r="C365" s="12" t="s">
        <v>940</v>
      </c>
      <c r="D365" s="12">
        <v>100</v>
      </c>
      <c r="E365" s="12" t="s">
        <v>134</v>
      </c>
      <c r="F365" s="12">
        <v>2</v>
      </c>
      <c r="G365" s="12" t="s">
        <v>305</v>
      </c>
      <c r="H365" s="25">
        <f>ROUND((F365/D365)*100, 2)</f>
      </c>
      <c r="I365" s="25">
        <f>ROUND((F365/D365)*250, 2)</f>
      </c>
      <c r="J365" s="25">
        <f>ROUND((F365/D365)*500, 2)</f>
      </c>
    </row>
    <row r="366" ht="20" customHeight="1" spans="1:10" x14ac:dyDescent="0.25">
      <c r="A366" s="14">
        <v>211</v>
      </c>
      <c r="B366" s="14" t="s">
        <v>1044</v>
      </c>
      <c r="C366" s="14" t="s">
        <v>940</v>
      </c>
      <c r="D366" s="14">
        <v>100</v>
      </c>
      <c r="E366" s="14" t="s">
        <v>941</v>
      </c>
      <c r="F366" s="14">
        <v>0.5</v>
      </c>
      <c r="G366" s="14" t="s">
        <v>139</v>
      </c>
      <c r="H366" s="27">
        <f>ROUND((F366/D366)*100, 2)</f>
      </c>
      <c r="I366" s="27">
        <f>ROUND((F366/D366)*250, 2)</f>
      </c>
      <c r="J366" s="27">
        <f>ROUND((F366/D366)*500, 2)</f>
      </c>
    </row>
    <row r="367" ht="20" customHeight="1" spans="1:10" x14ac:dyDescent="0.25">
      <c r="A367" s="12">
        <v>211</v>
      </c>
      <c r="B367" s="12" t="s">
        <v>1044</v>
      </c>
      <c r="C367" s="12" t="s">
        <v>940</v>
      </c>
      <c r="D367" s="12">
        <v>100</v>
      </c>
      <c r="E367" s="12" t="s">
        <v>942</v>
      </c>
      <c r="F367" s="12">
        <v>20</v>
      </c>
      <c r="G367" s="12" t="s">
        <v>305</v>
      </c>
      <c r="H367" s="25">
        <f>ROUND((F367/D367)*100, 2)</f>
      </c>
      <c r="I367" s="25">
        <f>ROUND((F367/D367)*250, 2)</f>
      </c>
      <c r="J367" s="25">
        <f>ROUND((F367/D367)*500, 2)</f>
      </c>
    </row>
    <row r="368" ht="20" customHeight="1" spans="1:10" x14ac:dyDescent="0.25">
      <c r="A368" s="14">
        <v>107</v>
      </c>
      <c r="B368" s="14" t="s">
        <v>1045</v>
      </c>
      <c r="C368" s="14" t="s">
        <v>944</v>
      </c>
      <c r="D368" s="14">
        <v>100</v>
      </c>
      <c r="E368" s="14" t="s">
        <v>927</v>
      </c>
      <c r="F368" s="14">
        <v>2</v>
      </c>
      <c r="G368" s="14" t="s">
        <v>305</v>
      </c>
      <c r="H368" s="27">
        <f>ROUND((F368/D368)*100, 2)</f>
      </c>
      <c r="I368" s="27">
        <f>ROUND((F368/D368)*250, 2)</f>
      </c>
      <c r="J368" s="27">
        <f>ROUND((F368/D368)*500, 2)</f>
      </c>
    </row>
    <row r="369" ht="20" customHeight="1" spans="1:10" x14ac:dyDescent="0.25">
      <c r="A369" s="12">
        <v>107</v>
      </c>
      <c r="B369" s="12" t="s">
        <v>1045</v>
      </c>
      <c r="C369" s="12" t="s">
        <v>944</v>
      </c>
      <c r="D369" s="12">
        <v>100</v>
      </c>
      <c r="E369" s="12" t="s">
        <v>946</v>
      </c>
      <c r="F369" s="12">
        <v>20</v>
      </c>
      <c r="G369" s="12" t="s">
        <v>139</v>
      </c>
      <c r="H369" s="25">
        <f>ROUND((F369/D369)*100, 2)</f>
      </c>
      <c r="I369" s="25">
        <f>ROUND((F369/D369)*250, 2)</f>
      </c>
      <c r="J369" s="25">
        <f>ROUND((F369/D369)*500, 2)</f>
      </c>
    </row>
    <row r="370" ht="20" customHeight="1" spans="1:10" x14ac:dyDescent="0.25">
      <c r="A370" s="14">
        <v>107</v>
      </c>
      <c r="B370" s="14" t="s">
        <v>1045</v>
      </c>
      <c r="C370" s="14" t="s">
        <v>944</v>
      </c>
      <c r="D370" s="14">
        <v>100</v>
      </c>
      <c r="E370" s="14" t="s">
        <v>945</v>
      </c>
      <c r="F370" s="14">
        <v>8</v>
      </c>
      <c r="G370" s="14" t="s">
        <v>139</v>
      </c>
      <c r="H370" s="27">
        <f>ROUND((F370/D370)*100, 2)</f>
      </c>
      <c r="I370" s="27">
        <f>ROUND((F370/D370)*250, 2)</f>
      </c>
      <c r="J370" s="27">
        <f>ROUND((F370/D370)*500, 2)</f>
      </c>
    </row>
    <row r="371" ht="20" customHeight="1" spans="1:10" x14ac:dyDescent="0.25">
      <c r="A371" s="12">
        <v>107</v>
      </c>
      <c r="B371" s="12" t="s">
        <v>1045</v>
      </c>
      <c r="C371" s="12" t="s">
        <v>944</v>
      </c>
      <c r="D371" s="12">
        <v>100</v>
      </c>
      <c r="E371" s="12" t="s">
        <v>900</v>
      </c>
      <c r="F371" s="12">
        <v>1.5</v>
      </c>
      <c r="G371" s="12" t="s">
        <v>305</v>
      </c>
      <c r="H371" s="25">
        <f>ROUND((F371/D371)*100, 2)</f>
      </c>
      <c r="I371" s="25">
        <f>ROUND((F371/D371)*250, 2)</f>
      </c>
      <c r="J371" s="25">
        <f>ROUND((F371/D371)*500, 2)</f>
      </c>
    </row>
    <row r="372" ht="20" customHeight="1" spans="1:10" x14ac:dyDescent="0.25">
      <c r="A372" s="14">
        <v>56</v>
      </c>
      <c r="B372" s="14" t="s">
        <v>1046</v>
      </c>
      <c r="C372" s="14" t="s">
        <v>948</v>
      </c>
      <c r="D372" s="14">
        <v>100</v>
      </c>
      <c r="E372" s="14" t="s">
        <v>951</v>
      </c>
      <c r="F372" s="14">
        <v>1</v>
      </c>
      <c r="G372" s="14" t="s">
        <v>139</v>
      </c>
      <c r="H372" s="27">
        <f>ROUND((F372/D372)*100, 2)</f>
      </c>
      <c r="I372" s="27">
        <f>ROUND((F372/D372)*250, 2)</f>
      </c>
      <c r="J372" s="27">
        <f>ROUND((F372/D372)*500, 2)</f>
      </c>
    </row>
    <row r="373" ht="20" customHeight="1" spans="1:10" x14ac:dyDescent="0.25">
      <c r="A373" s="12">
        <v>56</v>
      </c>
      <c r="B373" s="12" t="s">
        <v>1046</v>
      </c>
      <c r="C373" s="12" t="s">
        <v>948</v>
      </c>
      <c r="D373" s="12">
        <v>100</v>
      </c>
      <c r="E373" s="12" t="s">
        <v>949</v>
      </c>
      <c r="F373" s="12">
        <v>20</v>
      </c>
      <c r="G373" s="12" t="s">
        <v>139</v>
      </c>
      <c r="H373" s="25">
        <f>ROUND((F373/D373)*100, 2)</f>
      </c>
      <c r="I373" s="25">
        <f>ROUND((F373/D373)*250, 2)</f>
      </c>
      <c r="J373" s="25">
        <f>ROUND((F373/D373)*500, 2)</f>
      </c>
    </row>
    <row r="374" ht="20" customHeight="1" spans="1:10" x14ac:dyDescent="0.25">
      <c r="A374" s="14">
        <v>56</v>
      </c>
      <c r="B374" s="14" t="s">
        <v>1046</v>
      </c>
      <c r="C374" s="14" t="s">
        <v>948</v>
      </c>
      <c r="D374" s="14">
        <v>100</v>
      </c>
      <c r="E374" s="14" t="s">
        <v>950</v>
      </c>
      <c r="F374" s="14">
        <v>10</v>
      </c>
      <c r="G374" s="14" t="s">
        <v>139</v>
      </c>
      <c r="H374" s="27">
        <f>ROUND((F374/D374)*100, 2)</f>
      </c>
      <c r="I374" s="27">
        <f>ROUND((F374/D374)*250, 2)</f>
      </c>
      <c r="J374" s="27">
        <f>ROUND((F374/D374)*500, 2)</f>
      </c>
    </row>
    <row r="375" ht="20" customHeight="1" spans="1:10" x14ac:dyDescent="0.25">
      <c r="A375" s="12">
        <v>56</v>
      </c>
      <c r="B375" s="12" t="s">
        <v>1046</v>
      </c>
      <c r="C375" s="12" t="s">
        <v>948</v>
      </c>
      <c r="D375" s="12">
        <v>100</v>
      </c>
      <c r="E375" s="12" t="s">
        <v>900</v>
      </c>
      <c r="F375" s="12">
        <v>2</v>
      </c>
      <c r="G375" s="12" t="s">
        <v>305</v>
      </c>
      <c r="H375" s="25">
        <f>ROUND((F375/D375)*100, 2)</f>
      </c>
      <c r="I375" s="25">
        <f>ROUND((F375/D375)*250, 2)</f>
      </c>
      <c r="J375" s="25">
        <f>ROUND((F375/D375)*500, 2)</f>
      </c>
    </row>
    <row r="376" ht="20" customHeight="1" spans="1:10" x14ac:dyDescent="0.25">
      <c r="A376" s="14">
        <v>50</v>
      </c>
      <c r="B376" s="14" t="s">
        <v>1047</v>
      </c>
      <c r="C376" s="14" t="s">
        <v>1004</v>
      </c>
      <c r="D376" s="14">
        <v>100</v>
      </c>
      <c r="E376" s="14" t="s">
        <v>950</v>
      </c>
      <c r="F376" s="14">
        <v>10</v>
      </c>
      <c r="G376" s="14" t="s">
        <v>139</v>
      </c>
      <c r="H376" s="27">
        <f>ROUND((F376/D376)*100, 2)</f>
      </c>
      <c r="I376" s="27">
        <f>ROUND((F376/D376)*250, 2)</f>
      </c>
      <c r="J376" s="27">
        <f>ROUND((F376/D376)*500, 2)</f>
      </c>
    </row>
    <row r="377" ht="20" customHeight="1" spans="1:10" x14ac:dyDescent="0.25">
      <c r="A377" s="12">
        <v>50</v>
      </c>
      <c r="B377" s="12" t="s">
        <v>1047</v>
      </c>
      <c r="C377" s="12" t="s">
        <v>1004</v>
      </c>
      <c r="D377" s="12">
        <v>100</v>
      </c>
      <c r="E377" s="12" t="s">
        <v>1005</v>
      </c>
      <c r="F377" s="12">
        <v>12</v>
      </c>
      <c r="G377" s="12" t="s">
        <v>139</v>
      </c>
      <c r="H377" s="25">
        <f>ROUND((F377/D377)*100, 2)</f>
      </c>
      <c r="I377" s="25">
        <f>ROUND((F377/D377)*250, 2)</f>
      </c>
      <c r="J377" s="25">
        <f>ROUND((F377/D377)*500, 2)</f>
      </c>
    </row>
    <row r="378" ht="20" customHeight="1" spans="1:10" x14ac:dyDescent="0.25">
      <c r="A378" s="14">
        <v>50</v>
      </c>
      <c r="B378" s="14" t="s">
        <v>1047</v>
      </c>
      <c r="C378" s="14" t="s">
        <v>1004</v>
      </c>
      <c r="D378" s="14">
        <v>100</v>
      </c>
      <c r="E378" s="14" t="s">
        <v>900</v>
      </c>
      <c r="F378" s="14">
        <v>1.5</v>
      </c>
      <c r="G378" s="14" t="s">
        <v>305</v>
      </c>
      <c r="H378" s="27">
        <f>ROUND((F378/D378)*100, 2)</f>
      </c>
      <c r="I378" s="27">
        <f>ROUND((F378/D378)*250, 2)</f>
      </c>
      <c r="J378" s="27">
        <f>ROUND((F378/D378)*500, 2)</f>
      </c>
    </row>
    <row r="379" ht="20" customHeight="1" spans="1:10" x14ac:dyDescent="0.25">
      <c r="A379" s="12">
        <v>50</v>
      </c>
      <c r="B379" s="12" t="s">
        <v>1047</v>
      </c>
      <c r="C379" s="12" t="s">
        <v>1004</v>
      </c>
      <c r="D379" s="12">
        <v>100</v>
      </c>
      <c r="E379" s="12" t="s">
        <v>1006</v>
      </c>
      <c r="F379" s="12">
        <v>2</v>
      </c>
      <c r="G379" s="12" t="s">
        <v>139</v>
      </c>
      <c r="H379" s="25">
        <f>ROUND((F379/D379)*100, 2)</f>
      </c>
      <c r="I379" s="25">
        <f>ROUND((F379/D379)*250, 2)</f>
      </c>
      <c r="J379" s="25">
        <f>ROUND((F379/D379)*500, 2)</f>
      </c>
    </row>
    <row r="380" ht="20" customHeight="1" spans="1:10" x14ac:dyDescent="0.25">
      <c r="A380" s="14">
        <v>48</v>
      </c>
      <c r="B380" s="14" t="s">
        <v>1048</v>
      </c>
      <c r="C380" s="14" t="s">
        <v>1004</v>
      </c>
      <c r="D380" s="14">
        <v>100</v>
      </c>
      <c r="E380" s="14" t="s">
        <v>900</v>
      </c>
      <c r="F380" s="14">
        <v>1.5</v>
      </c>
      <c r="G380" s="14" t="s">
        <v>305</v>
      </c>
      <c r="H380" s="27">
        <f>ROUND((F380/D380)*100, 2)</f>
      </c>
      <c r="I380" s="27">
        <f>ROUND((F380/D380)*250, 2)</f>
      </c>
      <c r="J380" s="27">
        <f>ROUND((F380/D380)*500, 2)</f>
      </c>
    </row>
    <row r="381" ht="20" customHeight="1" spans="1:10" x14ac:dyDescent="0.25">
      <c r="A381" s="12">
        <v>48</v>
      </c>
      <c r="B381" s="12" t="s">
        <v>1048</v>
      </c>
      <c r="C381" s="12" t="s">
        <v>1004</v>
      </c>
      <c r="D381" s="12">
        <v>100</v>
      </c>
      <c r="E381" s="12" t="s">
        <v>1005</v>
      </c>
      <c r="F381" s="12">
        <v>12</v>
      </c>
      <c r="G381" s="12" t="s">
        <v>139</v>
      </c>
      <c r="H381" s="25">
        <f>ROUND((F381/D381)*100, 2)</f>
      </c>
      <c r="I381" s="25">
        <f>ROUND((F381/D381)*250, 2)</f>
      </c>
      <c r="J381" s="25">
        <f>ROUND((F381/D381)*500, 2)</f>
      </c>
    </row>
    <row r="382" ht="20" customHeight="1" spans="1:10" x14ac:dyDescent="0.25">
      <c r="A382" s="14">
        <v>48</v>
      </c>
      <c r="B382" s="14" t="s">
        <v>1048</v>
      </c>
      <c r="C382" s="14" t="s">
        <v>1004</v>
      </c>
      <c r="D382" s="14">
        <v>100</v>
      </c>
      <c r="E382" s="14" t="s">
        <v>1006</v>
      </c>
      <c r="F382" s="14">
        <v>2</v>
      </c>
      <c r="G382" s="14" t="s">
        <v>139</v>
      </c>
      <c r="H382" s="27">
        <f>ROUND((F382/D382)*100, 2)</f>
      </c>
      <c r="I382" s="27">
        <f>ROUND((F382/D382)*250, 2)</f>
      </c>
      <c r="J382" s="27">
        <f>ROUND((F382/D382)*500, 2)</f>
      </c>
    </row>
    <row r="383" ht="20" customHeight="1" spans="1:10" x14ac:dyDescent="0.25">
      <c r="A383" s="12">
        <v>48</v>
      </c>
      <c r="B383" s="12" t="s">
        <v>1048</v>
      </c>
      <c r="C383" s="12" t="s">
        <v>1004</v>
      </c>
      <c r="D383" s="12">
        <v>100</v>
      </c>
      <c r="E383" s="12" t="s">
        <v>950</v>
      </c>
      <c r="F383" s="12">
        <v>10</v>
      </c>
      <c r="G383" s="12" t="s">
        <v>139</v>
      </c>
      <c r="H383" s="25">
        <f>ROUND((F383/D383)*100, 2)</f>
      </c>
      <c r="I383" s="25">
        <f>ROUND((F383/D383)*250, 2)</f>
      </c>
      <c r="J383" s="25">
        <f>ROUND((F383/D383)*500, 2)</f>
      </c>
    </row>
    <row r="384" ht="20" customHeight="1" spans="1:10" x14ac:dyDescent="0.25">
      <c r="A384" s="14">
        <v>52</v>
      </c>
      <c r="B384" s="14" t="s">
        <v>1049</v>
      </c>
      <c r="C384" s="14" t="s">
        <v>1004</v>
      </c>
      <c r="D384" s="14">
        <v>100</v>
      </c>
      <c r="E384" s="14" t="s">
        <v>1006</v>
      </c>
      <c r="F384" s="14">
        <v>2</v>
      </c>
      <c r="G384" s="14" t="s">
        <v>139</v>
      </c>
      <c r="H384" s="27">
        <f>ROUND((F384/D384)*100, 2)</f>
      </c>
      <c r="I384" s="27">
        <f>ROUND((F384/D384)*250, 2)</f>
      </c>
      <c r="J384" s="27">
        <f>ROUND((F384/D384)*500, 2)</f>
      </c>
    </row>
    <row r="385" ht="20" customHeight="1" spans="1:10" x14ac:dyDescent="0.25">
      <c r="A385" s="12">
        <v>52</v>
      </c>
      <c r="B385" s="12" t="s">
        <v>1049</v>
      </c>
      <c r="C385" s="12" t="s">
        <v>1004</v>
      </c>
      <c r="D385" s="12">
        <v>100</v>
      </c>
      <c r="E385" s="12" t="s">
        <v>1005</v>
      </c>
      <c r="F385" s="12">
        <v>12</v>
      </c>
      <c r="G385" s="12" t="s">
        <v>139</v>
      </c>
      <c r="H385" s="25">
        <f>ROUND((F385/D385)*100, 2)</f>
      </c>
      <c r="I385" s="25">
        <f>ROUND((F385/D385)*250, 2)</f>
      </c>
      <c r="J385" s="25">
        <f>ROUND((F385/D385)*500, 2)</f>
      </c>
    </row>
    <row r="386" ht="20" customHeight="1" spans="1:10" x14ac:dyDescent="0.25">
      <c r="A386" s="14">
        <v>52</v>
      </c>
      <c r="B386" s="14" t="s">
        <v>1049</v>
      </c>
      <c r="C386" s="14" t="s">
        <v>1004</v>
      </c>
      <c r="D386" s="14">
        <v>100</v>
      </c>
      <c r="E386" s="14" t="s">
        <v>950</v>
      </c>
      <c r="F386" s="14">
        <v>10</v>
      </c>
      <c r="G386" s="14" t="s">
        <v>139</v>
      </c>
      <c r="H386" s="27">
        <f>ROUND((F386/D386)*100, 2)</f>
      </c>
      <c r="I386" s="27">
        <f>ROUND((F386/D386)*250, 2)</f>
      </c>
      <c r="J386" s="27">
        <f>ROUND((F386/D386)*500, 2)</f>
      </c>
    </row>
    <row r="387" ht="20" customHeight="1" spans="1:10" x14ac:dyDescent="0.25">
      <c r="A387" s="12">
        <v>52</v>
      </c>
      <c r="B387" s="12" t="s">
        <v>1049</v>
      </c>
      <c r="C387" s="12" t="s">
        <v>1004</v>
      </c>
      <c r="D387" s="12">
        <v>100</v>
      </c>
      <c r="E387" s="12" t="s">
        <v>900</v>
      </c>
      <c r="F387" s="12">
        <v>1.5</v>
      </c>
      <c r="G387" s="12" t="s">
        <v>305</v>
      </c>
      <c r="H387" s="25">
        <f>ROUND((F387/D387)*100, 2)</f>
      </c>
      <c r="I387" s="25">
        <f>ROUND((F387/D387)*250, 2)</f>
      </c>
      <c r="J387" s="25">
        <f>ROUND((F387/D387)*500, 2)</f>
      </c>
    </row>
    <row r="388" ht="20" customHeight="1" spans="1:10" x14ac:dyDescent="0.25">
      <c r="A388" s="14">
        <v>104</v>
      </c>
      <c r="B388" s="14" t="s">
        <v>1050</v>
      </c>
      <c r="C388" s="14" t="s">
        <v>944</v>
      </c>
      <c r="D388" s="14">
        <v>100</v>
      </c>
      <c r="E388" s="14" t="s">
        <v>946</v>
      </c>
      <c r="F388" s="14">
        <v>20</v>
      </c>
      <c r="G388" s="14" t="s">
        <v>139</v>
      </c>
      <c r="H388" s="27">
        <f>ROUND((F388/D388)*100, 2)</f>
      </c>
      <c r="I388" s="27">
        <f>ROUND((F388/D388)*250, 2)</f>
      </c>
      <c r="J388" s="27">
        <f>ROUND((F388/D388)*500, 2)</f>
      </c>
    </row>
    <row r="389" ht="20" customHeight="1" spans="1:10" x14ac:dyDescent="0.25">
      <c r="A389" s="12">
        <v>104</v>
      </c>
      <c r="B389" s="12" t="s">
        <v>1050</v>
      </c>
      <c r="C389" s="12" t="s">
        <v>944</v>
      </c>
      <c r="D389" s="12">
        <v>100</v>
      </c>
      <c r="E389" s="12" t="s">
        <v>900</v>
      </c>
      <c r="F389" s="12">
        <v>1.5</v>
      </c>
      <c r="G389" s="12" t="s">
        <v>305</v>
      </c>
      <c r="H389" s="25">
        <f>ROUND((F389/D389)*100, 2)</f>
      </c>
      <c r="I389" s="25">
        <f>ROUND((F389/D389)*250, 2)</f>
      </c>
      <c r="J389" s="25">
        <f>ROUND((F389/D389)*500, 2)</f>
      </c>
    </row>
    <row r="390" ht="20" customHeight="1" spans="1:10" x14ac:dyDescent="0.25">
      <c r="A390" s="14">
        <v>104</v>
      </c>
      <c r="B390" s="14" t="s">
        <v>1050</v>
      </c>
      <c r="C390" s="14" t="s">
        <v>944</v>
      </c>
      <c r="D390" s="14">
        <v>100</v>
      </c>
      <c r="E390" s="14" t="s">
        <v>927</v>
      </c>
      <c r="F390" s="14">
        <v>2</v>
      </c>
      <c r="G390" s="14" t="s">
        <v>305</v>
      </c>
      <c r="H390" s="27">
        <f>ROUND((F390/D390)*100, 2)</f>
      </c>
      <c r="I390" s="27">
        <f>ROUND((F390/D390)*250, 2)</f>
      </c>
      <c r="J390" s="27">
        <f>ROUND((F390/D390)*500, 2)</f>
      </c>
    </row>
    <row r="391" ht="20" customHeight="1" spans="1:10" x14ac:dyDescent="0.25">
      <c r="A391" s="12">
        <v>104</v>
      </c>
      <c r="B391" s="12" t="s">
        <v>1050</v>
      </c>
      <c r="C391" s="12" t="s">
        <v>944</v>
      </c>
      <c r="D391" s="12">
        <v>100</v>
      </c>
      <c r="E391" s="12" t="s">
        <v>945</v>
      </c>
      <c r="F391" s="12">
        <v>8</v>
      </c>
      <c r="G391" s="12" t="s">
        <v>139</v>
      </c>
      <c r="H391" s="25">
        <f>ROUND((F391/D391)*100, 2)</f>
      </c>
      <c r="I391" s="25">
        <f>ROUND((F391/D391)*250, 2)</f>
      </c>
      <c r="J391" s="25">
        <f>ROUND((F391/D391)*500, 2)</f>
      </c>
    </row>
    <row r="392" ht="20" customHeight="1" spans="1:10" x14ac:dyDescent="0.25">
      <c r="A392" s="14">
        <v>105</v>
      </c>
      <c r="B392" s="14" t="s">
        <v>1051</v>
      </c>
      <c r="C392" s="14" t="s">
        <v>944</v>
      </c>
      <c r="D392" s="14">
        <v>100</v>
      </c>
      <c r="E392" s="14" t="s">
        <v>900</v>
      </c>
      <c r="F392" s="14">
        <v>1.5</v>
      </c>
      <c r="G392" s="14" t="s">
        <v>305</v>
      </c>
      <c r="H392" s="27">
        <f>ROUND((F392/D392)*100, 2)</f>
      </c>
      <c r="I392" s="27">
        <f>ROUND((F392/D392)*250, 2)</f>
      </c>
      <c r="J392" s="27">
        <f>ROUND((F392/D392)*500, 2)</f>
      </c>
    </row>
    <row r="393" ht="20" customHeight="1" spans="1:10" x14ac:dyDescent="0.25">
      <c r="A393" s="12">
        <v>105</v>
      </c>
      <c r="B393" s="12" t="s">
        <v>1051</v>
      </c>
      <c r="C393" s="12" t="s">
        <v>944</v>
      </c>
      <c r="D393" s="12">
        <v>100</v>
      </c>
      <c r="E393" s="12" t="s">
        <v>927</v>
      </c>
      <c r="F393" s="12">
        <v>2</v>
      </c>
      <c r="G393" s="12" t="s">
        <v>305</v>
      </c>
      <c r="H393" s="25">
        <f>ROUND((F393/D393)*100, 2)</f>
      </c>
      <c r="I393" s="25">
        <f>ROUND((F393/D393)*250, 2)</f>
      </c>
      <c r="J393" s="25">
        <f>ROUND((F393/D393)*500, 2)</f>
      </c>
    </row>
    <row r="394" ht="20" customHeight="1" spans="1:10" x14ac:dyDescent="0.25">
      <c r="A394" s="14">
        <v>105</v>
      </c>
      <c r="B394" s="14" t="s">
        <v>1051</v>
      </c>
      <c r="C394" s="14" t="s">
        <v>944</v>
      </c>
      <c r="D394" s="14">
        <v>100</v>
      </c>
      <c r="E394" s="14" t="s">
        <v>945</v>
      </c>
      <c r="F394" s="14">
        <v>8</v>
      </c>
      <c r="G394" s="14" t="s">
        <v>139</v>
      </c>
      <c r="H394" s="27">
        <f>ROUND((F394/D394)*100, 2)</f>
      </c>
      <c r="I394" s="27">
        <f>ROUND((F394/D394)*250, 2)</f>
      </c>
      <c r="J394" s="27">
        <f>ROUND((F394/D394)*500, 2)</f>
      </c>
    </row>
    <row r="395" ht="20" customHeight="1" spans="1:10" x14ac:dyDescent="0.25">
      <c r="A395" s="12">
        <v>105</v>
      </c>
      <c r="B395" s="12" t="s">
        <v>1051</v>
      </c>
      <c r="C395" s="12" t="s">
        <v>944</v>
      </c>
      <c r="D395" s="12">
        <v>100</v>
      </c>
      <c r="E395" s="12" t="s">
        <v>946</v>
      </c>
      <c r="F395" s="12">
        <v>20</v>
      </c>
      <c r="G395" s="12" t="s">
        <v>139</v>
      </c>
      <c r="H395" s="25">
        <f>ROUND((F395/D395)*100, 2)</f>
      </c>
      <c r="I395" s="25">
        <f>ROUND((F395/D395)*250, 2)</f>
      </c>
      <c r="J395" s="25">
        <f>ROUND((F395/D395)*500, 2)</f>
      </c>
    </row>
    <row r="396" ht="20" customHeight="1" spans="1:10" x14ac:dyDescent="0.25">
      <c r="A396" s="14">
        <v>215</v>
      </c>
      <c r="B396" s="14" t="s">
        <v>1052</v>
      </c>
      <c r="C396" s="14" t="s">
        <v>940</v>
      </c>
      <c r="D396" s="14">
        <v>100</v>
      </c>
      <c r="E396" s="14" t="s">
        <v>134</v>
      </c>
      <c r="F396" s="14">
        <v>2</v>
      </c>
      <c r="G396" s="14" t="s">
        <v>305</v>
      </c>
      <c r="H396" s="27">
        <f>ROUND((F396/D396)*100, 2)</f>
      </c>
      <c r="I396" s="27">
        <f>ROUND((F396/D396)*250, 2)</f>
      </c>
      <c r="J396" s="27">
        <f>ROUND((F396/D396)*500, 2)</f>
      </c>
    </row>
    <row r="397" ht="20" customHeight="1" spans="1:10" x14ac:dyDescent="0.25">
      <c r="A397" s="12">
        <v>215</v>
      </c>
      <c r="B397" s="12" t="s">
        <v>1052</v>
      </c>
      <c r="C397" s="12" t="s">
        <v>940</v>
      </c>
      <c r="D397" s="12">
        <v>100</v>
      </c>
      <c r="E397" s="12" t="s">
        <v>941</v>
      </c>
      <c r="F397" s="12">
        <v>0.5</v>
      </c>
      <c r="G397" s="12" t="s">
        <v>139</v>
      </c>
      <c r="H397" s="25">
        <f>ROUND((F397/D397)*100, 2)</f>
      </c>
      <c r="I397" s="25">
        <f>ROUND((F397/D397)*250, 2)</f>
      </c>
      <c r="J397" s="25">
        <f>ROUND((F397/D397)*500, 2)</f>
      </c>
    </row>
    <row r="398" ht="20" customHeight="1" spans="1:10" x14ac:dyDescent="0.25">
      <c r="A398" s="14">
        <v>215</v>
      </c>
      <c r="B398" s="14" t="s">
        <v>1052</v>
      </c>
      <c r="C398" s="14" t="s">
        <v>940</v>
      </c>
      <c r="D398" s="14">
        <v>100</v>
      </c>
      <c r="E398" s="14" t="s">
        <v>942</v>
      </c>
      <c r="F398" s="14">
        <v>20</v>
      </c>
      <c r="G398" s="14" t="s">
        <v>305</v>
      </c>
      <c r="H398" s="27">
        <f>ROUND((F398/D398)*100, 2)</f>
      </c>
      <c r="I398" s="27">
        <f>ROUND((F398/D398)*250, 2)</f>
      </c>
      <c r="J398" s="27">
        <f>ROUND((F398/D398)*500, 2)</f>
      </c>
    </row>
    <row r="399" ht="20" customHeight="1" spans="1:10" x14ac:dyDescent="0.25">
      <c r="A399" s="12">
        <v>205</v>
      </c>
      <c r="B399" s="12" t="s">
        <v>1053</v>
      </c>
      <c r="C399" s="12" t="s">
        <v>937</v>
      </c>
      <c r="D399" s="12">
        <v>100</v>
      </c>
      <c r="E399" s="12" t="s">
        <v>245</v>
      </c>
      <c r="F399" s="12">
        <v>6</v>
      </c>
      <c r="G399" s="12" t="s">
        <v>139</v>
      </c>
      <c r="H399" s="25">
        <f>ROUND((F399/D399)*100, 2)</f>
      </c>
      <c r="I399" s="25">
        <f>ROUND((F399/D399)*250, 2)</f>
      </c>
      <c r="J399" s="25">
        <f>ROUND((F399/D399)*500, 2)</f>
      </c>
    </row>
    <row r="400" ht="20" customHeight="1" spans="1:10" x14ac:dyDescent="0.25">
      <c r="A400" s="14">
        <v>205</v>
      </c>
      <c r="B400" s="14" t="s">
        <v>1053</v>
      </c>
      <c r="C400" s="14" t="s">
        <v>937</v>
      </c>
      <c r="D400" s="14">
        <v>100</v>
      </c>
      <c r="E400" s="14" t="s">
        <v>938</v>
      </c>
      <c r="F400" s="14">
        <v>3</v>
      </c>
      <c r="G400" s="14" t="s">
        <v>139</v>
      </c>
      <c r="H400" s="27">
        <f>ROUND((F400/D400)*100, 2)</f>
      </c>
      <c r="I400" s="27">
        <f>ROUND((F400/D400)*250, 2)</f>
      </c>
      <c r="J400" s="27">
        <f>ROUND((F400/D400)*500, 2)</f>
      </c>
    </row>
    <row r="401" ht="20" customHeight="1" spans="1:10" x14ac:dyDescent="0.25">
      <c r="A401" s="12">
        <v>205</v>
      </c>
      <c r="B401" s="12" t="s">
        <v>1053</v>
      </c>
      <c r="C401" s="12" t="s">
        <v>937</v>
      </c>
      <c r="D401" s="12">
        <v>100</v>
      </c>
      <c r="E401" s="12" t="s">
        <v>540</v>
      </c>
      <c r="F401" s="12">
        <v>20</v>
      </c>
      <c r="G401" s="12" t="s">
        <v>305</v>
      </c>
      <c r="H401" s="25">
        <f>ROUND((F401/D401)*100, 2)</f>
      </c>
      <c r="I401" s="25">
        <f>ROUND((F401/D401)*250, 2)</f>
      </c>
      <c r="J401" s="25">
        <f>ROUND((F401/D401)*500, 2)</f>
      </c>
    </row>
    <row r="402" ht="20" customHeight="1" spans="1:10" x14ac:dyDescent="0.25">
      <c r="A402" s="14">
        <v>222</v>
      </c>
      <c r="B402" s="14" t="s">
        <v>1054</v>
      </c>
      <c r="C402" s="14" t="s">
        <v>930</v>
      </c>
      <c r="D402" s="14">
        <v>100</v>
      </c>
      <c r="E402" s="14" t="s">
        <v>540</v>
      </c>
      <c r="F402" s="14">
        <v>15</v>
      </c>
      <c r="G402" s="14" t="s">
        <v>305</v>
      </c>
      <c r="H402" s="27">
        <f>ROUND((F402/D402)*100, 2)</f>
      </c>
      <c r="I402" s="27">
        <f>ROUND((F402/D402)*250, 2)</f>
      </c>
      <c r="J402" s="27">
        <f>ROUND((F402/D402)*500, 2)</f>
      </c>
    </row>
    <row r="403" ht="20" customHeight="1" spans="1:10" x14ac:dyDescent="0.25">
      <c r="A403" s="12">
        <v>222</v>
      </c>
      <c r="B403" s="12" t="s">
        <v>1054</v>
      </c>
      <c r="C403" s="12" t="s">
        <v>930</v>
      </c>
      <c r="D403" s="12">
        <v>100</v>
      </c>
      <c r="E403" s="12" t="s">
        <v>134</v>
      </c>
      <c r="F403" s="12">
        <v>2</v>
      </c>
      <c r="G403" s="12" t="s">
        <v>305</v>
      </c>
      <c r="H403" s="25">
        <f>ROUND((F403/D403)*100, 2)</f>
      </c>
      <c r="I403" s="25">
        <f>ROUND((F403/D403)*250, 2)</f>
      </c>
      <c r="J403" s="25">
        <f>ROUND((F403/D403)*500, 2)</f>
      </c>
    </row>
    <row r="404" ht="20" customHeight="1" spans="1:10" x14ac:dyDescent="0.25">
      <c r="A404" s="14">
        <v>222</v>
      </c>
      <c r="B404" s="14" t="s">
        <v>1054</v>
      </c>
      <c r="C404" s="14" t="s">
        <v>930</v>
      </c>
      <c r="D404" s="14">
        <v>100</v>
      </c>
      <c r="E404" s="14" t="s">
        <v>931</v>
      </c>
      <c r="F404" s="14">
        <v>6</v>
      </c>
      <c r="G404" s="14" t="s">
        <v>139</v>
      </c>
      <c r="H404" s="27">
        <f>ROUND((F404/D404)*100, 2)</f>
      </c>
      <c r="I404" s="27">
        <f>ROUND((F404/D404)*250, 2)</f>
      </c>
      <c r="J404" s="27">
        <f>ROUND((F404/D404)*500, 2)</f>
      </c>
    </row>
    <row r="405" ht="20" customHeight="1" spans="1:10" x14ac:dyDescent="0.25">
      <c r="A405" s="12">
        <v>223</v>
      </c>
      <c r="B405" s="12" t="s">
        <v>1055</v>
      </c>
      <c r="C405" s="12" t="s">
        <v>930</v>
      </c>
      <c r="D405" s="12">
        <v>100</v>
      </c>
      <c r="E405" s="12" t="s">
        <v>134</v>
      </c>
      <c r="F405" s="12">
        <v>2</v>
      </c>
      <c r="G405" s="12" t="s">
        <v>305</v>
      </c>
      <c r="H405" s="25">
        <f>ROUND((F405/D405)*100, 2)</f>
      </c>
      <c r="I405" s="25">
        <f>ROUND((F405/D405)*250, 2)</f>
      </c>
      <c r="J405" s="25">
        <f>ROUND((F405/D405)*500, 2)</f>
      </c>
    </row>
    <row r="406" ht="20" customHeight="1" spans="1:10" x14ac:dyDescent="0.25">
      <c r="A406" s="14">
        <v>223</v>
      </c>
      <c r="B406" s="14" t="s">
        <v>1055</v>
      </c>
      <c r="C406" s="14" t="s">
        <v>930</v>
      </c>
      <c r="D406" s="14">
        <v>100</v>
      </c>
      <c r="E406" s="14" t="s">
        <v>931</v>
      </c>
      <c r="F406" s="14">
        <v>6</v>
      </c>
      <c r="G406" s="14" t="s">
        <v>139</v>
      </c>
      <c r="H406" s="27">
        <f>ROUND((F406/D406)*100, 2)</f>
      </c>
      <c r="I406" s="27">
        <f>ROUND((F406/D406)*250, 2)</f>
      </c>
      <c r="J406" s="27">
        <f>ROUND((F406/D406)*500, 2)</f>
      </c>
    </row>
    <row r="407" ht="20" customHeight="1" spans="1:10" x14ac:dyDescent="0.25">
      <c r="A407" s="12">
        <v>223</v>
      </c>
      <c r="B407" s="12" t="s">
        <v>1055</v>
      </c>
      <c r="C407" s="12" t="s">
        <v>930</v>
      </c>
      <c r="D407" s="12">
        <v>100</v>
      </c>
      <c r="E407" s="12" t="s">
        <v>540</v>
      </c>
      <c r="F407" s="12">
        <v>15</v>
      </c>
      <c r="G407" s="12" t="s">
        <v>305</v>
      </c>
      <c r="H407" s="25">
        <f>ROUND((F407/D407)*100, 2)</f>
      </c>
      <c r="I407" s="25">
        <f>ROUND((F407/D407)*250, 2)</f>
      </c>
      <c r="J407" s="25">
        <f>ROUND((F407/D407)*500, 2)</f>
      </c>
    </row>
    <row r="408" ht="20" customHeight="1" spans="1:10" x14ac:dyDescent="0.25">
      <c r="A408" s="14">
        <v>229</v>
      </c>
      <c r="B408" s="14" t="s">
        <v>1056</v>
      </c>
      <c r="C408" s="14" t="s">
        <v>930</v>
      </c>
      <c r="D408" s="14">
        <v>100</v>
      </c>
      <c r="E408" s="14" t="s">
        <v>134</v>
      </c>
      <c r="F408" s="14">
        <v>2</v>
      </c>
      <c r="G408" s="14" t="s">
        <v>305</v>
      </c>
      <c r="H408" s="27">
        <f>ROUND((F408/D408)*100, 2)</f>
      </c>
      <c r="I408" s="27">
        <f>ROUND((F408/D408)*250, 2)</f>
      </c>
      <c r="J408" s="27">
        <f>ROUND((F408/D408)*500, 2)</f>
      </c>
    </row>
    <row r="409" ht="20" customHeight="1" spans="1:10" x14ac:dyDescent="0.25">
      <c r="A409" s="12">
        <v>229</v>
      </c>
      <c r="B409" s="12" t="s">
        <v>1056</v>
      </c>
      <c r="C409" s="12" t="s">
        <v>930</v>
      </c>
      <c r="D409" s="12">
        <v>100</v>
      </c>
      <c r="E409" s="12" t="s">
        <v>540</v>
      </c>
      <c r="F409" s="12">
        <v>15</v>
      </c>
      <c r="G409" s="12" t="s">
        <v>305</v>
      </c>
      <c r="H409" s="25">
        <f>ROUND((F409/D409)*100, 2)</f>
      </c>
      <c r="I409" s="25">
        <f>ROUND((F409/D409)*250, 2)</f>
      </c>
      <c r="J409" s="25">
        <f>ROUND((F409/D409)*500, 2)</f>
      </c>
    </row>
    <row r="410" ht="20" customHeight="1" spans="1:10" x14ac:dyDescent="0.25">
      <c r="A410" s="14">
        <v>229</v>
      </c>
      <c r="B410" s="14" t="s">
        <v>1056</v>
      </c>
      <c r="C410" s="14" t="s">
        <v>930</v>
      </c>
      <c r="D410" s="14">
        <v>100</v>
      </c>
      <c r="E410" s="14" t="s">
        <v>931</v>
      </c>
      <c r="F410" s="14">
        <v>6</v>
      </c>
      <c r="G410" s="14" t="s">
        <v>139</v>
      </c>
      <c r="H410" s="27">
        <f>ROUND((F410/D410)*100, 2)</f>
      </c>
      <c r="I410" s="27">
        <f>ROUND((F410/D410)*250, 2)</f>
      </c>
      <c r="J410" s="27">
        <f>ROUND((F410/D410)*500, 2)</f>
      </c>
    </row>
    <row r="411" ht="20" customHeight="1" spans="1:10" x14ac:dyDescent="0.25">
      <c r="A411" s="12">
        <v>92</v>
      </c>
      <c r="B411" s="12" t="s">
        <v>1057</v>
      </c>
      <c r="C411" s="12" t="s">
        <v>925</v>
      </c>
      <c r="D411" s="12">
        <v>100</v>
      </c>
      <c r="E411" s="12" t="s">
        <v>926</v>
      </c>
      <c r="F411" s="12">
        <v>2</v>
      </c>
      <c r="G411" s="12" t="s">
        <v>139</v>
      </c>
      <c r="H411" s="25">
        <f>ROUND((F411/D411)*100, 2)</f>
      </c>
      <c r="I411" s="25">
        <f>ROUND((F411/D411)*250, 2)</f>
      </c>
      <c r="J411" s="25">
        <f>ROUND((F411/D411)*500, 2)</f>
      </c>
    </row>
    <row r="412" ht="20" customHeight="1" spans="1:10" x14ac:dyDescent="0.25">
      <c r="A412" s="14">
        <v>92</v>
      </c>
      <c r="B412" s="14" t="s">
        <v>1057</v>
      </c>
      <c r="C412" s="14" t="s">
        <v>925</v>
      </c>
      <c r="D412" s="14">
        <v>100</v>
      </c>
      <c r="E412" s="14" t="s">
        <v>928</v>
      </c>
      <c r="F412" s="14">
        <v>15</v>
      </c>
      <c r="G412" s="14" t="s">
        <v>139</v>
      </c>
      <c r="H412" s="27">
        <f>ROUND((F412/D412)*100, 2)</f>
      </c>
      <c r="I412" s="27">
        <f>ROUND((F412/D412)*250, 2)</f>
      </c>
      <c r="J412" s="27">
        <f>ROUND((F412/D412)*500, 2)</f>
      </c>
    </row>
    <row r="413" ht="20" customHeight="1" spans="1:10" x14ac:dyDescent="0.25">
      <c r="A413" s="12">
        <v>92</v>
      </c>
      <c r="B413" s="12" t="s">
        <v>1057</v>
      </c>
      <c r="C413" s="12" t="s">
        <v>925</v>
      </c>
      <c r="D413" s="12">
        <v>100</v>
      </c>
      <c r="E413" s="12" t="s">
        <v>900</v>
      </c>
      <c r="F413" s="12">
        <v>2</v>
      </c>
      <c r="G413" s="12" t="s">
        <v>305</v>
      </c>
      <c r="H413" s="25">
        <f>ROUND((F413/D413)*100, 2)</f>
      </c>
      <c r="I413" s="25">
        <f>ROUND((F413/D413)*250, 2)</f>
      </c>
      <c r="J413" s="25">
        <f>ROUND((F413/D413)*500, 2)</f>
      </c>
    </row>
    <row r="414" ht="20" customHeight="1" spans="1:10" x14ac:dyDescent="0.25">
      <c r="A414" s="14">
        <v>92</v>
      </c>
      <c r="B414" s="14" t="s">
        <v>1057</v>
      </c>
      <c r="C414" s="14" t="s">
        <v>925</v>
      </c>
      <c r="D414" s="14">
        <v>100</v>
      </c>
      <c r="E414" s="14" t="s">
        <v>927</v>
      </c>
      <c r="F414" s="14">
        <v>3</v>
      </c>
      <c r="G414" s="14" t="s">
        <v>305</v>
      </c>
      <c r="H414" s="27">
        <f>ROUND((F414/D414)*100, 2)</f>
      </c>
      <c r="I414" s="27">
        <f>ROUND((F414/D414)*250, 2)</f>
      </c>
      <c r="J414" s="27">
        <f>ROUND((F414/D414)*500, 2)</f>
      </c>
    </row>
    <row r="415" ht="20" customHeight="1" spans="1:10" x14ac:dyDescent="0.25">
      <c r="A415" s="12">
        <v>131</v>
      </c>
      <c r="B415" s="12" t="s">
        <v>1058</v>
      </c>
      <c r="C415" s="12" t="s">
        <v>964</v>
      </c>
      <c r="D415" s="12">
        <v>100</v>
      </c>
      <c r="E415" s="12" t="s">
        <v>945</v>
      </c>
      <c r="F415" s="12">
        <v>5</v>
      </c>
      <c r="G415" s="12" t="s">
        <v>139</v>
      </c>
      <c r="H415" s="25">
        <f>ROUND((F415/D415)*100, 2)</f>
      </c>
      <c r="I415" s="25">
        <f>ROUND((F415/D415)*250, 2)</f>
      </c>
      <c r="J415" s="25">
        <f>ROUND((F415/D415)*500, 2)</f>
      </c>
    </row>
    <row r="416" ht="20" customHeight="1" spans="1:10" x14ac:dyDescent="0.25">
      <c r="A416" s="14">
        <v>131</v>
      </c>
      <c r="B416" s="14" t="s">
        <v>1058</v>
      </c>
      <c r="C416" s="14" t="s">
        <v>964</v>
      </c>
      <c r="D416" s="14">
        <v>100</v>
      </c>
      <c r="E416" s="14" t="s">
        <v>926</v>
      </c>
      <c r="F416" s="14">
        <v>0.5</v>
      </c>
      <c r="G416" s="14" t="s">
        <v>139</v>
      </c>
      <c r="H416" s="27">
        <f>ROUND((F416/D416)*100, 2)</f>
      </c>
      <c r="I416" s="27">
        <f>ROUND((F416/D416)*250, 2)</f>
      </c>
      <c r="J416" s="27">
        <f>ROUND((F416/D416)*500, 2)</f>
      </c>
    </row>
    <row r="417" ht="20" customHeight="1" spans="1:10" x14ac:dyDescent="0.25">
      <c r="A417" s="12">
        <v>131</v>
      </c>
      <c r="B417" s="12" t="s">
        <v>1058</v>
      </c>
      <c r="C417" s="12" t="s">
        <v>964</v>
      </c>
      <c r="D417" s="12">
        <v>100</v>
      </c>
      <c r="E417" s="12" t="s">
        <v>965</v>
      </c>
      <c r="F417" s="12">
        <v>20</v>
      </c>
      <c r="G417" s="12" t="s">
        <v>305</v>
      </c>
      <c r="H417" s="25">
        <f>ROUND((F417/D417)*100, 2)</f>
      </c>
      <c r="I417" s="25">
        <f>ROUND((F417/D417)*250, 2)</f>
      </c>
      <c r="J417" s="25">
        <f>ROUND((F417/D417)*500, 2)</f>
      </c>
    </row>
    <row r="418" ht="20" customHeight="1" spans="1:10" x14ac:dyDescent="0.25">
      <c r="A418" s="14">
        <v>192</v>
      </c>
      <c r="B418" s="14" t="s">
        <v>1059</v>
      </c>
      <c r="C418" s="14" t="s">
        <v>987</v>
      </c>
      <c r="D418" s="14">
        <v>100</v>
      </c>
      <c r="E418" s="14" t="s">
        <v>899</v>
      </c>
      <c r="F418" s="14">
        <v>15</v>
      </c>
      <c r="G418" s="14" t="s">
        <v>139</v>
      </c>
      <c r="H418" s="27">
        <f>ROUND((F418/D418)*100, 2)</f>
      </c>
      <c r="I418" s="27">
        <f>ROUND((F418/D418)*250, 2)</f>
      </c>
      <c r="J418" s="27">
        <f>ROUND((F418/D418)*500, 2)</f>
      </c>
    </row>
    <row r="419" ht="20" customHeight="1" spans="1:10" x14ac:dyDescent="0.25">
      <c r="A419" s="12">
        <v>192</v>
      </c>
      <c r="B419" s="12" t="s">
        <v>1059</v>
      </c>
      <c r="C419" s="12" t="s">
        <v>987</v>
      </c>
      <c r="D419" s="12">
        <v>100</v>
      </c>
      <c r="E419" s="12" t="s">
        <v>988</v>
      </c>
      <c r="F419" s="12">
        <v>8</v>
      </c>
      <c r="G419" s="12" t="s">
        <v>139</v>
      </c>
      <c r="H419" s="25">
        <f>ROUND((F419/D419)*100, 2)</f>
      </c>
      <c r="I419" s="25">
        <f>ROUND((F419/D419)*250, 2)</f>
      </c>
      <c r="J419" s="25">
        <f>ROUND((F419/D419)*500, 2)</f>
      </c>
    </row>
    <row r="420" ht="20" customHeight="1" spans="1:10" x14ac:dyDescent="0.25">
      <c r="A420" s="14">
        <v>124</v>
      </c>
      <c r="B420" s="14" t="s">
        <v>1060</v>
      </c>
      <c r="C420" s="14" t="s">
        <v>944</v>
      </c>
      <c r="D420" s="14">
        <v>100</v>
      </c>
      <c r="E420" s="14" t="s">
        <v>900</v>
      </c>
      <c r="F420" s="14">
        <v>1.5</v>
      </c>
      <c r="G420" s="14" t="s">
        <v>305</v>
      </c>
      <c r="H420" s="27">
        <f>ROUND((F420/D420)*100, 2)</f>
      </c>
      <c r="I420" s="27">
        <f>ROUND((F420/D420)*250, 2)</f>
      </c>
      <c r="J420" s="27">
        <f>ROUND((F420/D420)*500, 2)</f>
      </c>
    </row>
    <row r="421" ht="20" customHeight="1" spans="1:10" x14ac:dyDescent="0.25">
      <c r="A421" s="12">
        <v>124</v>
      </c>
      <c r="B421" s="12" t="s">
        <v>1060</v>
      </c>
      <c r="C421" s="12" t="s">
        <v>944</v>
      </c>
      <c r="D421" s="12">
        <v>100</v>
      </c>
      <c r="E421" s="12" t="s">
        <v>927</v>
      </c>
      <c r="F421" s="12">
        <v>2</v>
      </c>
      <c r="G421" s="12" t="s">
        <v>305</v>
      </c>
      <c r="H421" s="25">
        <f>ROUND((F421/D421)*100, 2)</f>
      </c>
      <c r="I421" s="25">
        <f>ROUND((F421/D421)*250, 2)</f>
      </c>
      <c r="J421" s="25">
        <f>ROUND((F421/D421)*500, 2)</f>
      </c>
    </row>
    <row r="422" ht="20" customHeight="1" spans="1:10" x14ac:dyDescent="0.25">
      <c r="A422" s="14">
        <v>124</v>
      </c>
      <c r="B422" s="14" t="s">
        <v>1060</v>
      </c>
      <c r="C422" s="14" t="s">
        <v>944</v>
      </c>
      <c r="D422" s="14">
        <v>100</v>
      </c>
      <c r="E422" s="14" t="s">
        <v>945</v>
      </c>
      <c r="F422" s="14">
        <v>8</v>
      </c>
      <c r="G422" s="14" t="s">
        <v>139</v>
      </c>
      <c r="H422" s="27">
        <f>ROUND((F422/D422)*100, 2)</f>
      </c>
      <c r="I422" s="27">
        <f>ROUND((F422/D422)*250, 2)</f>
      </c>
      <c r="J422" s="27">
        <f>ROUND((F422/D422)*500, 2)</f>
      </c>
    </row>
    <row r="423" ht="20" customHeight="1" spans="1:10" x14ac:dyDescent="0.25">
      <c r="A423" s="12">
        <v>124</v>
      </c>
      <c r="B423" s="12" t="s">
        <v>1060</v>
      </c>
      <c r="C423" s="12" t="s">
        <v>944</v>
      </c>
      <c r="D423" s="12">
        <v>100</v>
      </c>
      <c r="E423" s="12" t="s">
        <v>946</v>
      </c>
      <c r="F423" s="12">
        <v>20</v>
      </c>
      <c r="G423" s="12" t="s">
        <v>139</v>
      </c>
      <c r="H423" s="25">
        <f>ROUND((F423/D423)*100, 2)</f>
      </c>
      <c r="I423" s="25">
        <f>ROUND((F423/D423)*250, 2)</f>
      </c>
      <c r="J423" s="25">
        <f>ROUND((F423/D423)*500, 2)</f>
      </c>
    </row>
    <row r="424" ht="20" customHeight="1" spans="1:10" x14ac:dyDescent="0.25">
      <c r="A424" s="14">
        <v>128</v>
      </c>
      <c r="B424" s="14" t="s">
        <v>1061</v>
      </c>
      <c r="C424" s="14" t="s">
        <v>944</v>
      </c>
      <c r="D424" s="14">
        <v>100</v>
      </c>
      <c r="E424" s="14" t="s">
        <v>927</v>
      </c>
      <c r="F424" s="14">
        <v>2</v>
      </c>
      <c r="G424" s="14" t="s">
        <v>305</v>
      </c>
      <c r="H424" s="27">
        <f>ROUND((F424/D424)*100, 2)</f>
      </c>
      <c r="I424" s="27">
        <f>ROUND((F424/D424)*250, 2)</f>
      </c>
      <c r="J424" s="27">
        <f>ROUND((F424/D424)*500, 2)</f>
      </c>
    </row>
    <row r="425" ht="20" customHeight="1" spans="1:10" x14ac:dyDescent="0.25">
      <c r="A425" s="12">
        <v>128</v>
      </c>
      <c r="B425" s="12" t="s">
        <v>1061</v>
      </c>
      <c r="C425" s="12" t="s">
        <v>944</v>
      </c>
      <c r="D425" s="12">
        <v>100</v>
      </c>
      <c r="E425" s="12" t="s">
        <v>946</v>
      </c>
      <c r="F425" s="12">
        <v>20</v>
      </c>
      <c r="G425" s="12" t="s">
        <v>139</v>
      </c>
      <c r="H425" s="25">
        <f>ROUND((F425/D425)*100, 2)</f>
      </c>
      <c r="I425" s="25">
        <f>ROUND((F425/D425)*250, 2)</f>
      </c>
      <c r="J425" s="25">
        <f>ROUND((F425/D425)*500, 2)</f>
      </c>
    </row>
    <row r="426" ht="20" customHeight="1" spans="1:10" x14ac:dyDescent="0.25">
      <c r="A426" s="14">
        <v>128</v>
      </c>
      <c r="B426" s="14" t="s">
        <v>1061</v>
      </c>
      <c r="C426" s="14" t="s">
        <v>944</v>
      </c>
      <c r="D426" s="14">
        <v>100</v>
      </c>
      <c r="E426" s="14" t="s">
        <v>900</v>
      </c>
      <c r="F426" s="14">
        <v>1.5</v>
      </c>
      <c r="G426" s="14" t="s">
        <v>305</v>
      </c>
      <c r="H426" s="27">
        <f>ROUND((F426/D426)*100, 2)</f>
      </c>
      <c r="I426" s="27">
        <f>ROUND((F426/D426)*250, 2)</f>
      </c>
      <c r="J426" s="27">
        <f>ROUND((F426/D426)*500, 2)</f>
      </c>
    </row>
    <row r="427" ht="20" customHeight="1" spans="1:10" x14ac:dyDescent="0.25">
      <c r="A427" s="12">
        <v>128</v>
      </c>
      <c r="B427" s="12" t="s">
        <v>1061</v>
      </c>
      <c r="C427" s="12" t="s">
        <v>944</v>
      </c>
      <c r="D427" s="12">
        <v>100</v>
      </c>
      <c r="E427" s="12" t="s">
        <v>945</v>
      </c>
      <c r="F427" s="12">
        <v>8</v>
      </c>
      <c r="G427" s="12" t="s">
        <v>139</v>
      </c>
      <c r="H427" s="25">
        <f>ROUND((F427/D427)*100, 2)</f>
      </c>
      <c r="I427" s="25">
        <f>ROUND((F427/D427)*250, 2)</f>
      </c>
      <c r="J427" s="25">
        <f>ROUND((F427/D427)*500, 2)</f>
      </c>
    </row>
    <row r="428" ht="20" customHeight="1" spans="1:10" x14ac:dyDescent="0.25">
      <c r="A428" s="14">
        <v>200</v>
      </c>
      <c r="B428" s="14" t="s">
        <v>1062</v>
      </c>
      <c r="C428" s="14" t="s">
        <v>937</v>
      </c>
      <c r="D428" s="14">
        <v>100</v>
      </c>
      <c r="E428" s="14" t="s">
        <v>938</v>
      </c>
      <c r="F428" s="14">
        <v>3</v>
      </c>
      <c r="G428" s="14" t="s">
        <v>139</v>
      </c>
      <c r="H428" s="27">
        <f>ROUND((F428/D428)*100, 2)</f>
      </c>
      <c r="I428" s="27">
        <f>ROUND((F428/D428)*250, 2)</f>
      </c>
      <c r="J428" s="27">
        <f>ROUND((F428/D428)*500, 2)</f>
      </c>
    </row>
    <row r="429" ht="20" customHeight="1" spans="1:10" x14ac:dyDescent="0.25">
      <c r="A429" s="12">
        <v>200</v>
      </c>
      <c r="B429" s="12" t="s">
        <v>1062</v>
      </c>
      <c r="C429" s="12" t="s">
        <v>937</v>
      </c>
      <c r="D429" s="12">
        <v>100</v>
      </c>
      <c r="E429" s="12" t="s">
        <v>540</v>
      </c>
      <c r="F429" s="12">
        <v>20</v>
      </c>
      <c r="G429" s="12" t="s">
        <v>305</v>
      </c>
      <c r="H429" s="25">
        <f>ROUND((F429/D429)*100, 2)</f>
      </c>
      <c r="I429" s="25">
        <f>ROUND((F429/D429)*250, 2)</f>
      </c>
      <c r="J429" s="25">
        <f>ROUND((F429/D429)*500, 2)</f>
      </c>
    </row>
    <row r="430" ht="20" customHeight="1" spans="1:10" x14ac:dyDescent="0.25">
      <c r="A430" s="14">
        <v>200</v>
      </c>
      <c r="B430" s="14" t="s">
        <v>1062</v>
      </c>
      <c r="C430" s="14" t="s">
        <v>937</v>
      </c>
      <c r="D430" s="14">
        <v>100</v>
      </c>
      <c r="E430" s="14" t="s">
        <v>245</v>
      </c>
      <c r="F430" s="14">
        <v>6</v>
      </c>
      <c r="G430" s="14" t="s">
        <v>139</v>
      </c>
      <c r="H430" s="27">
        <f>ROUND((F430/D430)*100, 2)</f>
      </c>
      <c r="I430" s="27">
        <f>ROUND((F430/D430)*250, 2)</f>
      </c>
      <c r="J430" s="27">
        <f>ROUND((F430/D430)*500, 2)</f>
      </c>
    </row>
    <row r="431" ht="20" customHeight="1" spans="1:10" x14ac:dyDescent="0.25">
      <c r="A431" s="12">
        <v>231</v>
      </c>
      <c r="B431" s="12" t="s">
        <v>1063</v>
      </c>
      <c r="C431" s="12" t="s">
        <v>930</v>
      </c>
      <c r="D431" s="12">
        <v>100</v>
      </c>
      <c r="E431" s="12" t="s">
        <v>134</v>
      </c>
      <c r="F431" s="12">
        <v>2</v>
      </c>
      <c r="G431" s="12" t="s">
        <v>305</v>
      </c>
      <c r="H431" s="25">
        <f>ROUND((F431/D431)*100, 2)</f>
      </c>
      <c r="I431" s="25">
        <f>ROUND((F431/D431)*250, 2)</f>
      </c>
      <c r="J431" s="25">
        <f>ROUND((F431/D431)*500, 2)</f>
      </c>
    </row>
    <row r="432" ht="20" customHeight="1" spans="1:10" x14ac:dyDescent="0.25">
      <c r="A432" s="14">
        <v>231</v>
      </c>
      <c r="B432" s="14" t="s">
        <v>1063</v>
      </c>
      <c r="C432" s="14" t="s">
        <v>930</v>
      </c>
      <c r="D432" s="14">
        <v>100</v>
      </c>
      <c r="E432" s="14" t="s">
        <v>540</v>
      </c>
      <c r="F432" s="14">
        <v>15</v>
      </c>
      <c r="G432" s="14" t="s">
        <v>305</v>
      </c>
      <c r="H432" s="27">
        <f>ROUND((F432/D432)*100, 2)</f>
      </c>
      <c r="I432" s="27">
        <f>ROUND((F432/D432)*250, 2)</f>
      </c>
      <c r="J432" s="27">
        <f>ROUND((F432/D432)*500, 2)</f>
      </c>
    </row>
    <row r="433" ht="20" customHeight="1" spans="1:10" x14ac:dyDescent="0.25">
      <c r="A433" s="12">
        <v>231</v>
      </c>
      <c r="B433" s="12" t="s">
        <v>1063</v>
      </c>
      <c r="C433" s="12" t="s">
        <v>930</v>
      </c>
      <c r="D433" s="12">
        <v>100</v>
      </c>
      <c r="E433" s="12" t="s">
        <v>931</v>
      </c>
      <c r="F433" s="12">
        <v>6</v>
      </c>
      <c r="G433" s="12" t="s">
        <v>139</v>
      </c>
      <c r="H433" s="25">
        <f>ROUND((F433/D433)*100, 2)</f>
      </c>
      <c r="I433" s="25">
        <f>ROUND((F433/D433)*250, 2)</f>
      </c>
      <c r="J433" s="25">
        <f>ROUND((F433/D433)*500, 2)</f>
      </c>
    </row>
    <row r="434" ht="20" customHeight="1" spans="1:10" x14ac:dyDescent="0.25">
      <c r="A434" s="14">
        <v>221</v>
      </c>
      <c r="B434" s="14" t="s">
        <v>1064</v>
      </c>
      <c r="C434" s="14" t="s">
        <v>930</v>
      </c>
      <c r="D434" s="14">
        <v>100</v>
      </c>
      <c r="E434" s="14" t="s">
        <v>931</v>
      </c>
      <c r="F434" s="14">
        <v>6</v>
      </c>
      <c r="G434" s="14" t="s">
        <v>139</v>
      </c>
      <c r="H434" s="27">
        <f>ROUND((F434/D434)*100, 2)</f>
      </c>
      <c r="I434" s="27">
        <f>ROUND((F434/D434)*250, 2)</f>
      </c>
      <c r="J434" s="27">
        <f>ROUND((F434/D434)*500, 2)</f>
      </c>
    </row>
    <row r="435" ht="20" customHeight="1" spans="1:10" x14ac:dyDescent="0.25">
      <c r="A435" s="12">
        <v>221</v>
      </c>
      <c r="B435" s="12" t="s">
        <v>1064</v>
      </c>
      <c r="C435" s="12" t="s">
        <v>930</v>
      </c>
      <c r="D435" s="12">
        <v>100</v>
      </c>
      <c r="E435" s="12" t="s">
        <v>134</v>
      </c>
      <c r="F435" s="12">
        <v>2</v>
      </c>
      <c r="G435" s="12" t="s">
        <v>305</v>
      </c>
      <c r="H435" s="25">
        <f>ROUND((F435/D435)*100, 2)</f>
      </c>
      <c r="I435" s="25">
        <f>ROUND((F435/D435)*250, 2)</f>
      </c>
      <c r="J435" s="25">
        <f>ROUND((F435/D435)*500, 2)</f>
      </c>
    </row>
    <row r="436" ht="20" customHeight="1" spans="1:10" x14ac:dyDescent="0.25">
      <c r="A436" s="14">
        <v>221</v>
      </c>
      <c r="B436" s="14" t="s">
        <v>1064</v>
      </c>
      <c r="C436" s="14" t="s">
        <v>930</v>
      </c>
      <c r="D436" s="14">
        <v>100</v>
      </c>
      <c r="E436" s="14" t="s">
        <v>540</v>
      </c>
      <c r="F436" s="14">
        <v>15</v>
      </c>
      <c r="G436" s="14" t="s">
        <v>305</v>
      </c>
      <c r="H436" s="27">
        <f>ROUND((F436/D436)*100, 2)</f>
      </c>
      <c r="I436" s="27">
        <f>ROUND((F436/D436)*250, 2)</f>
      </c>
      <c r="J436" s="27">
        <f>ROUND((F436/D436)*500, 2)</f>
      </c>
    </row>
    <row r="437" ht="20" customHeight="1" spans="1:10" x14ac:dyDescent="0.25">
      <c r="A437" s="12">
        <v>139</v>
      </c>
      <c r="B437" s="12" t="s">
        <v>1065</v>
      </c>
      <c r="C437" s="12" t="s">
        <v>1066</v>
      </c>
      <c r="D437" s="12">
        <v>100</v>
      </c>
      <c r="E437" s="12" t="s">
        <v>1067</v>
      </c>
      <c r="F437" s="12">
        <v>100</v>
      </c>
      <c r="G437" s="12" t="s">
        <v>127</v>
      </c>
      <c r="H437" s="25">
        <f>ROUND((F437/D437)*100, 2)</f>
      </c>
      <c r="I437" s="25">
        <f>ROUND((F437/D437)*250, 2)</f>
      </c>
      <c r="J437" s="25">
        <f>ROUND((F437/D437)*500, 2)</f>
      </c>
    </row>
    <row r="438" ht="20" customHeight="1" spans="1:10" x14ac:dyDescent="0.25">
      <c r="A438" s="14">
        <v>139</v>
      </c>
      <c r="B438" s="14" t="s">
        <v>1065</v>
      </c>
      <c r="C438" s="14" t="s">
        <v>1066</v>
      </c>
      <c r="D438" s="14">
        <v>100</v>
      </c>
      <c r="E438" s="14" t="s">
        <v>562</v>
      </c>
      <c r="F438" s="14">
        <v>8</v>
      </c>
      <c r="G438" s="14" t="s">
        <v>139</v>
      </c>
      <c r="H438" s="27">
        <f>ROUND((F438/D438)*100, 2)</f>
      </c>
      <c r="I438" s="27">
        <f>ROUND((F438/D438)*250, 2)</f>
      </c>
      <c r="J438" s="27">
        <f>ROUND((F438/D438)*500, 2)</f>
      </c>
    </row>
    <row r="439" ht="20" customHeight="1" spans="1:10" x14ac:dyDescent="0.25">
      <c r="A439" s="12">
        <v>139</v>
      </c>
      <c r="B439" s="12" t="s">
        <v>1065</v>
      </c>
      <c r="C439" s="12" t="s">
        <v>1066</v>
      </c>
      <c r="D439" s="12">
        <v>100</v>
      </c>
      <c r="E439" s="12" t="s">
        <v>1068</v>
      </c>
      <c r="F439" s="12">
        <v>6</v>
      </c>
      <c r="G439" s="12" t="s">
        <v>139</v>
      </c>
      <c r="H439" s="25">
        <f>ROUND((F439/D439)*100, 2)</f>
      </c>
      <c r="I439" s="25">
        <f>ROUND((F439/D439)*250, 2)</f>
      </c>
      <c r="J439" s="25">
        <f>ROUND((F439/D439)*500, 2)</f>
      </c>
    </row>
    <row r="440" ht="20" customHeight="1" spans="1:10" x14ac:dyDescent="0.25">
      <c r="A440" s="14">
        <v>139</v>
      </c>
      <c r="B440" s="14" t="s">
        <v>1065</v>
      </c>
      <c r="C440" s="14" t="s">
        <v>1066</v>
      </c>
      <c r="D440" s="14">
        <v>100</v>
      </c>
      <c r="E440" s="14" t="s">
        <v>654</v>
      </c>
      <c r="F440" s="14">
        <v>3</v>
      </c>
      <c r="G440" s="14" t="s">
        <v>139</v>
      </c>
      <c r="H440" s="27">
        <f>ROUND((F440/D440)*100, 2)</f>
      </c>
      <c r="I440" s="27">
        <f>ROUND((F440/D440)*250, 2)</f>
      </c>
      <c r="J440" s="27">
        <f>ROUND((F440/D440)*500, 2)</f>
      </c>
    </row>
    <row r="441" ht="20" customHeight="1" spans="1:10" x14ac:dyDescent="0.25">
      <c r="A441" s="12">
        <v>135</v>
      </c>
      <c r="B441" s="12" t="s">
        <v>1069</v>
      </c>
      <c r="C441" s="12" t="s">
        <v>1066</v>
      </c>
      <c r="D441" s="12">
        <v>100</v>
      </c>
      <c r="E441" s="12" t="s">
        <v>654</v>
      </c>
      <c r="F441" s="12">
        <v>3</v>
      </c>
      <c r="G441" s="12" t="s">
        <v>139</v>
      </c>
      <c r="H441" s="25">
        <f>ROUND((F441/D441)*100, 2)</f>
      </c>
      <c r="I441" s="25">
        <f>ROUND((F441/D441)*250, 2)</f>
      </c>
      <c r="J441" s="25">
        <f>ROUND((F441/D441)*500, 2)</f>
      </c>
    </row>
    <row r="442" ht="20" customHeight="1" spans="1:10" x14ac:dyDescent="0.25">
      <c r="A442" s="14">
        <v>135</v>
      </c>
      <c r="B442" s="14" t="s">
        <v>1069</v>
      </c>
      <c r="C442" s="14" t="s">
        <v>1066</v>
      </c>
      <c r="D442" s="14">
        <v>100</v>
      </c>
      <c r="E442" s="14" t="s">
        <v>1068</v>
      </c>
      <c r="F442" s="14">
        <v>6</v>
      </c>
      <c r="G442" s="14" t="s">
        <v>139</v>
      </c>
      <c r="H442" s="27">
        <f>ROUND((F442/D442)*100, 2)</f>
      </c>
      <c r="I442" s="27">
        <f>ROUND((F442/D442)*250, 2)</f>
      </c>
      <c r="J442" s="27">
        <f>ROUND((F442/D442)*500, 2)</f>
      </c>
    </row>
    <row r="443" ht="20" customHeight="1" spans="1:10" x14ac:dyDescent="0.25">
      <c r="A443" s="12">
        <v>135</v>
      </c>
      <c r="B443" s="12" t="s">
        <v>1069</v>
      </c>
      <c r="C443" s="12" t="s">
        <v>1066</v>
      </c>
      <c r="D443" s="12">
        <v>100</v>
      </c>
      <c r="E443" s="12" t="s">
        <v>562</v>
      </c>
      <c r="F443" s="12">
        <v>8</v>
      </c>
      <c r="G443" s="12" t="s">
        <v>139</v>
      </c>
      <c r="H443" s="25">
        <f>ROUND((F443/D443)*100, 2)</f>
      </c>
      <c r="I443" s="25">
        <f>ROUND((F443/D443)*250, 2)</f>
      </c>
      <c r="J443" s="25">
        <f>ROUND((F443/D443)*500, 2)</f>
      </c>
    </row>
    <row r="444" ht="20" customHeight="1" spans="1:10" x14ac:dyDescent="0.25">
      <c r="A444" s="14">
        <v>135</v>
      </c>
      <c r="B444" s="14" t="s">
        <v>1069</v>
      </c>
      <c r="C444" s="14" t="s">
        <v>1066</v>
      </c>
      <c r="D444" s="14">
        <v>100</v>
      </c>
      <c r="E444" s="14" t="s">
        <v>1067</v>
      </c>
      <c r="F444" s="14">
        <v>100</v>
      </c>
      <c r="G444" s="14" t="s">
        <v>127</v>
      </c>
      <c r="H444" s="27">
        <f>ROUND((F444/D444)*100, 2)</f>
      </c>
      <c r="I444" s="27">
        <f>ROUND((F444/D444)*250, 2)</f>
      </c>
      <c r="J444" s="27">
        <f>ROUND((F444/D444)*500, 2)</f>
      </c>
    </row>
    <row r="445" ht="20" customHeight="1" spans="1:10" x14ac:dyDescent="0.25">
      <c r="A445" s="12">
        <v>35</v>
      </c>
      <c r="B445" s="12" t="s">
        <v>1070</v>
      </c>
      <c r="C445" s="12" t="s">
        <v>897</v>
      </c>
      <c r="D445" s="12">
        <v>100</v>
      </c>
      <c r="E445" s="12" t="s">
        <v>899</v>
      </c>
      <c r="F445" s="12">
        <v>15</v>
      </c>
      <c r="G445" s="12" t="s">
        <v>139</v>
      </c>
      <c r="H445" s="25">
        <f>ROUND((F445/D445)*100, 2)</f>
      </c>
      <c r="I445" s="25">
        <f>ROUND((F445/D445)*250, 2)</f>
      </c>
      <c r="J445" s="25">
        <f>ROUND((F445/D445)*500, 2)</f>
      </c>
    </row>
    <row r="446" ht="20" customHeight="1" spans="1:10" x14ac:dyDescent="0.25">
      <c r="A446" s="14">
        <v>35</v>
      </c>
      <c r="B446" s="14" t="s">
        <v>1070</v>
      </c>
      <c r="C446" s="14" t="s">
        <v>897</v>
      </c>
      <c r="D446" s="14">
        <v>100</v>
      </c>
      <c r="E446" s="14" t="s">
        <v>900</v>
      </c>
      <c r="F446" s="14">
        <v>1</v>
      </c>
      <c r="G446" s="14" t="s">
        <v>305</v>
      </c>
      <c r="H446" s="27">
        <f>ROUND((F446/D446)*100, 2)</f>
      </c>
      <c r="I446" s="27">
        <f>ROUND((F446/D446)*250, 2)</f>
      </c>
      <c r="J446" s="27">
        <f>ROUND((F446/D446)*500, 2)</f>
      </c>
    </row>
    <row r="447" ht="20" customHeight="1" spans="1:10" x14ac:dyDescent="0.25">
      <c r="A447" s="12">
        <v>35</v>
      </c>
      <c r="B447" s="12" t="s">
        <v>1070</v>
      </c>
      <c r="C447" s="12" t="s">
        <v>897</v>
      </c>
      <c r="D447" s="12">
        <v>100</v>
      </c>
      <c r="E447" s="12" t="s">
        <v>901</v>
      </c>
      <c r="F447" s="12">
        <v>10</v>
      </c>
      <c r="G447" s="12" t="s">
        <v>305</v>
      </c>
      <c r="H447" s="25">
        <f>ROUND((F447/D447)*100, 2)</f>
      </c>
      <c r="I447" s="25">
        <f>ROUND((F447/D447)*250, 2)</f>
      </c>
      <c r="J447" s="25">
        <f>ROUND((F447/D447)*500, 2)</f>
      </c>
    </row>
    <row r="448" ht="20" customHeight="1" spans="1:10" x14ac:dyDescent="0.25">
      <c r="A448" s="14">
        <v>35</v>
      </c>
      <c r="B448" s="14" t="s">
        <v>1070</v>
      </c>
      <c r="C448" s="14" t="s">
        <v>897</v>
      </c>
      <c r="D448" s="14">
        <v>100</v>
      </c>
      <c r="E448" s="14" t="s">
        <v>898</v>
      </c>
      <c r="F448" s="14">
        <v>3</v>
      </c>
      <c r="G448" s="14" t="s">
        <v>139</v>
      </c>
      <c r="H448" s="27">
        <f>ROUND((F448/D448)*100, 2)</f>
      </c>
      <c r="I448" s="27">
        <f>ROUND((F448/D448)*250, 2)</f>
      </c>
      <c r="J448" s="27">
        <f>ROUND((F448/D448)*500, 2)</f>
      </c>
    </row>
    <row r="449" ht="20" customHeight="1" spans="1:10" x14ac:dyDescent="0.25">
      <c r="A449" s="12">
        <v>96</v>
      </c>
      <c r="B449" s="12" t="s">
        <v>1071</v>
      </c>
      <c r="C449" s="12" t="s">
        <v>925</v>
      </c>
      <c r="D449" s="12">
        <v>100</v>
      </c>
      <c r="E449" s="12" t="s">
        <v>926</v>
      </c>
      <c r="F449" s="12">
        <v>2</v>
      </c>
      <c r="G449" s="12" t="s">
        <v>139</v>
      </c>
      <c r="H449" s="25">
        <f>ROUND((F449/D449)*100, 2)</f>
      </c>
      <c r="I449" s="25">
        <f>ROUND((F449/D449)*250, 2)</f>
      </c>
      <c r="J449" s="25">
        <f>ROUND((F449/D449)*500, 2)</f>
      </c>
    </row>
    <row r="450" ht="20" customHeight="1" spans="1:10" x14ac:dyDescent="0.25">
      <c r="A450" s="14">
        <v>96</v>
      </c>
      <c r="B450" s="14" t="s">
        <v>1071</v>
      </c>
      <c r="C450" s="14" t="s">
        <v>925</v>
      </c>
      <c r="D450" s="14">
        <v>100</v>
      </c>
      <c r="E450" s="14" t="s">
        <v>927</v>
      </c>
      <c r="F450" s="14">
        <v>3</v>
      </c>
      <c r="G450" s="14" t="s">
        <v>305</v>
      </c>
      <c r="H450" s="27">
        <f>ROUND((F450/D450)*100, 2)</f>
      </c>
      <c r="I450" s="27">
        <f>ROUND((F450/D450)*250, 2)</f>
      </c>
      <c r="J450" s="27">
        <f>ROUND((F450/D450)*500, 2)</f>
      </c>
    </row>
    <row r="451" ht="20" customHeight="1" spans="1:10" x14ac:dyDescent="0.25">
      <c r="A451" s="12">
        <v>96</v>
      </c>
      <c r="B451" s="12" t="s">
        <v>1071</v>
      </c>
      <c r="C451" s="12" t="s">
        <v>925</v>
      </c>
      <c r="D451" s="12">
        <v>100</v>
      </c>
      <c r="E451" s="12" t="s">
        <v>900</v>
      </c>
      <c r="F451" s="12">
        <v>2</v>
      </c>
      <c r="G451" s="12" t="s">
        <v>305</v>
      </c>
      <c r="H451" s="25">
        <f>ROUND((F451/D451)*100, 2)</f>
      </c>
      <c r="I451" s="25">
        <f>ROUND((F451/D451)*250, 2)</f>
      </c>
      <c r="J451" s="25">
        <f>ROUND((F451/D451)*500, 2)</f>
      </c>
    </row>
    <row r="452" ht="20" customHeight="1" spans="1:10" x14ac:dyDescent="0.25">
      <c r="A452" s="14">
        <v>96</v>
      </c>
      <c r="B452" s="14" t="s">
        <v>1071</v>
      </c>
      <c r="C452" s="14" t="s">
        <v>925</v>
      </c>
      <c r="D452" s="14">
        <v>100</v>
      </c>
      <c r="E452" s="14" t="s">
        <v>928</v>
      </c>
      <c r="F452" s="14">
        <v>15</v>
      </c>
      <c r="G452" s="14" t="s">
        <v>139</v>
      </c>
      <c r="H452" s="27">
        <f>ROUND((F452/D452)*100, 2)</f>
      </c>
      <c r="I452" s="27">
        <f>ROUND((F452/D452)*250, 2)</f>
      </c>
      <c r="J452" s="27">
        <f>ROUND((F452/D452)*500, 2)</f>
      </c>
    </row>
    <row r="453" ht="20" customHeight="1" spans="1:10" x14ac:dyDescent="0.25">
      <c r="A453" s="12">
        <v>41</v>
      </c>
      <c r="B453" s="12" t="s">
        <v>1072</v>
      </c>
      <c r="C453" s="12" t="s">
        <v>1073</v>
      </c>
      <c r="D453" s="12">
        <v>100</v>
      </c>
      <c r="E453" s="12" t="s">
        <v>1074</v>
      </c>
      <c r="F453" s="12">
        <v>10</v>
      </c>
      <c r="G453" s="12" t="s">
        <v>139</v>
      </c>
      <c r="H453" s="25">
        <f>ROUND((F453/D453)*100, 2)</f>
      </c>
      <c r="I453" s="25">
        <f>ROUND((F453/D453)*250, 2)</f>
      </c>
      <c r="J453" s="25">
        <f>ROUND((F453/D453)*500, 2)</f>
      </c>
    </row>
    <row r="454" ht="20" customHeight="1" spans="1:10" x14ac:dyDescent="0.25">
      <c r="A454" s="14">
        <v>41</v>
      </c>
      <c r="B454" s="14" t="s">
        <v>1072</v>
      </c>
      <c r="C454" s="14" t="s">
        <v>1073</v>
      </c>
      <c r="D454" s="14">
        <v>100</v>
      </c>
      <c r="E454" s="14" t="s">
        <v>1075</v>
      </c>
      <c r="F454" s="14">
        <v>8</v>
      </c>
      <c r="G454" s="14" t="s">
        <v>139</v>
      </c>
      <c r="H454" s="27">
        <f>ROUND((F454/D454)*100, 2)</f>
      </c>
      <c r="I454" s="27">
        <f>ROUND((F454/D454)*250, 2)</f>
      </c>
      <c r="J454" s="27">
        <f>ROUND((F454/D454)*500, 2)</f>
      </c>
    </row>
    <row r="455" ht="20" customHeight="1" spans="1:10" x14ac:dyDescent="0.25">
      <c r="A455" s="12">
        <v>41</v>
      </c>
      <c r="B455" s="12" t="s">
        <v>1072</v>
      </c>
      <c r="C455" s="12" t="s">
        <v>1073</v>
      </c>
      <c r="D455" s="12">
        <v>100</v>
      </c>
      <c r="E455" s="12" t="s">
        <v>176</v>
      </c>
      <c r="F455" s="12">
        <v>20</v>
      </c>
      <c r="G455" s="12" t="s">
        <v>139</v>
      </c>
      <c r="H455" s="25">
        <f>ROUND((F455/D455)*100, 2)</f>
      </c>
      <c r="I455" s="25">
        <f>ROUND((F455/D455)*250, 2)</f>
      </c>
      <c r="J455" s="25">
        <f>ROUND((F455/D455)*500, 2)</f>
      </c>
    </row>
    <row r="456" ht="20" customHeight="1" spans="1:10" x14ac:dyDescent="0.25">
      <c r="A456" s="14">
        <v>41</v>
      </c>
      <c r="B456" s="14" t="s">
        <v>1072</v>
      </c>
      <c r="C456" s="14" t="s">
        <v>1073</v>
      </c>
      <c r="D456" s="14">
        <v>100</v>
      </c>
      <c r="E456" s="14" t="s">
        <v>610</v>
      </c>
      <c r="F456" s="14">
        <v>100</v>
      </c>
      <c r="G456" s="14" t="s">
        <v>127</v>
      </c>
      <c r="H456" s="27">
        <f>ROUND((F456/D456)*100, 2)</f>
      </c>
      <c r="I456" s="27">
        <f>ROUND((F456/D456)*250, 2)</f>
      </c>
      <c r="J456" s="27">
        <f>ROUND((F456/D456)*500, 2)</f>
      </c>
    </row>
    <row r="457" ht="20" customHeight="1" spans="1:10" x14ac:dyDescent="0.25">
      <c r="A457" s="12">
        <v>41</v>
      </c>
      <c r="B457" s="12" t="s">
        <v>1072</v>
      </c>
      <c r="C457" s="12" t="s">
        <v>1073</v>
      </c>
      <c r="D457" s="12">
        <v>100</v>
      </c>
      <c r="E457" s="12" t="s">
        <v>328</v>
      </c>
      <c r="F457" s="12">
        <v>5</v>
      </c>
      <c r="G457" s="12" t="s">
        <v>139</v>
      </c>
      <c r="H457" s="25">
        <f>ROUND((F457/D457)*100, 2)</f>
      </c>
      <c r="I457" s="25">
        <f>ROUND((F457/D457)*250, 2)</f>
      </c>
      <c r="J457" s="25">
        <f>ROUND((F457/D457)*500, 2)</f>
      </c>
    </row>
    <row r="458" ht="20" customHeight="1" spans="1:10" x14ac:dyDescent="0.25">
      <c r="A458" s="14">
        <v>44</v>
      </c>
      <c r="B458" s="14" t="s">
        <v>1076</v>
      </c>
      <c r="C458" s="14" t="s">
        <v>1073</v>
      </c>
      <c r="D458" s="14">
        <v>100</v>
      </c>
      <c r="E458" s="14" t="s">
        <v>176</v>
      </c>
      <c r="F458" s="14">
        <v>20</v>
      </c>
      <c r="G458" s="14" t="s">
        <v>139</v>
      </c>
      <c r="H458" s="27">
        <f>ROUND((F458/D458)*100, 2)</f>
      </c>
      <c r="I458" s="27">
        <f>ROUND((F458/D458)*250, 2)</f>
      </c>
      <c r="J458" s="27">
        <f>ROUND((F458/D458)*500, 2)</f>
      </c>
    </row>
    <row r="459" ht="20" customHeight="1" spans="1:10" x14ac:dyDescent="0.25">
      <c r="A459" s="12">
        <v>44</v>
      </c>
      <c r="B459" s="12" t="s">
        <v>1076</v>
      </c>
      <c r="C459" s="12" t="s">
        <v>1073</v>
      </c>
      <c r="D459" s="12">
        <v>100</v>
      </c>
      <c r="E459" s="12" t="s">
        <v>1075</v>
      </c>
      <c r="F459" s="12">
        <v>8</v>
      </c>
      <c r="G459" s="12" t="s">
        <v>139</v>
      </c>
      <c r="H459" s="25">
        <f>ROUND((F459/D459)*100, 2)</f>
      </c>
      <c r="I459" s="25">
        <f>ROUND((F459/D459)*250, 2)</f>
      </c>
      <c r="J459" s="25">
        <f>ROUND((F459/D459)*500, 2)</f>
      </c>
    </row>
    <row r="460" ht="20" customHeight="1" spans="1:10" x14ac:dyDescent="0.25">
      <c r="A460" s="14">
        <v>44</v>
      </c>
      <c r="B460" s="14" t="s">
        <v>1076</v>
      </c>
      <c r="C460" s="14" t="s">
        <v>1073</v>
      </c>
      <c r="D460" s="14">
        <v>100</v>
      </c>
      <c r="E460" s="14" t="s">
        <v>1074</v>
      </c>
      <c r="F460" s="14">
        <v>10</v>
      </c>
      <c r="G460" s="14" t="s">
        <v>139</v>
      </c>
      <c r="H460" s="27">
        <f>ROUND((F460/D460)*100, 2)</f>
      </c>
      <c r="I460" s="27">
        <f>ROUND((F460/D460)*250, 2)</f>
      </c>
      <c r="J460" s="27">
        <f>ROUND((F460/D460)*500, 2)</f>
      </c>
    </row>
    <row r="461" ht="20" customHeight="1" spans="1:10" x14ac:dyDescent="0.25">
      <c r="A461" s="12">
        <v>44</v>
      </c>
      <c r="B461" s="12" t="s">
        <v>1076</v>
      </c>
      <c r="C461" s="12" t="s">
        <v>1073</v>
      </c>
      <c r="D461" s="12">
        <v>100</v>
      </c>
      <c r="E461" s="12" t="s">
        <v>328</v>
      </c>
      <c r="F461" s="12">
        <v>5</v>
      </c>
      <c r="G461" s="12" t="s">
        <v>139</v>
      </c>
      <c r="H461" s="25">
        <f>ROUND((F461/D461)*100, 2)</f>
      </c>
      <c r="I461" s="25">
        <f>ROUND((F461/D461)*250, 2)</f>
      </c>
      <c r="J461" s="25">
        <f>ROUND((F461/D461)*500, 2)</f>
      </c>
    </row>
    <row r="462" ht="20" customHeight="1" spans="1:10" x14ac:dyDescent="0.25">
      <c r="A462" s="14">
        <v>44</v>
      </c>
      <c r="B462" s="14" t="s">
        <v>1076</v>
      </c>
      <c r="C462" s="14" t="s">
        <v>1073</v>
      </c>
      <c r="D462" s="14">
        <v>100</v>
      </c>
      <c r="E462" s="14" t="s">
        <v>610</v>
      </c>
      <c r="F462" s="14">
        <v>100</v>
      </c>
      <c r="G462" s="14" t="s">
        <v>127</v>
      </c>
      <c r="H462" s="27">
        <f>ROUND((F462/D462)*100, 2)</f>
      </c>
      <c r="I462" s="27">
        <f>ROUND((F462/D462)*250, 2)</f>
      </c>
      <c r="J462" s="27">
        <f>ROUND((F462/D462)*500, 2)</f>
      </c>
    </row>
    <row r="463" ht="20" customHeight="1" spans="1:10" x14ac:dyDescent="0.25">
      <c r="A463" s="12">
        <v>43</v>
      </c>
      <c r="B463" s="12" t="s">
        <v>1077</v>
      </c>
      <c r="C463" s="12" t="s">
        <v>1073</v>
      </c>
      <c r="D463" s="12">
        <v>100</v>
      </c>
      <c r="E463" s="12" t="s">
        <v>1074</v>
      </c>
      <c r="F463" s="12">
        <v>10</v>
      </c>
      <c r="G463" s="12" t="s">
        <v>139</v>
      </c>
      <c r="H463" s="25">
        <f>ROUND((F463/D463)*100, 2)</f>
      </c>
      <c r="I463" s="25">
        <f>ROUND((F463/D463)*250, 2)</f>
      </c>
      <c r="J463" s="25">
        <f>ROUND((F463/D463)*500, 2)</f>
      </c>
    </row>
    <row r="464" ht="20" customHeight="1" spans="1:10" x14ac:dyDescent="0.25">
      <c r="A464" s="14">
        <v>43</v>
      </c>
      <c r="B464" s="14" t="s">
        <v>1077</v>
      </c>
      <c r="C464" s="14" t="s">
        <v>1073</v>
      </c>
      <c r="D464" s="14">
        <v>100</v>
      </c>
      <c r="E464" s="14" t="s">
        <v>610</v>
      </c>
      <c r="F464" s="14">
        <v>100</v>
      </c>
      <c r="G464" s="14" t="s">
        <v>127</v>
      </c>
      <c r="H464" s="27">
        <f>ROUND((F464/D464)*100, 2)</f>
      </c>
      <c r="I464" s="27">
        <f>ROUND((F464/D464)*250, 2)</f>
      </c>
      <c r="J464" s="27">
        <f>ROUND((F464/D464)*500, 2)</f>
      </c>
    </row>
    <row r="465" ht="20" customHeight="1" spans="1:10" x14ac:dyDescent="0.25">
      <c r="A465" s="12">
        <v>43</v>
      </c>
      <c r="B465" s="12" t="s">
        <v>1077</v>
      </c>
      <c r="C465" s="12" t="s">
        <v>1073</v>
      </c>
      <c r="D465" s="12">
        <v>100</v>
      </c>
      <c r="E465" s="12" t="s">
        <v>328</v>
      </c>
      <c r="F465" s="12">
        <v>5</v>
      </c>
      <c r="G465" s="12" t="s">
        <v>139</v>
      </c>
      <c r="H465" s="25">
        <f>ROUND((F465/D465)*100, 2)</f>
      </c>
      <c r="I465" s="25">
        <f>ROUND((F465/D465)*250, 2)</f>
      </c>
      <c r="J465" s="25">
        <f>ROUND((F465/D465)*500, 2)</f>
      </c>
    </row>
    <row r="466" ht="20" customHeight="1" spans="1:10" x14ac:dyDescent="0.25">
      <c r="A466" s="14">
        <v>43</v>
      </c>
      <c r="B466" s="14" t="s">
        <v>1077</v>
      </c>
      <c r="C466" s="14" t="s">
        <v>1073</v>
      </c>
      <c r="D466" s="14">
        <v>100</v>
      </c>
      <c r="E466" s="14" t="s">
        <v>1075</v>
      </c>
      <c r="F466" s="14">
        <v>8</v>
      </c>
      <c r="G466" s="14" t="s">
        <v>139</v>
      </c>
      <c r="H466" s="27">
        <f>ROUND((F466/D466)*100, 2)</f>
      </c>
      <c r="I466" s="27">
        <f>ROUND((F466/D466)*250, 2)</f>
      </c>
      <c r="J466" s="27">
        <f>ROUND((F466/D466)*500, 2)</f>
      </c>
    </row>
    <row r="467" ht="20" customHeight="1" spans="1:10" x14ac:dyDescent="0.25">
      <c r="A467" s="12">
        <v>43</v>
      </c>
      <c r="B467" s="12" t="s">
        <v>1077</v>
      </c>
      <c r="C467" s="12" t="s">
        <v>1073</v>
      </c>
      <c r="D467" s="12">
        <v>100</v>
      </c>
      <c r="E467" s="12" t="s">
        <v>176</v>
      </c>
      <c r="F467" s="12">
        <v>20</v>
      </c>
      <c r="G467" s="12" t="s">
        <v>139</v>
      </c>
      <c r="H467" s="25">
        <f>ROUND((F467/D467)*100, 2)</f>
      </c>
      <c r="I467" s="25">
        <f>ROUND((F467/D467)*250, 2)</f>
      </c>
      <c r="J467" s="25">
        <f>ROUND((F467/D467)*500, 2)</f>
      </c>
    </row>
    <row r="468" ht="20" customHeight="1" spans="1:10" x14ac:dyDescent="0.25">
      <c r="A468" s="14">
        <v>42</v>
      </c>
      <c r="B468" s="14" t="s">
        <v>1078</v>
      </c>
      <c r="C468" s="14" t="s">
        <v>1073</v>
      </c>
      <c r="D468" s="14">
        <v>100</v>
      </c>
      <c r="E468" s="14" t="s">
        <v>176</v>
      </c>
      <c r="F468" s="14">
        <v>20</v>
      </c>
      <c r="G468" s="14" t="s">
        <v>139</v>
      </c>
      <c r="H468" s="27">
        <f>ROUND((F468/D468)*100, 2)</f>
      </c>
      <c r="I468" s="27">
        <f>ROUND((F468/D468)*250, 2)</f>
      </c>
      <c r="J468" s="27">
        <f>ROUND((F468/D468)*500, 2)</f>
      </c>
    </row>
    <row r="469" ht="20" customHeight="1" spans="1:10" x14ac:dyDescent="0.25">
      <c r="A469" s="12">
        <v>42</v>
      </c>
      <c r="B469" s="12" t="s">
        <v>1078</v>
      </c>
      <c r="C469" s="12" t="s">
        <v>1073</v>
      </c>
      <c r="D469" s="12">
        <v>100</v>
      </c>
      <c r="E469" s="12" t="s">
        <v>1074</v>
      </c>
      <c r="F469" s="12">
        <v>10</v>
      </c>
      <c r="G469" s="12" t="s">
        <v>139</v>
      </c>
      <c r="H469" s="25">
        <f>ROUND((F469/D469)*100, 2)</f>
      </c>
      <c r="I469" s="25">
        <f>ROUND((F469/D469)*250, 2)</f>
      </c>
      <c r="J469" s="25">
        <f>ROUND((F469/D469)*500, 2)</f>
      </c>
    </row>
    <row r="470" ht="20" customHeight="1" spans="1:10" x14ac:dyDescent="0.25">
      <c r="A470" s="14">
        <v>42</v>
      </c>
      <c r="B470" s="14" t="s">
        <v>1078</v>
      </c>
      <c r="C470" s="14" t="s">
        <v>1073</v>
      </c>
      <c r="D470" s="14">
        <v>100</v>
      </c>
      <c r="E470" s="14" t="s">
        <v>328</v>
      </c>
      <c r="F470" s="14">
        <v>5</v>
      </c>
      <c r="G470" s="14" t="s">
        <v>139</v>
      </c>
      <c r="H470" s="27">
        <f>ROUND((F470/D470)*100, 2)</f>
      </c>
      <c r="I470" s="27">
        <f>ROUND((F470/D470)*250, 2)</f>
      </c>
      <c r="J470" s="27">
        <f>ROUND((F470/D470)*500, 2)</f>
      </c>
    </row>
    <row r="471" ht="20" customHeight="1" spans="1:10" x14ac:dyDescent="0.25">
      <c r="A471" s="12">
        <v>42</v>
      </c>
      <c r="B471" s="12" t="s">
        <v>1078</v>
      </c>
      <c r="C471" s="12" t="s">
        <v>1073</v>
      </c>
      <c r="D471" s="12">
        <v>100</v>
      </c>
      <c r="E471" s="12" t="s">
        <v>610</v>
      </c>
      <c r="F471" s="12">
        <v>100</v>
      </c>
      <c r="G471" s="12" t="s">
        <v>127</v>
      </c>
      <c r="H471" s="25">
        <f>ROUND((F471/D471)*100, 2)</f>
      </c>
      <c r="I471" s="25">
        <f>ROUND((F471/D471)*250, 2)</f>
      </c>
      <c r="J471" s="25">
        <f>ROUND((F471/D471)*500, 2)</f>
      </c>
    </row>
    <row r="472" ht="20" customHeight="1" spans="1:10" x14ac:dyDescent="0.25">
      <c r="A472" s="14">
        <v>42</v>
      </c>
      <c r="B472" s="14" t="s">
        <v>1078</v>
      </c>
      <c r="C472" s="14" t="s">
        <v>1073</v>
      </c>
      <c r="D472" s="14">
        <v>100</v>
      </c>
      <c r="E472" s="14" t="s">
        <v>1075</v>
      </c>
      <c r="F472" s="14">
        <v>8</v>
      </c>
      <c r="G472" s="14" t="s">
        <v>139</v>
      </c>
      <c r="H472" s="27">
        <f>ROUND((F472/D472)*100, 2)</f>
      </c>
      <c r="I472" s="27">
        <f>ROUND((F472/D472)*250, 2)</f>
      </c>
      <c r="J472" s="27">
        <f>ROUND((F472/D472)*500, 2)</f>
      </c>
    </row>
    <row r="473" ht="20" customHeight="1" spans="1:10" x14ac:dyDescent="0.25">
      <c r="A473" s="12">
        <v>47</v>
      </c>
      <c r="B473" s="12" t="s">
        <v>1079</v>
      </c>
      <c r="C473" s="12" t="s">
        <v>1004</v>
      </c>
      <c r="D473" s="12">
        <v>100</v>
      </c>
      <c r="E473" s="12" t="s">
        <v>1006</v>
      </c>
      <c r="F473" s="12">
        <v>2</v>
      </c>
      <c r="G473" s="12" t="s">
        <v>139</v>
      </c>
      <c r="H473" s="25">
        <f>ROUND((F473/D473)*100, 2)</f>
      </c>
      <c r="I473" s="25">
        <f>ROUND((F473/D473)*250, 2)</f>
      </c>
      <c r="J473" s="25">
        <f>ROUND((F473/D473)*500, 2)</f>
      </c>
    </row>
    <row r="474" ht="20" customHeight="1" spans="1:10" x14ac:dyDescent="0.25">
      <c r="A474" s="14">
        <v>47</v>
      </c>
      <c r="B474" s="14" t="s">
        <v>1079</v>
      </c>
      <c r="C474" s="14" t="s">
        <v>1004</v>
      </c>
      <c r="D474" s="14">
        <v>100</v>
      </c>
      <c r="E474" s="14" t="s">
        <v>1005</v>
      </c>
      <c r="F474" s="14">
        <v>12</v>
      </c>
      <c r="G474" s="14" t="s">
        <v>139</v>
      </c>
      <c r="H474" s="27">
        <f>ROUND((F474/D474)*100, 2)</f>
      </c>
      <c r="I474" s="27">
        <f>ROUND((F474/D474)*250, 2)</f>
      </c>
      <c r="J474" s="27">
        <f>ROUND((F474/D474)*500, 2)</f>
      </c>
    </row>
    <row r="475" ht="20" customHeight="1" spans="1:10" x14ac:dyDescent="0.25">
      <c r="A475" s="12">
        <v>47</v>
      </c>
      <c r="B475" s="12" t="s">
        <v>1079</v>
      </c>
      <c r="C475" s="12" t="s">
        <v>1004</v>
      </c>
      <c r="D475" s="12">
        <v>100</v>
      </c>
      <c r="E475" s="12" t="s">
        <v>950</v>
      </c>
      <c r="F475" s="12">
        <v>10</v>
      </c>
      <c r="G475" s="12" t="s">
        <v>139</v>
      </c>
      <c r="H475" s="25">
        <f>ROUND((F475/D475)*100, 2)</f>
      </c>
      <c r="I475" s="25">
        <f>ROUND((F475/D475)*250, 2)</f>
      </c>
      <c r="J475" s="25">
        <f>ROUND((F475/D475)*500, 2)</f>
      </c>
    </row>
    <row r="476" ht="20" customHeight="1" spans="1:10" x14ac:dyDescent="0.25">
      <c r="A476" s="14">
        <v>47</v>
      </c>
      <c r="B476" s="14" t="s">
        <v>1079</v>
      </c>
      <c r="C476" s="14" t="s">
        <v>1004</v>
      </c>
      <c r="D476" s="14">
        <v>100</v>
      </c>
      <c r="E476" s="14" t="s">
        <v>900</v>
      </c>
      <c r="F476" s="14">
        <v>1.5</v>
      </c>
      <c r="G476" s="14" t="s">
        <v>305</v>
      </c>
      <c r="H476" s="27">
        <f>ROUND((F476/D476)*100, 2)</f>
      </c>
      <c r="I476" s="27">
        <f>ROUND((F476/D476)*250, 2)</f>
      </c>
      <c r="J476" s="27">
        <f>ROUND((F476/D476)*500, 2)</f>
      </c>
    </row>
    <row r="477" ht="20" customHeight="1" spans="1:10" x14ac:dyDescent="0.25">
      <c r="A477" s="12">
        <v>212</v>
      </c>
      <c r="B477" s="12" t="s">
        <v>1080</v>
      </c>
      <c r="C477" s="12" t="s">
        <v>940</v>
      </c>
      <c r="D477" s="12">
        <v>100</v>
      </c>
      <c r="E477" s="12" t="s">
        <v>941</v>
      </c>
      <c r="F477" s="12">
        <v>0.5</v>
      </c>
      <c r="G477" s="12" t="s">
        <v>139</v>
      </c>
      <c r="H477" s="25">
        <f>ROUND((F477/D477)*100, 2)</f>
      </c>
      <c r="I477" s="25">
        <f>ROUND((F477/D477)*250, 2)</f>
      </c>
      <c r="J477" s="25">
        <f>ROUND((F477/D477)*500, 2)</f>
      </c>
    </row>
    <row r="478" ht="20" customHeight="1" spans="1:10" x14ac:dyDescent="0.25">
      <c r="A478" s="14">
        <v>212</v>
      </c>
      <c r="B478" s="14" t="s">
        <v>1080</v>
      </c>
      <c r="C478" s="14" t="s">
        <v>940</v>
      </c>
      <c r="D478" s="14">
        <v>100</v>
      </c>
      <c r="E478" s="14" t="s">
        <v>942</v>
      </c>
      <c r="F478" s="14">
        <v>20</v>
      </c>
      <c r="G478" s="14" t="s">
        <v>305</v>
      </c>
      <c r="H478" s="27">
        <f>ROUND((F478/D478)*100, 2)</f>
      </c>
      <c r="I478" s="27">
        <f>ROUND((F478/D478)*250, 2)</f>
      </c>
      <c r="J478" s="27">
        <f>ROUND((F478/D478)*500, 2)</f>
      </c>
    </row>
    <row r="479" ht="20" customHeight="1" spans="1:10" x14ac:dyDescent="0.25">
      <c r="A479" s="12">
        <v>212</v>
      </c>
      <c r="B479" s="12" t="s">
        <v>1080</v>
      </c>
      <c r="C479" s="12" t="s">
        <v>940</v>
      </c>
      <c r="D479" s="12">
        <v>100</v>
      </c>
      <c r="E479" s="12" t="s">
        <v>134</v>
      </c>
      <c r="F479" s="12">
        <v>2</v>
      </c>
      <c r="G479" s="12" t="s">
        <v>305</v>
      </c>
      <c r="H479" s="25">
        <f>ROUND((F479/D479)*100, 2)</f>
      </c>
      <c r="I479" s="25">
        <f>ROUND((F479/D479)*250, 2)</f>
      </c>
      <c r="J479" s="25">
        <f>ROUND((F479/D479)*500, 2)</f>
      </c>
    </row>
    <row r="480" ht="20" customHeight="1" spans="1:10" x14ac:dyDescent="0.25">
      <c r="A480" s="14">
        <v>49</v>
      </c>
      <c r="B480" s="14" t="s">
        <v>1081</v>
      </c>
      <c r="C480" s="14" t="s">
        <v>1004</v>
      </c>
      <c r="D480" s="14">
        <v>100</v>
      </c>
      <c r="E480" s="14" t="s">
        <v>1005</v>
      </c>
      <c r="F480" s="14">
        <v>12</v>
      </c>
      <c r="G480" s="14" t="s">
        <v>139</v>
      </c>
      <c r="H480" s="27">
        <f>ROUND((F480/D480)*100, 2)</f>
      </c>
      <c r="I480" s="27">
        <f>ROUND((F480/D480)*250, 2)</f>
      </c>
      <c r="J480" s="27">
        <f>ROUND((F480/D480)*500, 2)</f>
      </c>
    </row>
    <row r="481" ht="20" customHeight="1" spans="1:10" x14ac:dyDescent="0.25">
      <c r="A481" s="12">
        <v>49</v>
      </c>
      <c r="B481" s="12" t="s">
        <v>1081</v>
      </c>
      <c r="C481" s="12" t="s">
        <v>1004</v>
      </c>
      <c r="D481" s="12">
        <v>100</v>
      </c>
      <c r="E481" s="12" t="s">
        <v>950</v>
      </c>
      <c r="F481" s="12">
        <v>10</v>
      </c>
      <c r="G481" s="12" t="s">
        <v>139</v>
      </c>
      <c r="H481" s="25">
        <f>ROUND((F481/D481)*100, 2)</f>
      </c>
      <c r="I481" s="25">
        <f>ROUND((F481/D481)*250, 2)</f>
      </c>
      <c r="J481" s="25">
        <f>ROUND((F481/D481)*500, 2)</f>
      </c>
    </row>
    <row r="482" ht="20" customHeight="1" spans="1:10" x14ac:dyDescent="0.25">
      <c r="A482" s="14">
        <v>49</v>
      </c>
      <c r="B482" s="14" t="s">
        <v>1081</v>
      </c>
      <c r="C482" s="14" t="s">
        <v>1004</v>
      </c>
      <c r="D482" s="14">
        <v>100</v>
      </c>
      <c r="E482" s="14" t="s">
        <v>900</v>
      </c>
      <c r="F482" s="14">
        <v>1.5</v>
      </c>
      <c r="G482" s="14" t="s">
        <v>305</v>
      </c>
      <c r="H482" s="27">
        <f>ROUND((F482/D482)*100, 2)</f>
      </c>
      <c r="I482" s="27">
        <f>ROUND((F482/D482)*250, 2)</f>
      </c>
      <c r="J482" s="27">
        <f>ROUND((F482/D482)*500, 2)</f>
      </c>
    </row>
    <row r="483" ht="20" customHeight="1" spans="1:10" x14ac:dyDescent="0.25">
      <c r="A483" s="12">
        <v>49</v>
      </c>
      <c r="B483" s="12" t="s">
        <v>1081</v>
      </c>
      <c r="C483" s="12" t="s">
        <v>1004</v>
      </c>
      <c r="D483" s="12">
        <v>100</v>
      </c>
      <c r="E483" s="12" t="s">
        <v>1006</v>
      </c>
      <c r="F483" s="12">
        <v>2</v>
      </c>
      <c r="G483" s="12" t="s">
        <v>139</v>
      </c>
      <c r="H483" s="25">
        <f>ROUND((F483/D483)*100, 2)</f>
      </c>
      <c r="I483" s="25">
        <f>ROUND((F483/D483)*250, 2)</f>
      </c>
      <c r="J483" s="25">
        <f>ROUND((F483/D483)*500, 2)</f>
      </c>
    </row>
    <row r="484" ht="20" customHeight="1" spans="1:10" x14ac:dyDescent="0.25">
      <c r="A484" s="14">
        <v>165</v>
      </c>
      <c r="B484" s="14" t="s">
        <v>1082</v>
      </c>
      <c r="C484" s="14" t="s">
        <v>1083</v>
      </c>
      <c r="D484" s="14">
        <v>100</v>
      </c>
      <c r="E484" s="14" t="s">
        <v>1084</v>
      </c>
      <c r="F484" s="14">
        <v>15</v>
      </c>
      <c r="G484" s="14" t="s">
        <v>139</v>
      </c>
      <c r="H484" s="27">
        <f>ROUND((F484/D484)*100, 2)</f>
      </c>
      <c r="I484" s="27">
        <f>ROUND((F484/D484)*250, 2)</f>
      </c>
      <c r="J484" s="27">
        <f>ROUND((F484/D484)*500, 2)</f>
      </c>
    </row>
    <row r="485" ht="20" customHeight="1" spans="1:10" x14ac:dyDescent="0.25">
      <c r="A485" s="12">
        <v>165</v>
      </c>
      <c r="B485" s="12" t="s">
        <v>1082</v>
      </c>
      <c r="C485" s="12" t="s">
        <v>1083</v>
      </c>
      <c r="D485" s="12">
        <v>100</v>
      </c>
      <c r="E485" s="12" t="s">
        <v>1085</v>
      </c>
      <c r="F485" s="12">
        <v>3</v>
      </c>
      <c r="G485" s="12" t="s">
        <v>305</v>
      </c>
      <c r="H485" s="25">
        <f>ROUND((F485/D485)*100, 2)</f>
      </c>
      <c r="I485" s="25">
        <f>ROUND((F485/D485)*250, 2)</f>
      </c>
      <c r="J485" s="25">
        <f>ROUND((F485/D485)*500, 2)</f>
      </c>
    </row>
    <row r="486" ht="20" customHeight="1" spans="1:10" x14ac:dyDescent="0.25">
      <c r="A486" s="14">
        <v>58</v>
      </c>
      <c r="B486" s="14" t="s">
        <v>1086</v>
      </c>
      <c r="C486" s="14" t="s">
        <v>948</v>
      </c>
      <c r="D486" s="14">
        <v>100</v>
      </c>
      <c r="E486" s="14" t="s">
        <v>949</v>
      </c>
      <c r="F486" s="14">
        <v>20</v>
      </c>
      <c r="G486" s="14" t="s">
        <v>139</v>
      </c>
      <c r="H486" s="27">
        <f>ROUND((F486/D486)*100, 2)</f>
      </c>
      <c r="I486" s="27">
        <f>ROUND((F486/D486)*250, 2)</f>
      </c>
      <c r="J486" s="27">
        <f>ROUND((F486/D486)*500, 2)</f>
      </c>
    </row>
    <row r="487" ht="20" customHeight="1" spans="1:10" x14ac:dyDescent="0.25">
      <c r="A487" s="12">
        <v>58</v>
      </c>
      <c r="B487" s="12" t="s">
        <v>1086</v>
      </c>
      <c r="C487" s="12" t="s">
        <v>948</v>
      </c>
      <c r="D487" s="12">
        <v>100</v>
      </c>
      <c r="E487" s="12" t="s">
        <v>951</v>
      </c>
      <c r="F487" s="12">
        <v>1</v>
      </c>
      <c r="G487" s="12" t="s">
        <v>139</v>
      </c>
      <c r="H487" s="25">
        <f>ROUND((F487/D487)*100, 2)</f>
      </c>
      <c r="I487" s="25">
        <f>ROUND((F487/D487)*250, 2)</f>
      </c>
      <c r="J487" s="25">
        <f>ROUND((F487/D487)*500, 2)</f>
      </c>
    </row>
    <row r="488" ht="20" customHeight="1" spans="1:10" x14ac:dyDescent="0.25">
      <c r="A488" s="14">
        <v>58</v>
      </c>
      <c r="B488" s="14" t="s">
        <v>1086</v>
      </c>
      <c r="C488" s="14" t="s">
        <v>948</v>
      </c>
      <c r="D488" s="14">
        <v>100</v>
      </c>
      <c r="E488" s="14" t="s">
        <v>900</v>
      </c>
      <c r="F488" s="14">
        <v>2</v>
      </c>
      <c r="G488" s="14" t="s">
        <v>305</v>
      </c>
      <c r="H488" s="27">
        <f>ROUND((F488/D488)*100, 2)</f>
      </c>
      <c r="I488" s="27">
        <f>ROUND((F488/D488)*250, 2)</f>
      </c>
      <c r="J488" s="27">
        <f>ROUND((F488/D488)*500, 2)</f>
      </c>
    </row>
    <row r="489" ht="20" customHeight="1" spans="1:10" x14ac:dyDescent="0.25">
      <c r="A489" s="12">
        <v>58</v>
      </c>
      <c r="B489" s="12" t="s">
        <v>1086</v>
      </c>
      <c r="C489" s="12" t="s">
        <v>948</v>
      </c>
      <c r="D489" s="12">
        <v>100</v>
      </c>
      <c r="E489" s="12" t="s">
        <v>950</v>
      </c>
      <c r="F489" s="12">
        <v>10</v>
      </c>
      <c r="G489" s="12" t="s">
        <v>139</v>
      </c>
      <c r="H489" s="25">
        <f>ROUND((F489/D489)*100, 2)</f>
      </c>
      <c r="I489" s="25">
        <f>ROUND((F489/D489)*250, 2)</f>
      </c>
      <c r="J489" s="25">
        <f>ROUND((F489/D489)*500, 2)</f>
      </c>
    </row>
    <row r="490" ht="20" customHeight="1" spans="1:10" x14ac:dyDescent="0.25">
      <c r="A490" s="14">
        <v>115</v>
      </c>
      <c r="B490" s="14" t="s">
        <v>1087</v>
      </c>
      <c r="C490" s="14" t="s">
        <v>944</v>
      </c>
      <c r="D490" s="14">
        <v>100</v>
      </c>
      <c r="E490" s="14" t="s">
        <v>946</v>
      </c>
      <c r="F490" s="14">
        <v>20</v>
      </c>
      <c r="G490" s="14" t="s">
        <v>139</v>
      </c>
      <c r="H490" s="27">
        <f>ROUND((F490/D490)*100, 2)</f>
      </c>
      <c r="I490" s="27">
        <f>ROUND((F490/D490)*250, 2)</f>
      </c>
      <c r="J490" s="27">
        <f>ROUND((F490/D490)*500, 2)</f>
      </c>
    </row>
    <row r="491" ht="20" customHeight="1" spans="1:10" x14ac:dyDescent="0.25">
      <c r="A491" s="12">
        <v>115</v>
      </c>
      <c r="B491" s="12" t="s">
        <v>1087</v>
      </c>
      <c r="C491" s="12" t="s">
        <v>944</v>
      </c>
      <c r="D491" s="12">
        <v>100</v>
      </c>
      <c r="E491" s="12" t="s">
        <v>900</v>
      </c>
      <c r="F491" s="12">
        <v>1.5</v>
      </c>
      <c r="G491" s="12" t="s">
        <v>305</v>
      </c>
      <c r="H491" s="25">
        <f>ROUND((F491/D491)*100, 2)</f>
      </c>
      <c r="I491" s="25">
        <f>ROUND((F491/D491)*250, 2)</f>
      </c>
      <c r="J491" s="25">
        <f>ROUND((F491/D491)*500, 2)</f>
      </c>
    </row>
    <row r="492" ht="20" customHeight="1" spans="1:10" x14ac:dyDescent="0.25">
      <c r="A492" s="14">
        <v>115</v>
      </c>
      <c r="B492" s="14" t="s">
        <v>1087</v>
      </c>
      <c r="C492" s="14" t="s">
        <v>944</v>
      </c>
      <c r="D492" s="14">
        <v>100</v>
      </c>
      <c r="E492" s="14" t="s">
        <v>927</v>
      </c>
      <c r="F492" s="14">
        <v>2</v>
      </c>
      <c r="G492" s="14" t="s">
        <v>305</v>
      </c>
      <c r="H492" s="27">
        <f>ROUND((F492/D492)*100, 2)</f>
      </c>
      <c r="I492" s="27">
        <f>ROUND((F492/D492)*250, 2)</f>
      </c>
      <c r="J492" s="27">
        <f>ROUND((F492/D492)*500, 2)</f>
      </c>
    </row>
    <row r="493" ht="20" customHeight="1" spans="1:10" x14ac:dyDescent="0.25">
      <c r="A493" s="12">
        <v>115</v>
      </c>
      <c r="B493" s="12" t="s">
        <v>1087</v>
      </c>
      <c r="C493" s="12" t="s">
        <v>944</v>
      </c>
      <c r="D493" s="12">
        <v>100</v>
      </c>
      <c r="E493" s="12" t="s">
        <v>945</v>
      </c>
      <c r="F493" s="12">
        <v>8</v>
      </c>
      <c r="G493" s="12" t="s">
        <v>139</v>
      </c>
      <c r="H493" s="25">
        <f>ROUND((F493/D493)*100, 2)</f>
      </c>
      <c r="I493" s="25">
        <f>ROUND((F493/D493)*250, 2)</f>
      </c>
      <c r="J493" s="25">
        <f>ROUND((F493/D493)*500, 2)</f>
      </c>
    </row>
    <row r="494" ht="20" customHeight="1" spans="1:10" x14ac:dyDescent="0.25">
      <c r="A494" s="14">
        <v>188</v>
      </c>
      <c r="B494" s="14" t="s">
        <v>1088</v>
      </c>
      <c r="C494" s="14" t="s">
        <v>987</v>
      </c>
      <c r="D494" s="14">
        <v>100</v>
      </c>
      <c r="E494" s="14" t="s">
        <v>899</v>
      </c>
      <c r="F494" s="14">
        <v>15</v>
      </c>
      <c r="G494" s="14" t="s">
        <v>139</v>
      </c>
      <c r="H494" s="27">
        <f>ROUND((F494/D494)*100, 2)</f>
      </c>
      <c r="I494" s="27">
        <f>ROUND((F494/D494)*250, 2)</f>
      </c>
      <c r="J494" s="27">
        <f>ROUND((F494/D494)*500, 2)</f>
      </c>
    </row>
    <row r="495" ht="20" customHeight="1" spans="1:10" x14ac:dyDescent="0.25">
      <c r="A495" s="12">
        <v>188</v>
      </c>
      <c r="B495" s="12" t="s">
        <v>1088</v>
      </c>
      <c r="C495" s="12" t="s">
        <v>987</v>
      </c>
      <c r="D495" s="12">
        <v>100</v>
      </c>
      <c r="E495" s="12" t="s">
        <v>988</v>
      </c>
      <c r="F495" s="12">
        <v>8</v>
      </c>
      <c r="G495" s="12" t="s">
        <v>139</v>
      </c>
      <c r="H495" s="25">
        <f>ROUND((F495/D495)*100, 2)</f>
      </c>
      <c r="I495" s="25">
        <f>ROUND((F495/D495)*250, 2)</f>
      </c>
      <c r="J495" s="25">
        <f>ROUND((F495/D495)*500, 2)</f>
      </c>
    </row>
    <row r="496" ht="20" customHeight="1" spans="1:10" x14ac:dyDescent="0.25">
      <c r="A496" s="14">
        <v>36</v>
      </c>
      <c r="B496" s="14" t="s">
        <v>1089</v>
      </c>
      <c r="C496" s="14" t="s">
        <v>897</v>
      </c>
      <c r="D496" s="14">
        <v>100</v>
      </c>
      <c r="E496" s="14" t="s">
        <v>900</v>
      </c>
      <c r="F496" s="14">
        <v>1</v>
      </c>
      <c r="G496" s="14" t="s">
        <v>305</v>
      </c>
      <c r="H496" s="27">
        <f>ROUND((F496/D496)*100, 2)</f>
      </c>
      <c r="I496" s="27">
        <f>ROUND((F496/D496)*250, 2)</f>
      </c>
      <c r="J496" s="27">
        <f>ROUND((F496/D496)*500, 2)</f>
      </c>
    </row>
    <row r="497" ht="20" customHeight="1" spans="1:10" x14ac:dyDescent="0.25">
      <c r="A497" s="12">
        <v>36</v>
      </c>
      <c r="B497" s="12" t="s">
        <v>1089</v>
      </c>
      <c r="C497" s="12" t="s">
        <v>897</v>
      </c>
      <c r="D497" s="12">
        <v>100</v>
      </c>
      <c r="E497" s="12" t="s">
        <v>899</v>
      </c>
      <c r="F497" s="12">
        <v>15</v>
      </c>
      <c r="G497" s="12" t="s">
        <v>139</v>
      </c>
      <c r="H497" s="25">
        <f>ROUND((F497/D497)*100, 2)</f>
      </c>
      <c r="I497" s="25">
        <f>ROUND((F497/D497)*250, 2)</f>
      </c>
      <c r="J497" s="25">
        <f>ROUND((F497/D497)*500, 2)</f>
      </c>
    </row>
    <row r="498" ht="20" customHeight="1" spans="1:10" x14ac:dyDescent="0.25">
      <c r="A498" s="14">
        <v>36</v>
      </c>
      <c r="B498" s="14" t="s">
        <v>1089</v>
      </c>
      <c r="C498" s="14" t="s">
        <v>897</v>
      </c>
      <c r="D498" s="14">
        <v>100</v>
      </c>
      <c r="E498" s="14" t="s">
        <v>898</v>
      </c>
      <c r="F498" s="14">
        <v>3</v>
      </c>
      <c r="G498" s="14" t="s">
        <v>139</v>
      </c>
      <c r="H498" s="27">
        <f>ROUND((F498/D498)*100, 2)</f>
      </c>
      <c r="I498" s="27">
        <f>ROUND((F498/D498)*250, 2)</f>
      </c>
      <c r="J498" s="27">
        <f>ROUND((F498/D498)*500, 2)</f>
      </c>
    </row>
    <row r="499" ht="20" customHeight="1" spans="1:10" x14ac:dyDescent="0.25">
      <c r="A499" s="12">
        <v>36</v>
      </c>
      <c r="B499" s="12" t="s">
        <v>1089</v>
      </c>
      <c r="C499" s="12" t="s">
        <v>897</v>
      </c>
      <c r="D499" s="12">
        <v>100</v>
      </c>
      <c r="E499" s="12" t="s">
        <v>901</v>
      </c>
      <c r="F499" s="12">
        <v>10</v>
      </c>
      <c r="G499" s="12" t="s">
        <v>305</v>
      </c>
      <c r="H499" s="25">
        <f>ROUND((F499/D499)*100, 2)</f>
      </c>
      <c r="I499" s="25">
        <f>ROUND((F499/D499)*250, 2)</f>
      </c>
      <c r="J499" s="25">
        <f>ROUND((F499/D499)*500, 2)</f>
      </c>
    </row>
    <row r="500" ht="20" customHeight="1" spans="1:10" x14ac:dyDescent="0.25">
      <c r="A500" s="14">
        <v>34</v>
      </c>
      <c r="B500" s="14" t="s">
        <v>1090</v>
      </c>
      <c r="C500" s="14" t="s">
        <v>897</v>
      </c>
      <c r="D500" s="14">
        <v>100</v>
      </c>
      <c r="E500" s="14" t="s">
        <v>898</v>
      </c>
      <c r="F500" s="14">
        <v>3</v>
      </c>
      <c r="G500" s="14" t="s">
        <v>139</v>
      </c>
      <c r="H500" s="27">
        <f>ROUND((F500/D500)*100, 2)</f>
      </c>
      <c r="I500" s="27">
        <f>ROUND((F500/D500)*250, 2)</f>
      </c>
      <c r="J500" s="27">
        <f>ROUND((F500/D500)*500, 2)</f>
      </c>
    </row>
    <row r="501" ht="20" customHeight="1" spans="1:10" x14ac:dyDescent="0.25">
      <c r="A501" s="12">
        <v>34</v>
      </c>
      <c r="B501" s="12" t="s">
        <v>1090</v>
      </c>
      <c r="C501" s="12" t="s">
        <v>897</v>
      </c>
      <c r="D501" s="12">
        <v>100</v>
      </c>
      <c r="E501" s="12" t="s">
        <v>901</v>
      </c>
      <c r="F501" s="12">
        <v>10</v>
      </c>
      <c r="G501" s="12" t="s">
        <v>305</v>
      </c>
      <c r="H501" s="25">
        <f>ROUND((F501/D501)*100, 2)</f>
      </c>
      <c r="I501" s="25">
        <f>ROUND((F501/D501)*250, 2)</f>
      </c>
      <c r="J501" s="25">
        <f>ROUND((F501/D501)*500, 2)</f>
      </c>
    </row>
    <row r="502" ht="20" customHeight="1" spans="1:10" x14ac:dyDescent="0.25">
      <c r="A502" s="14">
        <v>34</v>
      </c>
      <c r="B502" s="14" t="s">
        <v>1090</v>
      </c>
      <c r="C502" s="14" t="s">
        <v>897</v>
      </c>
      <c r="D502" s="14">
        <v>100</v>
      </c>
      <c r="E502" s="14" t="s">
        <v>899</v>
      </c>
      <c r="F502" s="14">
        <v>15</v>
      </c>
      <c r="G502" s="14" t="s">
        <v>139</v>
      </c>
      <c r="H502" s="27">
        <f>ROUND((F502/D502)*100, 2)</f>
      </c>
      <c r="I502" s="27">
        <f>ROUND((F502/D502)*250, 2)</f>
      </c>
      <c r="J502" s="27">
        <f>ROUND((F502/D502)*500, 2)</f>
      </c>
    </row>
    <row r="503" ht="20" customHeight="1" spans="1:10" x14ac:dyDescent="0.25">
      <c r="A503" s="12">
        <v>34</v>
      </c>
      <c r="B503" s="12" t="s">
        <v>1090</v>
      </c>
      <c r="C503" s="12" t="s">
        <v>897</v>
      </c>
      <c r="D503" s="12">
        <v>100</v>
      </c>
      <c r="E503" s="12" t="s">
        <v>900</v>
      </c>
      <c r="F503" s="12">
        <v>1</v>
      </c>
      <c r="G503" s="12" t="s">
        <v>305</v>
      </c>
      <c r="H503" s="25">
        <f>ROUND((F503/D503)*100, 2)</f>
      </c>
      <c r="I503" s="25">
        <f>ROUND((F503/D503)*250, 2)</f>
      </c>
      <c r="J503" s="25">
        <f>ROUND((F503/D503)*500, 2)</f>
      </c>
    </row>
    <row r="504" ht="20" customHeight="1" spans="1:10" x14ac:dyDescent="0.25">
      <c r="A504" s="14">
        <v>31</v>
      </c>
      <c r="B504" s="14" t="s">
        <v>1091</v>
      </c>
      <c r="C504" s="14" t="s">
        <v>897</v>
      </c>
      <c r="D504" s="14">
        <v>100</v>
      </c>
      <c r="E504" s="14" t="s">
        <v>901</v>
      </c>
      <c r="F504" s="14">
        <v>10</v>
      </c>
      <c r="G504" s="14" t="s">
        <v>305</v>
      </c>
      <c r="H504" s="27">
        <f>ROUND((F504/D504)*100, 2)</f>
      </c>
      <c r="I504" s="27">
        <f>ROUND((F504/D504)*250, 2)</f>
      </c>
      <c r="J504" s="27">
        <f>ROUND((F504/D504)*500, 2)</f>
      </c>
    </row>
    <row r="505" ht="20" customHeight="1" spans="1:10" x14ac:dyDescent="0.25">
      <c r="A505" s="12">
        <v>31</v>
      </c>
      <c r="B505" s="12" t="s">
        <v>1091</v>
      </c>
      <c r="C505" s="12" t="s">
        <v>897</v>
      </c>
      <c r="D505" s="12">
        <v>100</v>
      </c>
      <c r="E505" s="12" t="s">
        <v>898</v>
      </c>
      <c r="F505" s="12">
        <v>3</v>
      </c>
      <c r="G505" s="12" t="s">
        <v>139</v>
      </c>
      <c r="H505" s="25">
        <f>ROUND((F505/D505)*100, 2)</f>
      </c>
      <c r="I505" s="25">
        <f>ROUND((F505/D505)*250, 2)</f>
      </c>
      <c r="J505" s="25">
        <f>ROUND((F505/D505)*500, 2)</f>
      </c>
    </row>
    <row r="506" ht="20" customHeight="1" spans="1:10" x14ac:dyDescent="0.25">
      <c r="A506" s="14">
        <v>31</v>
      </c>
      <c r="B506" s="14" t="s">
        <v>1091</v>
      </c>
      <c r="C506" s="14" t="s">
        <v>897</v>
      </c>
      <c r="D506" s="14">
        <v>100</v>
      </c>
      <c r="E506" s="14" t="s">
        <v>900</v>
      </c>
      <c r="F506" s="14">
        <v>1</v>
      </c>
      <c r="G506" s="14" t="s">
        <v>305</v>
      </c>
      <c r="H506" s="27">
        <f>ROUND((F506/D506)*100, 2)</f>
      </c>
      <c r="I506" s="27">
        <f>ROUND((F506/D506)*250, 2)</f>
      </c>
      <c r="J506" s="27">
        <f>ROUND((F506/D506)*500, 2)</f>
      </c>
    </row>
    <row r="507" ht="20" customHeight="1" spans="1:10" x14ac:dyDescent="0.25">
      <c r="A507" s="12">
        <v>31</v>
      </c>
      <c r="B507" s="12" t="s">
        <v>1091</v>
      </c>
      <c r="C507" s="12" t="s">
        <v>897</v>
      </c>
      <c r="D507" s="12">
        <v>100</v>
      </c>
      <c r="E507" s="12" t="s">
        <v>899</v>
      </c>
      <c r="F507" s="12">
        <v>15</v>
      </c>
      <c r="G507" s="12" t="s">
        <v>139</v>
      </c>
      <c r="H507" s="25">
        <f>ROUND((F507/D507)*100, 2)</f>
      </c>
      <c r="I507" s="25">
        <f>ROUND((F507/D507)*250, 2)</f>
      </c>
      <c r="J507" s="25">
        <f>ROUND((F507/D507)*500, 2)</f>
      </c>
    </row>
    <row r="508" ht="20" customHeight="1" spans="1:10" x14ac:dyDescent="0.25">
      <c r="A508" s="14">
        <v>204</v>
      </c>
      <c r="B508" s="14" t="s">
        <v>1092</v>
      </c>
      <c r="C508" s="14" t="s">
        <v>937</v>
      </c>
      <c r="D508" s="14">
        <v>100</v>
      </c>
      <c r="E508" s="14" t="s">
        <v>245</v>
      </c>
      <c r="F508" s="14">
        <v>6</v>
      </c>
      <c r="G508" s="14" t="s">
        <v>139</v>
      </c>
      <c r="H508" s="27">
        <f>ROUND((F508/D508)*100, 2)</f>
      </c>
      <c r="I508" s="27">
        <f>ROUND((F508/D508)*250, 2)</f>
      </c>
      <c r="J508" s="27">
        <f>ROUND((F508/D508)*500, 2)</f>
      </c>
    </row>
    <row r="509" ht="20" customHeight="1" spans="1:10" x14ac:dyDescent="0.25">
      <c r="A509" s="12">
        <v>204</v>
      </c>
      <c r="B509" s="12" t="s">
        <v>1092</v>
      </c>
      <c r="C509" s="12" t="s">
        <v>937</v>
      </c>
      <c r="D509" s="12">
        <v>100</v>
      </c>
      <c r="E509" s="12" t="s">
        <v>540</v>
      </c>
      <c r="F509" s="12">
        <v>20</v>
      </c>
      <c r="G509" s="12" t="s">
        <v>305</v>
      </c>
      <c r="H509" s="25">
        <f>ROUND((F509/D509)*100, 2)</f>
      </c>
      <c r="I509" s="25">
        <f>ROUND((F509/D509)*250, 2)</f>
      </c>
      <c r="J509" s="25">
        <f>ROUND((F509/D509)*500, 2)</f>
      </c>
    </row>
    <row r="510" ht="20" customHeight="1" spans="1:10" x14ac:dyDescent="0.25">
      <c r="A510" s="14">
        <v>204</v>
      </c>
      <c r="B510" s="14" t="s">
        <v>1092</v>
      </c>
      <c r="C510" s="14" t="s">
        <v>937</v>
      </c>
      <c r="D510" s="14">
        <v>100</v>
      </c>
      <c r="E510" s="14" t="s">
        <v>938</v>
      </c>
      <c r="F510" s="14">
        <v>3</v>
      </c>
      <c r="G510" s="14" t="s">
        <v>139</v>
      </c>
      <c r="H510" s="27">
        <f>ROUND((F510/D510)*100, 2)</f>
      </c>
      <c r="I510" s="27">
        <f>ROUND((F510/D510)*250, 2)</f>
      </c>
      <c r="J510" s="27">
        <f>ROUND((F510/D510)*500, 2)</f>
      </c>
    </row>
    <row r="511" ht="20" customHeight="1" spans="1:10" x14ac:dyDescent="0.25">
      <c r="A511" s="12">
        <v>198</v>
      </c>
      <c r="B511" s="12" t="s">
        <v>1093</v>
      </c>
      <c r="C511" s="12" t="s">
        <v>937</v>
      </c>
      <c r="D511" s="12">
        <v>100</v>
      </c>
      <c r="E511" s="12" t="s">
        <v>245</v>
      </c>
      <c r="F511" s="12">
        <v>6</v>
      </c>
      <c r="G511" s="12" t="s">
        <v>139</v>
      </c>
      <c r="H511" s="25">
        <f>ROUND((F511/D511)*100, 2)</f>
      </c>
      <c r="I511" s="25">
        <f>ROUND((F511/D511)*250, 2)</f>
      </c>
      <c r="J511" s="25">
        <f>ROUND((F511/D511)*500, 2)</f>
      </c>
    </row>
    <row r="512" ht="20" customHeight="1" spans="1:10" x14ac:dyDescent="0.25">
      <c r="A512" s="14">
        <v>198</v>
      </c>
      <c r="B512" s="14" t="s">
        <v>1093</v>
      </c>
      <c r="C512" s="14" t="s">
        <v>937</v>
      </c>
      <c r="D512" s="14">
        <v>100</v>
      </c>
      <c r="E512" s="14" t="s">
        <v>938</v>
      </c>
      <c r="F512" s="14">
        <v>3</v>
      </c>
      <c r="G512" s="14" t="s">
        <v>139</v>
      </c>
      <c r="H512" s="27">
        <f>ROUND((F512/D512)*100, 2)</f>
      </c>
      <c r="I512" s="27">
        <f>ROUND((F512/D512)*250, 2)</f>
      </c>
      <c r="J512" s="27">
        <f>ROUND((F512/D512)*500, 2)</f>
      </c>
    </row>
    <row r="513" ht="20" customHeight="1" spans="1:10" x14ac:dyDescent="0.25">
      <c r="A513" s="12">
        <v>198</v>
      </c>
      <c r="B513" s="12" t="s">
        <v>1093</v>
      </c>
      <c r="C513" s="12" t="s">
        <v>937</v>
      </c>
      <c r="D513" s="12">
        <v>100</v>
      </c>
      <c r="E513" s="12" t="s">
        <v>540</v>
      </c>
      <c r="F513" s="12">
        <v>20</v>
      </c>
      <c r="G513" s="12" t="s">
        <v>305</v>
      </c>
      <c r="H513" s="25">
        <f>ROUND((F513/D513)*100, 2)</f>
      </c>
      <c r="I513" s="25">
        <f>ROUND((F513/D513)*250, 2)</f>
      </c>
      <c r="J513" s="25">
        <f>ROUND((F513/D513)*500, 2)</f>
      </c>
    </row>
    <row r="514" ht="20" customHeight="1" spans="1:10" x14ac:dyDescent="0.25">
      <c r="A514" s="14">
        <v>53</v>
      </c>
      <c r="B514" s="14" t="s">
        <v>1094</v>
      </c>
      <c r="C514" s="14" t="s">
        <v>1004</v>
      </c>
      <c r="D514" s="14">
        <v>100</v>
      </c>
      <c r="E514" s="14" t="s">
        <v>1005</v>
      </c>
      <c r="F514" s="14">
        <v>12</v>
      </c>
      <c r="G514" s="14" t="s">
        <v>139</v>
      </c>
      <c r="H514" s="27">
        <f>ROUND((F514/D514)*100, 2)</f>
      </c>
      <c r="I514" s="27">
        <f>ROUND((F514/D514)*250, 2)</f>
      </c>
      <c r="J514" s="27">
        <f>ROUND((F514/D514)*500, 2)</f>
      </c>
    </row>
    <row r="515" ht="20" customHeight="1" spans="1:10" x14ac:dyDescent="0.25">
      <c r="A515" s="12">
        <v>53</v>
      </c>
      <c r="B515" s="12" t="s">
        <v>1094</v>
      </c>
      <c r="C515" s="12" t="s">
        <v>1004</v>
      </c>
      <c r="D515" s="12">
        <v>100</v>
      </c>
      <c r="E515" s="12" t="s">
        <v>1006</v>
      </c>
      <c r="F515" s="12">
        <v>2</v>
      </c>
      <c r="G515" s="12" t="s">
        <v>139</v>
      </c>
      <c r="H515" s="25">
        <f>ROUND((F515/D515)*100, 2)</f>
      </c>
      <c r="I515" s="25">
        <f>ROUND((F515/D515)*250, 2)</f>
      </c>
      <c r="J515" s="25">
        <f>ROUND((F515/D515)*500, 2)</f>
      </c>
    </row>
    <row r="516" ht="20" customHeight="1" spans="1:10" x14ac:dyDescent="0.25">
      <c r="A516" s="14">
        <v>53</v>
      </c>
      <c r="B516" s="14" t="s">
        <v>1094</v>
      </c>
      <c r="C516" s="14" t="s">
        <v>1004</v>
      </c>
      <c r="D516" s="14">
        <v>100</v>
      </c>
      <c r="E516" s="14" t="s">
        <v>900</v>
      </c>
      <c r="F516" s="14">
        <v>1.5</v>
      </c>
      <c r="G516" s="14" t="s">
        <v>305</v>
      </c>
      <c r="H516" s="27">
        <f>ROUND((F516/D516)*100, 2)</f>
      </c>
      <c r="I516" s="27">
        <f>ROUND((F516/D516)*250, 2)</f>
      </c>
      <c r="J516" s="27">
        <f>ROUND((F516/D516)*500, 2)</f>
      </c>
    </row>
    <row r="517" ht="20" customHeight="1" spans="1:10" x14ac:dyDescent="0.25">
      <c r="A517" s="12">
        <v>53</v>
      </c>
      <c r="B517" s="12" t="s">
        <v>1094</v>
      </c>
      <c r="C517" s="12" t="s">
        <v>1004</v>
      </c>
      <c r="D517" s="12">
        <v>100</v>
      </c>
      <c r="E517" s="12" t="s">
        <v>950</v>
      </c>
      <c r="F517" s="12">
        <v>10</v>
      </c>
      <c r="G517" s="12" t="s">
        <v>139</v>
      </c>
      <c r="H517" s="25">
        <f>ROUND((F517/D517)*100, 2)</f>
      </c>
      <c r="I517" s="25">
        <f>ROUND((F517/D517)*250, 2)</f>
      </c>
      <c r="J517" s="25">
        <f>ROUND((F517/D517)*500, 2)</f>
      </c>
    </row>
    <row r="518" ht="20" customHeight="1" spans="1:10" x14ac:dyDescent="0.25">
      <c r="A518" s="14">
        <v>191</v>
      </c>
      <c r="B518" s="14" t="s">
        <v>1095</v>
      </c>
      <c r="C518" s="14" t="s">
        <v>987</v>
      </c>
      <c r="D518" s="14">
        <v>100</v>
      </c>
      <c r="E518" s="14" t="s">
        <v>899</v>
      </c>
      <c r="F518" s="14">
        <v>15</v>
      </c>
      <c r="G518" s="14" t="s">
        <v>139</v>
      </c>
      <c r="H518" s="27">
        <f>ROUND((F518/D518)*100, 2)</f>
      </c>
      <c r="I518" s="27">
        <f>ROUND((F518/D518)*250, 2)</f>
      </c>
      <c r="J518" s="27">
        <f>ROUND((F518/D518)*500, 2)</f>
      </c>
    </row>
    <row r="519" ht="20" customHeight="1" spans="1:10" x14ac:dyDescent="0.25">
      <c r="A519" s="12">
        <v>191</v>
      </c>
      <c r="B519" s="12" t="s">
        <v>1095</v>
      </c>
      <c r="C519" s="12" t="s">
        <v>987</v>
      </c>
      <c r="D519" s="12">
        <v>100</v>
      </c>
      <c r="E519" s="12" t="s">
        <v>988</v>
      </c>
      <c r="F519" s="12">
        <v>8</v>
      </c>
      <c r="G519" s="12" t="s">
        <v>139</v>
      </c>
      <c r="H519" s="25">
        <f>ROUND((F519/D519)*100, 2)</f>
      </c>
      <c r="I519" s="25">
        <f>ROUND((F519/D519)*250, 2)</f>
      </c>
      <c r="J519" s="25">
        <f>ROUND((F519/D519)*500, 2)</f>
      </c>
    </row>
    <row r="520" ht="20" customHeight="1" spans="1:10" x14ac:dyDescent="0.25">
      <c r="A520" s="14">
        <v>100</v>
      </c>
      <c r="B520" s="14" t="s">
        <v>1096</v>
      </c>
      <c r="C520" s="14" t="s">
        <v>925</v>
      </c>
      <c r="D520" s="14">
        <v>100</v>
      </c>
      <c r="E520" s="14" t="s">
        <v>900</v>
      </c>
      <c r="F520" s="14">
        <v>2</v>
      </c>
      <c r="G520" s="14" t="s">
        <v>305</v>
      </c>
      <c r="H520" s="27">
        <f>ROUND((F520/D520)*100, 2)</f>
      </c>
      <c r="I520" s="27">
        <f>ROUND((F520/D520)*250, 2)</f>
      </c>
      <c r="J520" s="27">
        <f>ROUND((F520/D520)*500, 2)</f>
      </c>
    </row>
    <row r="521" ht="20" customHeight="1" spans="1:10" x14ac:dyDescent="0.25">
      <c r="A521" s="12">
        <v>100</v>
      </c>
      <c r="B521" s="12" t="s">
        <v>1096</v>
      </c>
      <c r="C521" s="12" t="s">
        <v>925</v>
      </c>
      <c r="D521" s="12">
        <v>100</v>
      </c>
      <c r="E521" s="12" t="s">
        <v>928</v>
      </c>
      <c r="F521" s="12">
        <v>15</v>
      </c>
      <c r="G521" s="12" t="s">
        <v>139</v>
      </c>
      <c r="H521" s="25">
        <f>ROUND((F521/D521)*100, 2)</f>
      </c>
      <c r="I521" s="25">
        <f>ROUND((F521/D521)*250, 2)</f>
      </c>
      <c r="J521" s="25">
        <f>ROUND((F521/D521)*500, 2)</f>
      </c>
    </row>
    <row r="522" ht="20" customHeight="1" spans="1:10" x14ac:dyDescent="0.25">
      <c r="A522" s="14">
        <v>100</v>
      </c>
      <c r="B522" s="14" t="s">
        <v>1096</v>
      </c>
      <c r="C522" s="14" t="s">
        <v>925</v>
      </c>
      <c r="D522" s="14">
        <v>100</v>
      </c>
      <c r="E522" s="14" t="s">
        <v>926</v>
      </c>
      <c r="F522" s="14">
        <v>2</v>
      </c>
      <c r="G522" s="14" t="s">
        <v>139</v>
      </c>
      <c r="H522" s="27">
        <f>ROUND((F522/D522)*100, 2)</f>
      </c>
      <c r="I522" s="27">
        <f>ROUND((F522/D522)*250, 2)</f>
      </c>
      <c r="J522" s="27">
        <f>ROUND((F522/D522)*500, 2)</f>
      </c>
    </row>
    <row r="523" ht="20" customHeight="1" spans="1:10" x14ac:dyDescent="0.25">
      <c r="A523" s="12">
        <v>100</v>
      </c>
      <c r="B523" s="12" t="s">
        <v>1096</v>
      </c>
      <c r="C523" s="12" t="s">
        <v>925</v>
      </c>
      <c r="D523" s="12">
        <v>100</v>
      </c>
      <c r="E523" s="12" t="s">
        <v>927</v>
      </c>
      <c r="F523" s="12">
        <v>3</v>
      </c>
      <c r="G523" s="12" t="s">
        <v>305</v>
      </c>
      <c r="H523" s="25">
        <f>ROUND((F523/D523)*100, 2)</f>
      </c>
      <c r="I523" s="25">
        <f>ROUND((F523/D523)*250, 2)</f>
      </c>
      <c r="J523" s="25">
        <f>ROUND((F523/D523)*500, 2)</f>
      </c>
    </row>
    <row r="524" ht="20" customHeight="1" spans="1:10" x14ac:dyDescent="0.25">
      <c r="A524" s="14">
        <v>145</v>
      </c>
      <c r="B524" s="14" t="s">
        <v>1097</v>
      </c>
      <c r="C524" s="14" t="s">
        <v>994</v>
      </c>
      <c r="D524" s="14">
        <v>100</v>
      </c>
      <c r="E524" s="14" t="s">
        <v>264</v>
      </c>
      <c r="F524" s="14">
        <v>2</v>
      </c>
      <c r="G524" s="14" t="s">
        <v>139</v>
      </c>
      <c r="H524" s="27">
        <f>ROUND((F524/D524)*100, 2)</f>
      </c>
      <c r="I524" s="27">
        <f>ROUND((F524/D524)*250, 2)</f>
      </c>
      <c r="J524" s="27">
        <f>ROUND((F524/D524)*500, 2)</f>
      </c>
    </row>
    <row r="525" ht="20" customHeight="1" spans="1:10" x14ac:dyDescent="0.25">
      <c r="A525" s="12">
        <v>145</v>
      </c>
      <c r="B525" s="12" t="s">
        <v>1097</v>
      </c>
      <c r="C525" s="12" t="s">
        <v>994</v>
      </c>
      <c r="D525" s="12">
        <v>100</v>
      </c>
      <c r="E525" s="12" t="s">
        <v>909</v>
      </c>
      <c r="F525" s="12">
        <v>4</v>
      </c>
      <c r="G525" s="12" t="s">
        <v>139</v>
      </c>
      <c r="H525" s="25">
        <f>ROUND((F525/D525)*100, 2)</f>
      </c>
      <c r="I525" s="25">
        <f>ROUND((F525/D525)*250, 2)</f>
      </c>
      <c r="J525" s="25">
        <f>ROUND((F525/D525)*500, 2)</f>
      </c>
    </row>
    <row r="526" ht="20" customHeight="1" spans="1:10" x14ac:dyDescent="0.25">
      <c r="A526" s="14">
        <v>145</v>
      </c>
      <c r="B526" s="14" t="s">
        <v>1097</v>
      </c>
      <c r="C526" s="14" t="s">
        <v>994</v>
      </c>
      <c r="D526" s="14">
        <v>100</v>
      </c>
      <c r="E526" s="14" t="s">
        <v>996</v>
      </c>
      <c r="F526" s="14">
        <v>100</v>
      </c>
      <c r="G526" s="14" t="s">
        <v>127</v>
      </c>
      <c r="H526" s="27">
        <f>ROUND((F526/D526)*100, 2)</f>
      </c>
      <c r="I526" s="27">
        <f>ROUND((F526/D526)*250, 2)</f>
      </c>
      <c r="J526" s="27">
        <f>ROUND((F526/D526)*500, 2)</f>
      </c>
    </row>
    <row r="527" ht="20" customHeight="1" spans="1:10" x14ac:dyDescent="0.25">
      <c r="A527" s="12">
        <v>145</v>
      </c>
      <c r="B527" s="12" t="s">
        <v>1097</v>
      </c>
      <c r="C527" s="12" t="s">
        <v>994</v>
      </c>
      <c r="D527" s="12">
        <v>100</v>
      </c>
      <c r="E527" s="12" t="s">
        <v>995</v>
      </c>
      <c r="F527" s="12">
        <v>10</v>
      </c>
      <c r="G527" s="12" t="s">
        <v>139</v>
      </c>
      <c r="H527" s="25">
        <f>ROUND((F527/D527)*100, 2)</f>
      </c>
      <c r="I527" s="25">
        <f>ROUND((F527/D527)*250, 2)</f>
      </c>
      <c r="J527" s="25">
        <f>ROUND((F527/D527)*500, 2)</f>
      </c>
    </row>
    <row r="528" ht="20" customHeight="1" spans="1:10" x14ac:dyDescent="0.25">
      <c r="A528" s="14">
        <v>146</v>
      </c>
      <c r="B528" s="14" t="s">
        <v>1098</v>
      </c>
      <c r="C528" s="14" t="s">
        <v>994</v>
      </c>
      <c r="D528" s="14">
        <v>100</v>
      </c>
      <c r="E528" s="14" t="s">
        <v>909</v>
      </c>
      <c r="F528" s="14">
        <v>4</v>
      </c>
      <c r="G528" s="14" t="s">
        <v>139</v>
      </c>
      <c r="H528" s="27">
        <f>ROUND((F528/D528)*100, 2)</f>
      </c>
      <c r="I528" s="27">
        <f>ROUND((F528/D528)*250, 2)</f>
      </c>
      <c r="J528" s="27">
        <f>ROUND((F528/D528)*500, 2)</f>
      </c>
    </row>
    <row r="529" ht="20" customHeight="1" spans="1:10" x14ac:dyDescent="0.25">
      <c r="A529" s="12">
        <v>146</v>
      </c>
      <c r="B529" s="12" t="s">
        <v>1098</v>
      </c>
      <c r="C529" s="12" t="s">
        <v>994</v>
      </c>
      <c r="D529" s="12">
        <v>100</v>
      </c>
      <c r="E529" s="12" t="s">
        <v>995</v>
      </c>
      <c r="F529" s="12">
        <v>10</v>
      </c>
      <c r="G529" s="12" t="s">
        <v>139</v>
      </c>
      <c r="H529" s="25">
        <f>ROUND((F529/D529)*100, 2)</f>
      </c>
      <c r="I529" s="25">
        <f>ROUND((F529/D529)*250, 2)</f>
      </c>
      <c r="J529" s="25">
        <f>ROUND((F529/D529)*500, 2)</f>
      </c>
    </row>
    <row r="530" ht="20" customHeight="1" spans="1:10" x14ac:dyDescent="0.25">
      <c r="A530" s="14">
        <v>146</v>
      </c>
      <c r="B530" s="14" t="s">
        <v>1098</v>
      </c>
      <c r="C530" s="14" t="s">
        <v>994</v>
      </c>
      <c r="D530" s="14">
        <v>100</v>
      </c>
      <c r="E530" s="14" t="s">
        <v>996</v>
      </c>
      <c r="F530" s="14">
        <v>100</v>
      </c>
      <c r="G530" s="14" t="s">
        <v>127</v>
      </c>
      <c r="H530" s="27">
        <f>ROUND((F530/D530)*100, 2)</f>
      </c>
      <c r="I530" s="27">
        <f>ROUND((F530/D530)*250, 2)</f>
      </c>
      <c r="J530" s="27">
        <f>ROUND((F530/D530)*500, 2)</f>
      </c>
    </row>
    <row r="531" ht="20" customHeight="1" spans="1:10" x14ac:dyDescent="0.25">
      <c r="A531" s="12">
        <v>146</v>
      </c>
      <c r="B531" s="12" t="s">
        <v>1098</v>
      </c>
      <c r="C531" s="12" t="s">
        <v>994</v>
      </c>
      <c r="D531" s="12">
        <v>100</v>
      </c>
      <c r="E531" s="12" t="s">
        <v>264</v>
      </c>
      <c r="F531" s="12">
        <v>2</v>
      </c>
      <c r="G531" s="12" t="s">
        <v>139</v>
      </c>
      <c r="H531" s="25">
        <f>ROUND((F531/D531)*100, 2)</f>
      </c>
      <c r="I531" s="25">
        <f>ROUND((F531/D531)*250, 2)</f>
      </c>
      <c r="J531" s="25">
        <f>ROUND((F531/D531)*500, 2)</f>
      </c>
    </row>
    <row r="532" ht="20" customHeight="1" spans="1:10" x14ac:dyDescent="0.25">
      <c r="A532" s="14">
        <v>51</v>
      </c>
      <c r="B532" s="14" t="s">
        <v>1099</v>
      </c>
      <c r="C532" s="14" t="s">
        <v>1004</v>
      </c>
      <c r="D532" s="14">
        <v>100</v>
      </c>
      <c r="E532" s="14" t="s">
        <v>900</v>
      </c>
      <c r="F532" s="14">
        <v>1.5</v>
      </c>
      <c r="G532" s="14" t="s">
        <v>305</v>
      </c>
      <c r="H532" s="27">
        <f>ROUND((F532/D532)*100, 2)</f>
      </c>
      <c r="I532" s="27">
        <f>ROUND((F532/D532)*250, 2)</f>
      </c>
      <c r="J532" s="27">
        <f>ROUND((F532/D532)*500, 2)</f>
      </c>
    </row>
    <row r="533" ht="20" customHeight="1" spans="1:10" x14ac:dyDescent="0.25">
      <c r="A533" s="12">
        <v>51</v>
      </c>
      <c r="B533" s="12" t="s">
        <v>1099</v>
      </c>
      <c r="C533" s="12" t="s">
        <v>1004</v>
      </c>
      <c r="D533" s="12">
        <v>100</v>
      </c>
      <c r="E533" s="12" t="s">
        <v>1005</v>
      </c>
      <c r="F533" s="12">
        <v>12</v>
      </c>
      <c r="G533" s="12" t="s">
        <v>139</v>
      </c>
      <c r="H533" s="25">
        <f>ROUND((F533/D533)*100, 2)</f>
      </c>
      <c r="I533" s="25">
        <f>ROUND((F533/D533)*250, 2)</f>
      </c>
      <c r="J533" s="25">
        <f>ROUND((F533/D533)*500, 2)</f>
      </c>
    </row>
    <row r="534" ht="20" customHeight="1" spans="1:10" x14ac:dyDescent="0.25">
      <c r="A534" s="14">
        <v>51</v>
      </c>
      <c r="B534" s="14" t="s">
        <v>1099</v>
      </c>
      <c r="C534" s="14" t="s">
        <v>1004</v>
      </c>
      <c r="D534" s="14">
        <v>100</v>
      </c>
      <c r="E534" s="14" t="s">
        <v>1006</v>
      </c>
      <c r="F534" s="14">
        <v>2</v>
      </c>
      <c r="G534" s="14" t="s">
        <v>139</v>
      </c>
      <c r="H534" s="27">
        <f>ROUND((F534/D534)*100, 2)</f>
      </c>
      <c r="I534" s="27">
        <f>ROUND((F534/D534)*250, 2)</f>
      </c>
      <c r="J534" s="27">
        <f>ROUND((F534/D534)*500, 2)</f>
      </c>
    </row>
    <row r="535" ht="20" customHeight="1" spans="1:10" x14ac:dyDescent="0.25">
      <c r="A535" s="12">
        <v>51</v>
      </c>
      <c r="B535" s="12" t="s">
        <v>1099</v>
      </c>
      <c r="C535" s="12" t="s">
        <v>1004</v>
      </c>
      <c r="D535" s="12">
        <v>100</v>
      </c>
      <c r="E535" s="12" t="s">
        <v>950</v>
      </c>
      <c r="F535" s="12">
        <v>10</v>
      </c>
      <c r="G535" s="12" t="s">
        <v>139</v>
      </c>
      <c r="H535" s="25">
        <f>ROUND((F535/D535)*100, 2)</f>
      </c>
      <c r="I535" s="25">
        <f>ROUND((F535/D535)*250, 2)</f>
      </c>
      <c r="J535" s="25">
        <f>ROUND((F535/D535)*500, 2)</f>
      </c>
    </row>
    <row r="536" ht="20" customHeight="1" spans="1:10" x14ac:dyDescent="0.25">
      <c r="A536" s="14">
        <v>190</v>
      </c>
      <c r="B536" s="14" t="s">
        <v>1100</v>
      </c>
      <c r="C536" s="14" t="s">
        <v>987</v>
      </c>
      <c r="D536" s="14">
        <v>100</v>
      </c>
      <c r="E536" s="14" t="s">
        <v>899</v>
      </c>
      <c r="F536" s="14">
        <v>15</v>
      </c>
      <c r="G536" s="14" t="s">
        <v>139</v>
      </c>
      <c r="H536" s="27">
        <f>ROUND((F536/D536)*100, 2)</f>
      </c>
      <c r="I536" s="27">
        <f>ROUND((F536/D536)*250, 2)</f>
      </c>
      <c r="J536" s="27">
        <f>ROUND((F536/D536)*500, 2)</f>
      </c>
    </row>
    <row r="537" ht="20" customHeight="1" spans="1:10" x14ac:dyDescent="0.25">
      <c r="A537" s="12">
        <v>190</v>
      </c>
      <c r="B537" s="12" t="s">
        <v>1100</v>
      </c>
      <c r="C537" s="12" t="s">
        <v>987</v>
      </c>
      <c r="D537" s="12">
        <v>100</v>
      </c>
      <c r="E537" s="12" t="s">
        <v>988</v>
      </c>
      <c r="F537" s="12">
        <v>8</v>
      </c>
      <c r="G537" s="12" t="s">
        <v>139</v>
      </c>
      <c r="H537" s="25">
        <f>ROUND((F537/D537)*100, 2)</f>
      </c>
      <c r="I537" s="25">
        <f>ROUND((F537/D537)*250, 2)</f>
      </c>
      <c r="J537" s="25">
        <f>ROUND((F537/D537)*500, 2)</f>
      </c>
    </row>
    <row r="538" ht="20" customHeight="1" spans="1:10" x14ac:dyDescent="0.25">
      <c r="A538" s="14">
        <v>151</v>
      </c>
      <c r="B538" s="14" t="s">
        <v>1101</v>
      </c>
      <c r="C538" s="14" t="s">
        <v>994</v>
      </c>
      <c r="D538" s="14">
        <v>100</v>
      </c>
      <c r="E538" s="14" t="s">
        <v>909</v>
      </c>
      <c r="F538" s="14">
        <v>4</v>
      </c>
      <c r="G538" s="14" t="s">
        <v>139</v>
      </c>
      <c r="H538" s="27">
        <f>ROUND((F538/D538)*100, 2)</f>
      </c>
      <c r="I538" s="27">
        <f>ROUND((F538/D538)*250, 2)</f>
      </c>
      <c r="J538" s="27">
        <f>ROUND((F538/D538)*500, 2)</f>
      </c>
    </row>
    <row r="539" ht="20" customHeight="1" spans="1:10" x14ac:dyDescent="0.25">
      <c r="A539" s="12">
        <v>151</v>
      </c>
      <c r="B539" s="12" t="s">
        <v>1101</v>
      </c>
      <c r="C539" s="12" t="s">
        <v>994</v>
      </c>
      <c r="D539" s="12">
        <v>100</v>
      </c>
      <c r="E539" s="12" t="s">
        <v>996</v>
      </c>
      <c r="F539" s="12">
        <v>100</v>
      </c>
      <c r="G539" s="12" t="s">
        <v>127</v>
      </c>
      <c r="H539" s="25">
        <f>ROUND((F539/D539)*100, 2)</f>
      </c>
      <c r="I539" s="25">
        <f>ROUND((F539/D539)*250, 2)</f>
      </c>
      <c r="J539" s="25">
        <f>ROUND((F539/D539)*500, 2)</f>
      </c>
    </row>
    <row r="540" ht="20" customHeight="1" spans="1:10" x14ac:dyDescent="0.25">
      <c r="A540" s="14">
        <v>151</v>
      </c>
      <c r="B540" s="14" t="s">
        <v>1101</v>
      </c>
      <c r="C540" s="14" t="s">
        <v>994</v>
      </c>
      <c r="D540" s="14">
        <v>100</v>
      </c>
      <c r="E540" s="14" t="s">
        <v>995</v>
      </c>
      <c r="F540" s="14">
        <v>10</v>
      </c>
      <c r="G540" s="14" t="s">
        <v>139</v>
      </c>
      <c r="H540" s="27">
        <f>ROUND((F540/D540)*100, 2)</f>
      </c>
      <c r="I540" s="27">
        <f>ROUND((F540/D540)*250, 2)</f>
      </c>
      <c r="J540" s="27">
        <f>ROUND((F540/D540)*500, 2)</f>
      </c>
    </row>
    <row r="541" ht="20" customHeight="1" spans="1:10" x14ac:dyDescent="0.25">
      <c r="A541" s="12">
        <v>151</v>
      </c>
      <c r="B541" s="12" t="s">
        <v>1101</v>
      </c>
      <c r="C541" s="12" t="s">
        <v>994</v>
      </c>
      <c r="D541" s="12">
        <v>100</v>
      </c>
      <c r="E541" s="12" t="s">
        <v>264</v>
      </c>
      <c r="F541" s="12">
        <v>2</v>
      </c>
      <c r="G541" s="12" t="s">
        <v>139</v>
      </c>
      <c r="H541" s="25">
        <f>ROUND((F541/D541)*100, 2)</f>
      </c>
      <c r="I541" s="25">
        <f>ROUND((F541/D541)*250, 2)</f>
      </c>
      <c r="J541" s="25">
        <f>ROUND((F541/D541)*500, 2)</f>
      </c>
    </row>
    <row r="542" ht="20" customHeight="1" spans="1:10" x14ac:dyDescent="0.25">
      <c r="A542" s="14">
        <v>24</v>
      </c>
      <c r="B542" s="14" t="s">
        <v>1102</v>
      </c>
      <c r="C542" s="14" t="s">
        <v>897</v>
      </c>
      <c r="D542" s="14">
        <v>100</v>
      </c>
      <c r="E542" s="14" t="s">
        <v>900</v>
      </c>
      <c r="F542" s="14">
        <v>1</v>
      </c>
      <c r="G542" s="14" t="s">
        <v>305</v>
      </c>
      <c r="H542" s="27">
        <f>ROUND((F542/D542)*100, 2)</f>
      </c>
      <c r="I542" s="27">
        <f>ROUND((F542/D542)*250, 2)</f>
      </c>
      <c r="J542" s="27">
        <f>ROUND((F542/D542)*500, 2)</f>
      </c>
    </row>
    <row r="543" ht="20" customHeight="1" spans="1:10" x14ac:dyDescent="0.25">
      <c r="A543" s="12">
        <v>24</v>
      </c>
      <c r="B543" s="12" t="s">
        <v>1102</v>
      </c>
      <c r="C543" s="12" t="s">
        <v>897</v>
      </c>
      <c r="D543" s="12">
        <v>100</v>
      </c>
      <c r="E543" s="12" t="s">
        <v>898</v>
      </c>
      <c r="F543" s="12">
        <v>3</v>
      </c>
      <c r="G543" s="12" t="s">
        <v>139</v>
      </c>
      <c r="H543" s="25">
        <f>ROUND((F543/D543)*100, 2)</f>
      </c>
      <c r="I543" s="25">
        <f>ROUND((F543/D543)*250, 2)</f>
      </c>
      <c r="J543" s="25">
        <f>ROUND((F543/D543)*500, 2)</f>
      </c>
    </row>
    <row r="544" ht="20" customHeight="1" spans="1:10" x14ac:dyDescent="0.25">
      <c r="A544" s="14">
        <v>24</v>
      </c>
      <c r="B544" s="14" t="s">
        <v>1102</v>
      </c>
      <c r="C544" s="14" t="s">
        <v>897</v>
      </c>
      <c r="D544" s="14">
        <v>100</v>
      </c>
      <c r="E544" s="14" t="s">
        <v>899</v>
      </c>
      <c r="F544" s="14">
        <v>15</v>
      </c>
      <c r="G544" s="14" t="s">
        <v>139</v>
      </c>
      <c r="H544" s="27">
        <f>ROUND((F544/D544)*100, 2)</f>
      </c>
      <c r="I544" s="27">
        <f>ROUND((F544/D544)*250, 2)</f>
      </c>
      <c r="J544" s="27">
        <f>ROUND((F544/D544)*500, 2)</f>
      </c>
    </row>
    <row r="545" ht="20" customHeight="1" spans="1:10" x14ac:dyDescent="0.25">
      <c r="A545" s="12">
        <v>24</v>
      </c>
      <c r="B545" s="12" t="s">
        <v>1102</v>
      </c>
      <c r="C545" s="12" t="s">
        <v>897</v>
      </c>
      <c r="D545" s="12">
        <v>100</v>
      </c>
      <c r="E545" s="12" t="s">
        <v>901</v>
      </c>
      <c r="F545" s="12">
        <v>10</v>
      </c>
      <c r="G545" s="12" t="s">
        <v>305</v>
      </c>
      <c r="H545" s="25">
        <f>ROUND((F545/D545)*100, 2)</f>
      </c>
      <c r="I545" s="25">
        <f>ROUND((F545/D545)*250, 2)</f>
      </c>
      <c r="J545" s="25">
        <f>ROUND((F545/D545)*500, 2)</f>
      </c>
    </row>
    <row r="546" ht="20" customHeight="1" spans="1:10" x14ac:dyDescent="0.25">
      <c r="A546" s="14">
        <v>164</v>
      </c>
      <c r="B546" s="14" t="s">
        <v>1103</v>
      </c>
      <c r="C546" s="14" t="s">
        <v>1083</v>
      </c>
      <c r="D546" s="14">
        <v>100</v>
      </c>
      <c r="E546" s="14" t="s">
        <v>1084</v>
      </c>
      <c r="F546" s="14">
        <v>15</v>
      </c>
      <c r="G546" s="14" t="s">
        <v>139</v>
      </c>
      <c r="H546" s="27">
        <f>ROUND((F546/D546)*100, 2)</f>
      </c>
      <c r="I546" s="27">
        <f>ROUND((F546/D546)*250, 2)</f>
      </c>
      <c r="J546" s="27">
        <f>ROUND((F546/D546)*500, 2)</f>
      </c>
    </row>
    <row r="547" ht="20" customHeight="1" spans="1:10" x14ac:dyDescent="0.25">
      <c r="A547" s="12">
        <v>164</v>
      </c>
      <c r="B547" s="12" t="s">
        <v>1103</v>
      </c>
      <c r="C547" s="12" t="s">
        <v>1083</v>
      </c>
      <c r="D547" s="12">
        <v>100</v>
      </c>
      <c r="E547" s="12" t="s">
        <v>1085</v>
      </c>
      <c r="F547" s="12">
        <v>3</v>
      </c>
      <c r="G547" s="12" t="s">
        <v>305</v>
      </c>
      <c r="H547" s="25">
        <f>ROUND((F547/D547)*100, 2)</f>
      </c>
      <c r="I547" s="25">
        <f>ROUND((F547/D547)*250, 2)</f>
      </c>
      <c r="J547" s="25">
        <f>ROUND((F547/D547)*500, 2)</f>
      </c>
    </row>
    <row r="548" ht="20" customHeight="1" spans="1:10" x14ac:dyDescent="0.25">
      <c r="A548" s="14">
        <v>150</v>
      </c>
      <c r="B548" s="14" t="s">
        <v>1104</v>
      </c>
      <c r="C548" s="14" t="s">
        <v>994</v>
      </c>
      <c r="D548" s="14">
        <v>100</v>
      </c>
      <c r="E548" s="14" t="s">
        <v>909</v>
      </c>
      <c r="F548" s="14">
        <v>4</v>
      </c>
      <c r="G548" s="14" t="s">
        <v>139</v>
      </c>
      <c r="H548" s="27">
        <f>ROUND((F548/D548)*100, 2)</f>
      </c>
      <c r="I548" s="27">
        <f>ROUND((F548/D548)*250, 2)</f>
      </c>
      <c r="J548" s="27">
        <f>ROUND((F548/D548)*500, 2)</f>
      </c>
    </row>
    <row r="549" ht="20" customHeight="1" spans="1:10" x14ac:dyDescent="0.25">
      <c r="A549" s="12">
        <v>150</v>
      </c>
      <c r="B549" s="12" t="s">
        <v>1104</v>
      </c>
      <c r="C549" s="12" t="s">
        <v>994</v>
      </c>
      <c r="D549" s="12">
        <v>100</v>
      </c>
      <c r="E549" s="12" t="s">
        <v>996</v>
      </c>
      <c r="F549" s="12">
        <v>100</v>
      </c>
      <c r="G549" s="12" t="s">
        <v>127</v>
      </c>
      <c r="H549" s="25">
        <f>ROUND((F549/D549)*100, 2)</f>
      </c>
      <c r="I549" s="25">
        <f>ROUND((F549/D549)*250, 2)</f>
      </c>
      <c r="J549" s="25">
        <f>ROUND((F549/D549)*500, 2)</f>
      </c>
    </row>
    <row r="550" ht="20" customHeight="1" spans="1:10" x14ac:dyDescent="0.25">
      <c r="A550" s="14">
        <v>150</v>
      </c>
      <c r="B550" s="14" t="s">
        <v>1104</v>
      </c>
      <c r="C550" s="14" t="s">
        <v>994</v>
      </c>
      <c r="D550" s="14">
        <v>100</v>
      </c>
      <c r="E550" s="14" t="s">
        <v>995</v>
      </c>
      <c r="F550" s="14">
        <v>10</v>
      </c>
      <c r="G550" s="14" t="s">
        <v>139</v>
      </c>
      <c r="H550" s="27">
        <f>ROUND((F550/D550)*100, 2)</f>
      </c>
      <c r="I550" s="27">
        <f>ROUND((F550/D550)*250, 2)</f>
      </c>
      <c r="J550" s="27">
        <f>ROUND((F550/D550)*500, 2)</f>
      </c>
    </row>
    <row r="551" ht="20" customHeight="1" spans="1:10" x14ac:dyDescent="0.25">
      <c r="A551" s="12">
        <v>150</v>
      </c>
      <c r="B551" s="12" t="s">
        <v>1104</v>
      </c>
      <c r="C551" s="12" t="s">
        <v>994</v>
      </c>
      <c r="D551" s="12">
        <v>100</v>
      </c>
      <c r="E551" s="12" t="s">
        <v>264</v>
      </c>
      <c r="F551" s="12">
        <v>2</v>
      </c>
      <c r="G551" s="12" t="s">
        <v>139</v>
      </c>
      <c r="H551" s="25">
        <f>ROUND((F551/D551)*100, 2)</f>
      </c>
      <c r="I551" s="25">
        <f>ROUND((F551/D551)*250, 2)</f>
      </c>
      <c r="J551" s="25">
        <f>ROUND((F551/D551)*500, 2)</f>
      </c>
    </row>
    <row r="552" ht="20" customHeight="1" spans="1:10" x14ac:dyDescent="0.25">
      <c r="A552" s="14">
        <v>80</v>
      </c>
      <c r="B552" s="14" t="s">
        <v>1105</v>
      </c>
      <c r="C552" s="14" t="s">
        <v>925</v>
      </c>
      <c r="D552" s="14">
        <v>100</v>
      </c>
      <c r="E552" s="14" t="s">
        <v>927</v>
      </c>
      <c r="F552" s="14">
        <v>3</v>
      </c>
      <c r="G552" s="14" t="s">
        <v>305</v>
      </c>
      <c r="H552" s="27">
        <f>ROUND((F552/D552)*100, 2)</f>
      </c>
      <c r="I552" s="27">
        <f>ROUND((F552/D552)*250, 2)</f>
      </c>
      <c r="J552" s="27">
        <f>ROUND((F552/D552)*500, 2)</f>
      </c>
    </row>
    <row r="553" ht="20" customHeight="1" spans="1:10" x14ac:dyDescent="0.25">
      <c r="A553" s="12">
        <v>80</v>
      </c>
      <c r="B553" s="12" t="s">
        <v>1105</v>
      </c>
      <c r="C553" s="12" t="s">
        <v>925</v>
      </c>
      <c r="D553" s="12">
        <v>100</v>
      </c>
      <c r="E553" s="12" t="s">
        <v>928</v>
      </c>
      <c r="F553" s="12">
        <v>15</v>
      </c>
      <c r="G553" s="12" t="s">
        <v>139</v>
      </c>
      <c r="H553" s="25">
        <f>ROUND((F553/D553)*100, 2)</f>
      </c>
      <c r="I553" s="25">
        <f>ROUND((F553/D553)*250, 2)</f>
      </c>
      <c r="J553" s="25">
        <f>ROUND((F553/D553)*500, 2)</f>
      </c>
    </row>
    <row r="554" ht="20" customHeight="1" spans="1:10" x14ac:dyDescent="0.25">
      <c r="A554" s="14">
        <v>80</v>
      </c>
      <c r="B554" s="14" t="s">
        <v>1105</v>
      </c>
      <c r="C554" s="14" t="s">
        <v>925</v>
      </c>
      <c r="D554" s="14">
        <v>100</v>
      </c>
      <c r="E554" s="14" t="s">
        <v>926</v>
      </c>
      <c r="F554" s="14">
        <v>2</v>
      </c>
      <c r="G554" s="14" t="s">
        <v>139</v>
      </c>
      <c r="H554" s="27">
        <f>ROUND((F554/D554)*100, 2)</f>
      </c>
      <c r="I554" s="27">
        <f>ROUND((F554/D554)*250, 2)</f>
      </c>
      <c r="J554" s="27">
        <f>ROUND((F554/D554)*500, 2)</f>
      </c>
    </row>
    <row r="555" ht="20" customHeight="1" spans="1:10" x14ac:dyDescent="0.25">
      <c r="A555" s="12">
        <v>80</v>
      </c>
      <c r="B555" s="12" t="s">
        <v>1105</v>
      </c>
      <c r="C555" s="12" t="s">
        <v>925</v>
      </c>
      <c r="D555" s="12">
        <v>100</v>
      </c>
      <c r="E555" s="12" t="s">
        <v>900</v>
      </c>
      <c r="F555" s="12">
        <v>2</v>
      </c>
      <c r="G555" s="12" t="s">
        <v>305</v>
      </c>
      <c r="H555" s="25">
        <f>ROUND((F555/D555)*100, 2)</f>
      </c>
      <c r="I555" s="25">
        <f>ROUND((F555/D555)*250, 2)</f>
      </c>
      <c r="J555" s="25">
        <f>ROUND((F555/D555)*500, 2)</f>
      </c>
    </row>
    <row r="556" ht="20" customHeight="1" spans="1:10" x14ac:dyDescent="0.25">
      <c r="A556" s="14">
        <v>81</v>
      </c>
      <c r="B556" s="14" t="s">
        <v>1106</v>
      </c>
      <c r="C556" s="14" t="s">
        <v>925</v>
      </c>
      <c r="D556" s="14">
        <v>100</v>
      </c>
      <c r="E556" s="14" t="s">
        <v>900</v>
      </c>
      <c r="F556" s="14">
        <v>2</v>
      </c>
      <c r="G556" s="14" t="s">
        <v>305</v>
      </c>
      <c r="H556" s="27">
        <f>ROUND((F556/D556)*100, 2)</f>
      </c>
      <c r="I556" s="27">
        <f>ROUND((F556/D556)*250, 2)</f>
      </c>
      <c r="J556" s="27">
        <f>ROUND((F556/D556)*500, 2)</f>
      </c>
    </row>
    <row r="557" ht="20" customHeight="1" spans="1:10" x14ac:dyDescent="0.25">
      <c r="A557" s="12">
        <v>81</v>
      </c>
      <c r="B557" s="12" t="s">
        <v>1106</v>
      </c>
      <c r="C557" s="12" t="s">
        <v>925</v>
      </c>
      <c r="D557" s="12">
        <v>100</v>
      </c>
      <c r="E557" s="12" t="s">
        <v>926</v>
      </c>
      <c r="F557" s="12">
        <v>2</v>
      </c>
      <c r="G557" s="12" t="s">
        <v>139</v>
      </c>
      <c r="H557" s="25">
        <f>ROUND((F557/D557)*100, 2)</f>
      </c>
      <c r="I557" s="25">
        <f>ROUND((F557/D557)*250, 2)</f>
      </c>
      <c r="J557" s="25">
        <f>ROUND((F557/D557)*500, 2)</f>
      </c>
    </row>
    <row r="558" ht="20" customHeight="1" spans="1:10" x14ac:dyDescent="0.25">
      <c r="A558" s="14">
        <v>81</v>
      </c>
      <c r="B558" s="14" t="s">
        <v>1106</v>
      </c>
      <c r="C558" s="14" t="s">
        <v>925</v>
      </c>
      <c r="D558" s="14">
        <v>100</v>
      </c>
      <c r="E558" s="14" t="s">
        <v>927</v>
      </c>
      <c r="F558" s="14">
        <v>3</v>
      </c>
      <c r="G558" s="14" t="s">
        <v>305</v>
      </c>
      <c r="H558" s="27">
        <f>ROUND((F558/D558)*100, 2)</f>
      </c>
      <c r="I558" s="27">
        <f>ROUND((F558/D558)*250, 2)</f>
      </c>
      <c r="J558" s="27">
        <f>ROUND((F558/D558)*500, 2)</f>
      </c>
    </row>
    <row r="559" ht="20" customHeight="1" spans="1:10" x14ac:dyDescent="0.25">
      <c r="A559" s="12">
        <v>81</v>
      </c>
      <c r="B559" s="12" t="s">
        <v>1106</v>
      </c>
      <c r="C559" s="12" t="s">
        <v>925</v>
      </c>
      <c r="D559" s="12">
        <v>100</v>
      </c>
      <c r="E559" s="12" t="s">
        <v>928</v>
      </c>
      <c r="F559" s="12">
        <v>15</v>
      </c>
      <c r="G559" s="12" t="s">
        <v>139</v>
      </c>
      <c r="H559" s="25">
        <f>ROUND((F559/D559)*100, 2)</f>
      </c>
      <c r="I559" s="25">
        <f>ROUND((F559/D559)*250, 2)</f>
      </c>
      <c r="J559" s="25">
        <f>ROUND((F559/D559)*500, 2)</f>
      </c>
    </row>
    <row r="560" ht="20" customHeight="1" spans="1:10" x14ac:dyDescent="0.25">
      <c r="A560" s="14">
        <v>76</v>
      </c>
      <c r="B560" s="14" t="s">
        <v>1107</v>
      </c>
      <c r="C560" s="14" t="s">
        <v>913</v>
      </c>
      <c r="D560" s="14">
        <v>100</v>
      </c>
      <c r="E560" s="14" t="s">
        <v>914</v>
      </c>
      <c r="F560" s="14">
        <v>10</v>
      </c>
      <c r="G560" s="14" t="s">
        <v>139</v>
      </c>
      <c r="H560" s="27">
        <f>ROUND((F560/D560)*100, 2)</f>
      </c>
      <c r="I560" s="27">
        <f>ROUND((F560/D560)*250, 2)</f>
      </c>
      <c r="J560" s="27">
        <f>ROUND((F560/D560)*500, 2)</f>
      </c>
    </row>
    <row r="561" ht="20" customHeight="1" spans="1:10" x14ac:dyDescent="0.25">
      <c r="A561" s="12">
        <v>76</v>
      </c>
      <c r="B561" s="12" t="s">
        <v>1107</v>
      </c>
      <c r="C561" s="12" t="s">
        <v>913</v>
      </c>
      <c r="D561" s="12">
        <v>100</v>
      </c>
      <c r="E561" s="12" t="s">
        <v>915</v>
      </c>
      <c r="F561" s="12">
        <v>1.5</v>
      </c>
      <c r="G561" s="12" t="s">
        <v>139</v>
      </c>
      <c r="H561" s="25">
        <f>ROUND((F561/D561)*100, 2)</f>
      </c>
      <c r="I561" s="25">
        <f>ROUND((F561/D561)*250, 2)</f>
      </c>
      <c r="J561" s="25">
        <f>ROUND((F561/D561)*500, 2)</f>
      </c>
    </row>
    <row r="562" ht="20" customHeight="1" spans="1:10" x14ac:dyDescent="0.25">
      <c r="A562" s="14">
        <v>182</v>
      </c>
      <c r="B562" s="14" t="s">
        <v>1108</v>
      </c>
      <c r="C562" s="14" t="s">
        <v>917</v>
      </c>
      <c r="D562" s="14">
        <v>100</v>
      </c>
      <c r="E562" s="14" t="s">
        <v>898</v>
      </c>
      <c r="F562" s="14">
        <v>5</v>
      </c>
      <c r="G562" s="14" t="s">
        <v>305</v>
      </c>
      <c r="H562" s="27">
        <f>ROUND((F562/D562)*100, 2)</f>
      </c>
      <c r="I562" s="27">
        <f>ROUND((F562/D562)*250, 2)</f>
      </c>
      <c r="J562" s="27">
        <f>ROUND((F562/D562)*500, 2)</f>
      </c>
    </row>
    <row r="563" ht="20" customHeight="1" spans="1:10" x14ac:dyDescent="0.25">
      <c r="A563" s="12">
        <v>182</v>
      </c>
      <c r="B563" s="12" t="s">
        <v>1108</v>
      </c>
      <c r="C563" s="12" t="s">
        <v>917</v>
      </c>
      <c r="D563" s="12">
        <v>100</v>
      </c>
      <c r="E563" s="12" t="s">
        <v>919</v>
      </c>
      <c r="F563" s="12">
        <v>1</v>
      </c>
      <c r="G563" s="12" t="s">
        <v>139</v>
      </c>
      <c r="H563" s="25">
        <f>ROUND((F563/D563)*100, 2)</f>
      </c>
      <c r="I563" s="25">
        <f>ROUND((F563/D563)*250, 2)</f>
      </c>
      <c r="J563" s="25">
        <f>ROUND((F563/D563)*500, 2)</f>
      </c>
    </row>
    <row r="564" ht="20" customHeight="1" spans="1:10" x14ac:dyDescent="0.25">
      <c r="A564" s="14">
        <v>182</v>
      </c>
      <c r="B564" s="14" t="s">
        <v>1108</v>
      </c>
      <c r="C564" s="14" t="s">
        <v>917</v>
      </c>
      <c r="D564" s="14">
        <v>100</v>
      </c>
      <c r="E564" s="14" t="s">
        <v>328</v>
      </c>
      <c r="F564" s="14">
        <v>3</v>
      </c>
      <c r="G564" s="14" t="s">
        <v>139</v>
      </c>
      <c r="H564" s="27">
        <f>ROUND((F564/D564)*100, 2)</f>
      </c>
      <c r="I564" s="27">
        <f>ROUND((F564/D564)*250, 2)</f>
      </c>
      <c r="J564" s="27">
        <f>ROUND((F564/D564)*500, 2)</f>
      </c>
    </row>
    <row r="565" ht="20" customHeight="1" spans="1:10" x14ac:dyDescent="0.25">
      <c r="A565" s="12">
        <v>182</v>
      </c>
      <c r="B565" s="12" t="s">
        <v>1108</v>
      </c>
      <c r="C565" s="12" t="s">
        <v>917</v>
      </c>
      <c r="D565" s="12">
        <v>100</v>
      </c>
      <c r="E565" s="12" t="s">
        <v>918</v>
      </c>
      <c r="F565" s="12">
        <v>10</v>
      </c>
      <c r="G565" s="12" t="s">
        <v>139</v>
      </c>
      <c r="H565" s="25">
        <f>ROUND((F565/D565)*100, 2)</f>
      </c>
      <c r="I565" s="25">
        <f>ROUND((F565/D565)*250, 2)</f>
      </c>
      <c r="J565" s="25">
        <f>ROUND((F565/D565)*500, 2)</f>
      </c>
    </row>
    <row r="566" ht="20" customHeight="1" spans="1:10" x14ac:dyDescent="0.25">
      <c r="A566" s="14">
        <v>162</v>
      </c>
      <c r="B566" s="14" t="s">
        <v>1109</v>
      </c>
      <c r="C566" s="14" t="s">
        <v>921</v>
      </c>
      <c r="D566" s="14">
        <v>100</v>
      </c>
      <c r="E566" s="14" t="s">
        <v>922</v>
      </c>
      <c r="F566" s="14">
        <v>15</v>
      </c>
      <c r="G566" s="14" t="s">
        <v>139</v>
      </c>
      <c r="H566" s="27">
        <f>ROUND((F566/D566)*100, 2)</f>
      </c>
      <c r="I566" s="27">
        <f>ROUND((F566/D566)*250, 2)</f>
      </c>
      <c r="J566" s="27">
        <f>ROUND((F566/D566)*500, 2)</f>
      </c>
    </row>
    <row r="567" ht="20" customHeight="1" spans="1:10" x14ac:dyDescent="0.25">
      <c r="A567" s="12">
        <v>162</v>
      </c>
      <c r="B567" s="12" t="s">
        <v>1109</v>
      </c>
      <c r="C567" s="12" t="s">
        <v>921</v>
      </c>
      <c r="D567" s="12">
        <v>100</v>
      </c>
      <c r="E567" s="12" t="s">
        <v>911</v>
      </c>
      <c r="F567" s="12">
        <v>1.5</v>
      </c>
      <c r="G567" s="12" t="s">
        <v>139</v>
      </c>
      <c r="H567" s="25">
        <f>ROUND((F567/D567)*100, 2)</f>
      </c>
      <c r="I567" s="25">
        <f>ROUND((F567/D567)*250, 2)</f>
      </c>
      <c r="J567" s="25">
        <f>ROUND((F567/D567)*500, 2)</f>
      </c>
    </row>
    <row r="568" ht="20" customHeight="1" spans="1:10" x14ac:dyDescent="0.25">
      <c r="A568" s="14">
        <v>162</v>
      </c>
      <c r="B568" s="14" t="s">
        <v>1109</v>
      </c>
      <c r="C568" s="14" t="s">
        <v>921</v>
      </c>
      <c r="D568" s="14">
        <v>100</v>
      </c>
      <c r="E568" s="14" t="s">
        <v>923</v>
      </c>
      <c r="F568" s="14">
        <v>2</v>
      </c>
      <c r="G568" s="14" t="s">
        <v>139</v>
      </c>
      <c r="H568" s="27">
        <f>ROUND((F568/D568)*100, 2)</f>
      </c>
      <c r="I568" s="27">
        <f>ROUND((F568/D568)*250, 2)</f>
      </c>
      <c r="J568" s="27">
        <f>ROUND((F568/D568)*500, 2)</f>
      </c>
    </row>
    <row r="569" ht="20" customHeight="1" spans="1:10" x14ac:dyDescent="0.25">
      <c r="A569" s="12">
        <v>166</v>
      </c>
      <c r="B569" s="12" t="s">
        <v>1110</v>
      </c>
      <c r="C569" s="12" t="s">
        <v>1083</v>
      </c>
      <c r="D569" s="12">
        <v>100</v>
      </c>
      <c r="E569" s="12" t="s">
        <v>1085</v>
      </c>
      <c r="F569" s="12">
        <v>3</v>
      </c>
      <c r="G569" s="12" t="s">
        <v>305</v>
      </c>
      <c r="H569" s="25">
        <f>ROUND((F569/D569)*100, 2)</f>
      </c>
      <c r="I569" s="25">
        <f>ROUND((F569/D569)*250, 2)</f>
      </c>
      <c r="J569" s="25">
        <f>ROUND((F569/D569)*500, 2)</f>
      </c>
    </row>
    <row r="570" ht="20" customHeight="1" spans="1:10" x14ac:dyDescent="0.25">
      <c r="A570" s="14">
        <v>166</v>
      </c>
      <c r="B570" s="14" t="s">
        <v>1110</v>
      </c>
      <c r="C570" s="14" t="s">
        <v>1083</v>
      </c>
      <c r="D570" s="14">
        <v>100</v>
      </c>
      <c r="E570" s="14" t="s">
        <v>1084</v>
      </c>
      <c r="F570" s="14">
        <v>15</v>
      </c>
      <c r="G570" s="14" t="s">
        <v>139</v>
      </c>
      <c r="H570" s="27">
        <f>ROUND((F570/D570)*100, 2)</f>
      </c>
      <c r="I570" s="27">
        <f>ROUND((F570/D570)*250, 2)</f>
      </c>
      <c r="J570" s="27">
        <f>ROUND((F570/D570)*500, 2)</f>
      </c>
    </row>
    <row r="571" ht="20" customHeight="1" spans="1:10" x14ac:dyDescent="0.25">
      <c r="A571" s="12">
        <v>168</v>
      </c>
      <c r="B571" s="12" t="s">
        <v>1111</v>
      </c>
      <c r="C571" s="12" t="s">
        <v>917</v>
      </c>
      <c r="D571" s="12">
        <v>100</v>
      </c>
      <c r="E571" s="12" t="s">
        <v>898</v>
      </c>
      <c r="F571" s="12">
        <v>5</v>
      </c>
      <c r="G571" s="12" t="s">
        <v>305</v>
      </c>
      <c r="H571" s="25">
        <f>ROUND((F571/D571)*100, 2)</f>
      </c>
      <c r="I571" s="25">
        <f>ROUND((F571/D571)*250, 2)</f>
      </c>
      <c r="J571" s="25">
        <f>ROUND((F571/D571)*500, 2)</f>
      </c>
    </row>
    <row r="572" ht="20" customHeight="1" spans="1:10" x14ac:dyDescent="0.25">
      <c r="A572" s="14">
        <v>168</v>
      </c>
      <c r="B572" s="14" t="s">
        <v>1111</v>
      </c>
      <c r="C572" s="14" t="s">
        <v>917</v>
      </c>
      <c r="D572" s="14">
        <v>100</v>
      </c>
      <c r="E572" s="14" t="s">
        <v>918</v>
      </c>
      <c r="F572" s="14">
        <v>10</v>
      </c>
      <c r="G572" s="14" t="s">
        <v>139</v>
      </c>
      <c r="H572" s="27">
        <f>ROUND((F572/D572)*100, 2)</f>
      </c>
      <c r="I572" s="27">
        <f>ROUND((F572/D572)*250, 2)</f>
      </c>
      <c r="J572" s="27">
        <f>ROUND((F572/D572)*500, 2)</f>
      </c>
    </row>
    <row r="573" ht="20" customHeight="1" spans="1:10" x14ac:dyDescent="0.25">
      <c r="A573" s="12">
        <v>168</v>
      </c>
      <c r="B573" s="12" t="s">
        <v>1111</v>
      </c>
      <c r="C573" s="12" t="s">
        <v>917</v>
      </c>
      <c r="D573" s="12">
        <v>100</v>
      </c>
      <c r="E573" s="12" t="s">
        <v>919</v>
      </c>
      <c r="F573" s="12">
        <v>1</v>
      </c>
      <c r="G573" s="12" t="s">
        <v>139</v>
      </c>
      <c r="H573" s="25">
        <f>ROUND((F573/D573)*100, 2)</f>
      </c>
      <c r="I573" s="25">
        <f>ROUND((F573/D573)*250, 2)</f>
      </c>
      <c r="J573" s="25">
        <f>ROUND((F573/D573)*500, 2)</f>
      </c>
    </row>
    <row r="574" ht="20" customHeight="1" spans="1:10" x14ac:dyDescent="0.25">
      <c r="A574" s="14">
        <v>168</v>
      </c>
      <c r="B574" s="14" t="s">
        <v>1111</v>
      </c>
      <c r="C574" s="14" t="s">
        <v>917</v>
      </c>
      <c r="D574" s="14">
        <v>100</v>
      </c>
      <c r="E574" s="14" t="s">
        <v>328</v>
      </c>
      <c r="F574" s="14">
        <v>3</v>
      </c>
      <c r="G574" s="14" t="s">
        <v>139</v>
      </c>
      <c r="H574" s="27">
        <f>ROUND((F574/D574)*100, 2)</f>
      </c>
      <c r="I574" s="27">
        <f>ROUND((F574/D574)*250, 2)</f>
      </c>
      <c r="J574" s="27">
        <f>ROUND((F574/D574)*500, 2)</f>
      </c>
    </row>
    <row r="575" ht="20" customHeight="1" spans="1:10" x14ac:dyDescent="0.25">
      <c r="A575" s="12">
        <v>167</v>
      </c>
      <c r="B575" s="12" t="s">
        <v>1112</v>
      </c>
      <c r="C575" s="12" t="s">
        <v>917</v>
      </c>
      <c r="D575" s="12">
        <v>100</v>
      </c>
      <c r="E575" s="12" t="s">
        <v>328</v>
      </c>
      <c r="F575" s="12">
        <v>3</v>
      </c>
      <c r="G575" s="12" t="s">
        <v>139</v>
      </c>
      <c r="H575" s="25">
        <f>ROUND((F575/D575)*100, 2)</f>
      </c>
      <c r="I575" s="25">
        <f>ROUND((F575/D575)*250, 2)</f>
      </c>
      <c r="J575" s="25">
        <f>ROUND((F575/D575)*500, 2)</f>
      </c>
    </row>
    <row r="576" ht="20" customHeight="1" spans="1:10" x14ac:dyDescent="0.25">
      <c r="A576" s="14">
        <v>167</v>
      </c>
      <c r="B576" s="14" t="s">
        <v>1112</v>
      </c>
      <c r="C576" s="14" t="s">
        <v>917</v>
      </c>
      <c r="D576" s="14">
        <v>100</v>
      </c>
      <c r="E576" s="14" t="s">
        <v>918</v>
      </c>
      <c r="F576" s="14">
        <v>10</v>
      </c>
      <c r="G576" s="14" t="s">
        <v>139</v>
      </c>
      <c r="H576" s="27">
        <f>ROUND((F576/D576)*100, 2)</f>
      </c>
      <c r="I576" s="27">
        <f>ROUND((F576/D576)*250, 2)</f>
      </c>
      <c r="J576" s="27">
        <f>ROUND((F576/D576)*500, 2)</f>
      </c>
    </row>
    <row r="577" ht="20" customHeight="1" spans="1:10" x14ac:dyDescent="0.25">
      <c r="A577" s="12">
        <v>167</v>
      </c>
      <c r="B577" s="12" t="s">
        <v>1112</v>
      </c>
      <c r="C577" s="12" t="s">
        <v>917</v>
      </c>
      <c r="D577" s="12">
        <v>100</v>
      </c>
      <c r="E577" s="12" t="s">
        <v>919</v>
      </c>
      <c r="F577" s="12">
        <v>1</v>
      </c>
      <c r="G577" s="12" t="s">
        <v>139</v>
      </c>
      <c r="H577" s="25">
        <f>ROUND((F577/D577)*100, 2)</f>
      </c>
      <c r="I577" s="25">
        <f>ROUND((F577/D577)*250, 2)</f>
      </c>
      <c r="J577" s="25">
        <f>ROUND((F577/D577)*500, 2)</f>
      </c>
    </row>
    <row r="578" ht="20" customHeight="1" spans="1:10" x14ac:dyDescent="0.25">
      <c r="A578" s="14">
        <v>167</v>
      </c>
      <c r="B578" s="14" t="s">
        <v>1112</v>
      </c>
      <c r="C578" s="14" t="s">
        <v>917</v>
      </c>
      <c r="D578" s="14">
        <v>100</v>
      </c>
      <c r="E578" s="14" t="s">
        <v>898</v>
      </c>
      <c r="F578" s="14">
        <v>5</v>
      </c>
      <c r="G578" s="14" t="s">
        <v>305</v>
      </c>
      <c r="H578" s="27">
        <f>ROUND((F578/D578)*100, 2)</f>
      </c>
      <c r="I578" s="27">
        <f>ROUND((F578/D578)*250, 2)</f>
      </c>
      <c r="J578" s="27">
        <f>ROUND((F578/D578)*500, 2)</f>
      </c>
    </row>
    <row r="579" ht="20" customHeight="1" spans="1:10" x14ac:dyDescent="0.25">
      <c r="A579" s="12">
        <v>169</v>
      </c>
      <c r="B579" s="12" t="s">
        <v>1113</v>
      </c>
      <c r="C579" s="12" t="s">
        <v>917</v>
      </c>
      <c r="D579" s="12">
        <v>100</v>
      </c>
      <c r="E579" s="12" t="s">
        <v>898</v>
      </c>
      <c r="F579" s="12">
        <v>5</v>
      </c>
      <c r="G579" s="12" t="s">
        <v>305</v>
      </c>
      <c r="H579" s="25">
        <f>ROUND((F579/D579)*100, 2)</f>
      </c>
      <c r="I579" s="25">
        <f>ROUND((F579/D579)*250, 2)</f>
      </c>
      <c r="J579" s="25">
        <f>ROUND((F579/D579)*500, 2)</f>
      </c>
    </row>
    <row r="580" ht="20" customHeight="1" spans="1:10" x14ac:dyDescent="0.25">
      <c r="A580" s="14">
        <v>169</v>
      </c>
      <c r="B580" s="14" t="s">
        <v>1113</v>
      </c>
      <c r="C580" s="14" t="s">
        <v>917</v>
      </c>
      <c r="D580" s="14">
        <v>100</v>
      </c>
      <c r="E580" s="14" t="s">
        <v>919</v>
      </c>
      <c r="F580" s="14">
        <v>1</v>
      </c>
      <c r="G580" s="14" t="s">
        <v>139</v>
      </c>
      <c r="H580" s="27">
        <f>ROUND((F580/D580)*100, 2)</f>
      </c>
      <c r="I580" s="27">
        <f>ROUND((F580/D580)*250, 2)</f>
      </c>
      <c r="J580" s="27">
        <f>ROUND((F580/D580)*500, 2)</f>
      </c>
    </row>
    <row r="581" ht="20" customHeight="1" spans="1:10" x14ac:dyDescent="0.25">
      <c r="A581" s="12">
        <v>169</v>
      </c>
      <c r="B581" s="12" t="s">
        <v>1113</v>
      </c>
      <c r="C581" s="12" t="s">
        <v>917</v>
      </c>
      <c r="D581" s="12">
        <v>100</v>
      </c>
      <c r="E581" s="12" t="s">
        <v>918</v>
      </c>
      <c r="F581" s="12">
        <v>10</v>
      </c>
      <c r="G581" s="12" t="s">
        <v>139</v>
      </c>
      <c r="H581" s="25">
        <f>ROUND((F581/D581)*100, 2)</f>
      </c>
      <c r="I581" s="25">
        <f>ROUND((F581/D581)*250, 2)</f>
      </c>
      <c r="J581" s="25">
        <f>ROUND((F581/D581)*500, 2)</f>
      </c>
    </row>
    <row r="582" ht="20" customHeight="1" spans="1:10" x14ac:dyDescent="0.25">
      <c r="A582" s="14">
        <v>169</v>
      </c>
      <c r="B582" s="14" t="s">
        <v>1113</v>
      </c>
      <c r="C582" s="14" t="s">
        <v>917</v>
      </c>
      <c r="D582" s="14">
        <v>100</v>
      </c>
      <c r="E582" s="14" t="s">
        <v>328</v>
      </c>
      <c r="F582" s="14">
        <v>3</v>
      </c>
      <c r="G582" s="14" t="s">
        <v>139</v>
      </c>
      <c r="H582" s="27">
        <f>ROUND((F582/D582)*100, 2)</f>
      </c>
      <c r="I582" s="27">
        <f>ROUND((F582/D582)*250, 2)</f>
      </c>
      <c r="J582" s="27">
        <f>ROUND((F582/D582)*500, 2)</f>
      </c>
    </row>
    <row r="583" ht="20" customHeight="1" spans="1:10" x14ac:dyDescent="0.25">
      <c r="A583" s="12">
        <v>19</v>
      </c>
      <c r="B583" s="12" t="s">
        <v>1114</v>
      </c>
      <c r="C583" s="12" t="s">
        <v>897</v>
      </c>
      <c r="D583" s="12">
        <v>100</v>
      </c>
      <c r="E583" s="12" t="s">
        <v>899</v>
      </c>
      <c r="F583" s="12">
        <v>15</v>
      </c>
      <c r="G583" s="12" t="s">
        <v>139</v>
      </c>
      <c r="H583" s="25">
        <f>ROUND((F583/D583)*100, 2)</f>
      </c>
      <c r="I583" s="25">
        <f>ROUND((F583/D583)*250, 2)</f>
      </c>
      <c r="J583" s="25">
        <f>ROUND((F583/D583)*500, 2)</f>
      </c>
    </row>
    <row r="584" ht="20" customHeight="1" spans="1:10" x14ac:dyDescent="0.25">
      <c r="A584" s="14">
        <v>19</v>
      </c>
      <c r="B584" s="14" t="s">
        <v>1114</v>
      </c>
      <c r="C584" s="14" t="s">
        <v>897</v>
      </c>
      <c r="D584" s="14">
        <v>100</v>
      </c>
      <c r="E584" s="14" t="s">
        <v>900</v>
      </c>
      <c r="F584" s="14">
        <v>1</v>
      </c>
      <c r="G584" s="14" t="s">
        <v>305</v>
      </c>
      <c r="H584" s="27">
        <f>ROUND((F584/D584)*100, 2)</f>
      </c>
      <c r="I584" s="27">
        <f>ROUND((F584/D584)*250, 2)</f>
      </c>
      <c r="J584" s="27">
        <f>ROUND((F584/D584)*500, 2)</f>
      </c>
    </row>
    <row r="585" ht="20" customHeight="1" spans="1:10" x14ac:dyDescent="0.25">
      <c r="A585" s="12">
        <v>19</v>
      </c>
      <c r="B585" s="12" t="s">
        <v>1114</v>
      </c>
      <c r="C585" s="12" t="s">
        <v>897</v>
      </c>
      <c r="D585" s="12">
        <v>100</v>
      </c>
      <c r="E585" s="12" t="s">
        <v>901</v>
      </c>
      <c r="F585" s="12">
        <v>10</v>
      </c>
      <c r="G585" s="12" t="s">
        <v>305</v>
      </c>
      <c r="H585" s="25">
        <f>ROUND((F585/D585)*100, 2)</f>
      </c>
      <c r="I585" s="25">
        <f>ROUND((F585/D585)*250, 2)</f>
      </c>
      <c r="J585" s="25">
        <f>ROUND((F585/D585)*500, 2)</f>
      </c>
    </row>
    <row r="586" ht="20" customHeight="1" spans="1:10" x14ac:dyDescent="0.25">
      <c r="A586" s="14">
        <v>19</v>
      </c>
      <c r="B586" s="14" t="s">
        <v>1114</v>
      </c>
      <c r="C586" s="14" t="s">
        <v>897</v>
      </c>
      <c r="D586" s="14">
        <v>100</v>
      </c>
      <c r="E586" s="14" t="s">
        <v>898</v>
      </c>
      <c r="F586" s="14">
        <v>3</v>
      </c>
      <c r="G586" s="14" t="s">
        <v>139</v>
      </c>
      <c r="H586" s="27">
        <f>ROUND((F586/D586)*100, 2)</f>
      </c>
      <c r="I586" s="27">
        <f>ROUND((F586/D586)*250, 2)</f>
      </c>
      <c r="J586" s="27">
        <f>ROUND((F586/D586)*500, 2)</f>
      </c>
    </row>
    <row r="587" ht="20" customHeight="1" spans="1:10" x14ac:dyDescent="0.25">
      <c r="A587" s="12">
        <v>193</v>
      </c>
      <c r="B587" s="12" t="s">
        <v>1115</v>
      </c>
      <c r="C587" s="12" t="s">
        <v>987</v>
      </c>
      <c r="D587" s="12">
        <v>100</v>
      </c>
      <c r="E587" s="12" t="s">
        <v>988</v>
      </c>
      <c r="F587" s="12">
        <v>8</v>
      </c>
      <c r="G587" s="12" t="s">
        <v>139</v>
      </c>
      <c r="H587" s="25">
        <f>ROUND((F587/D587)*100, 2)</f>
      </c>
      <c r="I587" s="25">
        <f>ROUND((F587/D587)*250, 2)</f>
      </c>
      <c r="J587" s="25">
        <f>ROUND((F587/D587)*500, 2)</f>
      </c>
    </row>
    <row r="588" ht="20" customHeight="1" spans="1:10" x14ac:dyDescent="0.25">
      <c r="A588" s="14">
        <v>193</v>
      </c>
      <c r="B588" s="14" t="s">
        <v>1115</v>
      </c>
      <c r="C588" s="14" t="s">
        <v>987</v>
      </c>
      <c r="D588" s="14">
        <v>100</v>
      </c>
      <c r="E588" s="14" t="s">
        <v>899</v>
      </c>
      <c r="F588" s="14">
        <v>15</v>
      </c>
      <c r="G588" s="14" t="s">
        <v>139</v>
      </c>
      <c r="H588" s="27">
        <f>ROUND((F588/D588)*100, 2)</f>
      </c>
      <c r="I588" s="27">
        <f>ROUND((F588/D588)*250, 2)</f>
      </c>
      <c r="J588" s="27">
        <f>ROUND((F588/D588)*500, 2)</f>
      </c>
    </row>
    <row r="589" ht="20" customHeight="1" spans="1:10" x14ac:dyDescent="0.25">
      <c r="A589" s="12">
        <v>91</v>
      </c>
      <c r="B589" s="12" t="s">
        <v>1116</v>
      </c>
      <c r="C589" s="12" t="s">
        <v>925</v>
      </c>
      <c r="D589" s="12">
        <v>100</v>
      </c>
      <c r="E589" s="12" t="s">
        <v>927</v>
      </c>
      <c r="F589" s="12">
        <v>3</v>
      </c>
      <c r="G589" s="12" t="s">
        <v>305</v>
      </c>
      <c r="H589" s="25">
        <f>ROUND((F589/D589)*100, 2)</f>
      </c>
      <c r="I589" s="25">
        <f>ROUND((F589/D589)*250, 2)</f>
      </c>
      <c r="J589" s="25">
        <f>ROUND((F589/D589)*500, 2)</f>
      </c>
    </row>
    <row r="590" ht="20" customHeight="1" spans="1:10" x14ac:dyDescent="0.25">
      <c r="A590" s="14">
        <v>91</v>
      </c>
      <c r="B590" s="14" t="s">
        <v>1116</v>
      </c>
      <c r="C590" s="14" t="s">
        <v>925</v>
      </c>
      <c r="D590" s="14">
        <v>100</v>
      </c>
      <c r="E590" s="14" t="s">
        <v>928</v>
      </c>
      <c r="F590" s="14">
        <v>15</v>
      </c>
      <c r="G590" s="14" t="s">
        <v>139</v>
      </c>
      <c r="H590" s="27">
        <f>ROUND((F590/D590)*100, 2)</f>
      </c>
      <c r="I590" s="27">
        <f>ROUND((F590/D590)*250, 2)</f>
      </c>
      <c r="J590" s="27">
        <f>ROUND((F590/D590)*500, 2)</f>
      </c>
    </row>
    <row r="591" ht="20" customHeight="1" spans="1:10" x14ac:dyDescent="0.25">
      <c r="A591" s="12">
        <v>91</v>
      </c>
      <c r="B591" s="12" t="s">
        <v>1116</v>
      </c>
      <c r="C591" s="12" t="s">
        <v>925</v>
      </c>
      <c r="D591" s="12">
        <v>100</v>
      </c>
      <c r="E591" s="12" t="s">
        <v>926</v>
      </c>
      <c r="F591" s="12">
        <v>2</v>
      </c>
      <c r="G591" s="12" t="s">
        <v>139</v>
      </c>
      <c r="H591" s="25">
        <f>ROUND((F591/D591)*100, 2)</f>
      </c>
      <c r="I591" s="25">
        <f>ROUND((F591/D591)*250, 2)</f>
      </c>
      <c r="J591" s="25">
        <f>ROUND((F591/D591)*500, 2)</f>
      </c>
    </row>
    <row r="592" ht="20" customHeight="1" spans="1:10" x14ac:dyDescent="0.25">
      <c r="A592" s="14">
        <v>91</v>
      </c>
      <c r="B592" s="14" t="s">
        <v>1116</v>
      </c>
      <c r="C592" s="14" t="s">
        <v>925</v>
      </c>
      <c r="D592" s="14">
        <v>100</v>
      </c>
      <c r="E592" s="14" t="s">
        <v>900</v>
      </c>
      <c r="F592" s="14">
        <v>2</v>
      </c>
      <c r="G592" s="14" t="s">
        <v>305</v>
      </c>
      <c r="H592" s="27">
        <f>ROUND((F592/D592)*100, 2)</f>
      </c>
      <c r="I592" s="27">
        <f>ROUND((F592/D592)*250, 2)</f>
      </c>
      <c r="J592" s="27">
        <f>ROUND((F592/D592)*500, 2)</f>
      </c>
    </row>
    <row r="593" ht="20" customHeight="1" spans="1:10" x14ac:dyDescent="0.25">
      <c r="A593" s="12">
        <v>160</v>
      </c>
      <c r="B593" s="12" t="s">
        <v>1117</v>
      </c>
      <c r="C593" s="12" t="s">
        <v>921</v>
      </c>
      <c r="D593" s="12">
        <v>100</v>
      </c>
      <c r="E593" s="12" t="s">
        <v>922</v>
      </c>
      <c r="F593" s="12">
        <v>15</v>
      </c>
      <c r="G593" s="12" t="s">
        <v>139</v>
      </c>
      <c r="H593" s="25">
        <f>ROUND((F593/D593)*100, 2)</f>
      </c>
      <c r="I593" s="25">
        <f>ROUND((F593/D593)*250, 2)</f>
      </c>
      <c r="J593" s="25">
        <f>ROUND((F593/D593)*500, 2)</f>
      </c>
    </row>
    <row r="594" ht="20" customHeight="1" spans="1:10" x14ac:dyDescent="0.25">
      <c r="A594" s="14">
        <v>160</v>
      </c>
      <c r="B594" s="14" t="s">
        <v>1117</v>
      </c>
      <c r="C594" s="14" t="s">
        <v>921</v>
      </c>
      <c r="D594" s="14">
        <v>100</v>
      </c>
      <c r="E594" s="14" t="s">
        <v>923</v>
      </c>
      <c r="F594" s="14">
        <v>2</v>
      </c>
      <c r="G594" s="14" t="s">
        <v>139</v>
      </c>
      <c r="H594" s="27">
        <f>ROUND((F594/D594)*100, 2)</f>
      </c>
      <c r="I594" s="27">
        <f>ROUND((F594/D594)*250, 2)</f>
      </c>
      <c r="J594" s="27">
        <f>ROUND((F594/D594)*500, 2)</f>
      </c>
    </row>
    <row r="595" ht="20" customHeight="1" spans="1:10" x14ac:dyDescent="0.25">
      <c r="A595" s="12">
        <v>160</v>
      </c>
      <c r="B595" s="12" t="s">
        <v>1117</v>
      </c>
      <c r="C595" s="12" t="s">
        <v>921</v>
      </c>
      <c r="D595" s="12">
        <v>100</v>
      </c>
      <c r="E595" s="12" t="s">
        <v>911</v>
      </c>
      <c r="F595" s="12">
        <v>1.5</v>
      </c>
      <c r="G595" s="12" t="s">
        <v>139</v>
      </c>
      <c r="H595" s="25">
        <f>ROUND((F595/D595)*100, 2)</f>
      </c>
      <c r="I595" s="25">
        <f>ROUND((F595/D595)*250, 2)</f>
      </c>
      <c r="J595" s="25">
        <f>ROUND((F595/D595)*500, 2)</f>
      </c>
    </row>
    <row r="596" ht="20" customHeight="1" spans="1:10" x14ac:dyDescent="0.25">
      <c r="A596" s="14">
        <v>27</v>
      </c>
      <c r="B596" s="14" t="s">
        <v>1118</v>
      </c>
      <c r="C596" s="14" t="s">
        <v>897</v>
      </c>
      <c r="D596" s="14">
        <v>100</v>
      </c>
      <c r="E596" s="14" t="s">
        <v>899</v>
      </c>
      <c r="F596" s="14">
        <v>15</v>
      </c>
      <c r="G596" s="14" t="s">
        <v>139</v>
      </c>
      <c r="H596" s="27">
        <f>ROUND((F596/D596)*100, 2)</f>
      </c>
      <c r="I596" s="27">
        <f>ROUND((F596/D596)*250, 2)</f>
      </c>
      <c r="J596" s="27">
        <f>ROUND((F596/D596)*500, 2)</f>
      </c>
    </row>
    <row r="597" ht="20" customHeight="1" spans="1:10" x14ac:dyDescent="0.25">
      <c r="A597" s="12">
        <v>27</v>
      </c>
      <c r="B597" s="12" t="s">
        <v>1118</v>
      </c>
      <c r="C597" s="12" t="s">
        <v>897</v>
      </c>
      <c r="D597" s="12">
        <v>100</v>
      </c>
      <c r="E597" s="12" t="s">
        <v>898</v>
      </c>
      <c r="F597" s="12">
        <v>3</v>
      </c>
      <c r="G597" s="12" t="s">
        <v>139</v>
      </c>
      <c r="H597" s="25">
        <f>ROUND((F597/D597)*100, 2)</f>
      </c>
      <c r="I597" s="25">
        <f>ROUND((F597/D597)*250, 2)</f>
      </c>
      <c r="J597" s="25">
        <f>ROUND((F597/D597)*500, 2)</f>
      </c>
    </row>
    <row r="598" ht="20" customHeight="1" spans="1:10" x14ac:dyDescent="0.25">
      <c r="A598" s="14">
        <v>27</v>
      </c>
      <c r="B598" s="14" t="s">
        <v>1118</v>
      </c>
      <c r="C598" s="14" t="s">
        <v>897</v>
      </c>
      <c r="D598" s="14">
        <v>100</v>
      </c>
      <c r="E598" s="14" t="s">
        <v>900</v>
      </c>
      <c r="F598" s="14">
        <v>1</v>
      </c>
      <c r="G598" s="14" t="s">
        <v>305</v>
      </c>
      <c r="H598" s="27">
        <f>ROUND((F598/D598)*100, 2)</f>
      </c>
      <c r="I598" s="27">
        <f>ROUND((F598/D598)*250, 2)</f>
      </c>
      <c r="J598" s="27">
        <f>ROUND((F598/D598)*500, 2)</f>
      </c>
    </row>
    <row r="599" ht="20" customHeight="1" spans="1:10" x14ac:dyDescent="0.25">
      <c r="A599" s="12">
        <v>27</v>
      </c>
      <c r="B599" s="12" t="s">
        <v>1118</v>
      </c>
      <c r="C599" s="12" t="s">
        <v>897</v>
      </c>
      <c r="D599" s="12">
        <v>100</v>
      </c>
      <c r="E599" s="12" t="s">
        <v>901</v>
      </c>
      <c r="F599" s="12">
        <v>10</v>
      </c>
      <c r="G599" s="12" t="s">
        <v>305</v>
      </c>
      <c r="H599" s="25">
        <f>ROUND((F599/D599)*100, 2)</f>
      </c>
      <c r="I599" s="25">
        <f>ROUND((F599/D599)*250, 2)</f>
      </c>
      <c r="J599" s="25">
        <f>ROUND((F599/D599)*500, 2)</f>
      </c>
    </row>
    <row r="600" ht="20" customHeight="1" spans="1:10" x14ac:dyDescent="0.25">
      <c r="A600" s="14">
        <v>189</v>
      </c>
      <c r="B600" s="14" t="s">
        <v>1119</v>
      </c>
      <c r="C600" s="14" t="s">
        <v>987</v>
      </c>
      <c r="D600" s="14">
        <v>100</v>
      </c>
      <c r="E600" s="14" t="s">
        <v>988</v>
      </c>
      <c r="F600" s="14">
        <v>8</v>
      </c>
      <c r="G600" s="14" t="s">
        <v>139</v>
      </c>
      <c r="H600" s="27">
        <f>ROUND((F600/D600)*100, 2)</f>
      </c>
      <c r="I600" s="27">
        <f>ROUND((F600/D600)*250, 2)</f>
      </c>
      <c r="J600" s="27">
        <f>ROUND((F600/D600)*500, 2)</f>
      </c>
    </row>
    <row r="601" ht="20" customHeight="1" spans="1:10" x14ac:dyDescent="0.25">
      <c r="A601" s="12">
        <v>189</v>
      </c>
      <c r="B601" s="12" t="s">
        <v>1119</v>
      </c>
      <c r="C601" s="12" t="s">
        <v>987</v>
      </c>
      <c r="D601" s="12">
        <v>100</v>
      </c>
      <c r="E601" s="12" t="s">
        <v>899</v>
      </c>
      <c r="F601" s="12">
        <v>15</v>
      </c>
      <c r="G601" s="12" t="s">
        <v>139</v>
      </c>
      <c r="H601" s="25">
        <f>ROUND((F601/D601)*100, 2)</f>
      </c>
      <c r="I601" s="25">
        <f>ROUND((F601/D601)*250, 2)</f>
      </c>
      <c r="J601" s="25">
        <f>ROUND((F601/D601)*500, 2)</f>
      </c>
    </row>
    <row r="602" ht="20" customHeight="1" spans="1:10" x14ac:dyDescent="0.25">
      <c r="A602" s="14">
        <v>37</v>
      </c>
      <c r="B602" s="14" t="s">
        <v>1120</v>
      </c>
      <c r="C602" s="14" t="s">
        <v>897</v>
      </c>
      <c r="D602" s="14">
        <v>100</v>
      </c>
      <c r="E602" s="14" t="s">
        <v>901</v>
      </c>
      <c r="F602" s="14">
        <v>10</v>
      </c>
      <c r="G602" s="14" t="s">
        <v>305</v>
      </c>
      <c r="H602" s="27">
        <f>ROUND((F602/D602)*100, 2)</f>
      </c>
      <c r="I602" s="27">
        <f>ROUND((F602/D602)*250, 2)</f>
      </c>
      <c r="J602" s="27">
        <f>ROUND((F602/D602)*500, 2)</f>
      </c>
    </row>
    <row r="603" ht="20" customHeight="1" spans="1:10" x14ac:dyDescent="0.25">
      <c r="A603" s="12">
        <v>37</v>
      </c>
      <c r="B603" s="12" t="s">
        <v>1120</v>
      </c>
      <c r="C603" s="12" t="s">
        <v>897</v>
      </c>
      <c r="D603" s="12">
        <v>100</v>
      </c>
      <c r="E603" s="12" t="s">
        <v>899</v>
      </c>
      <c r="F603" s="12">
        <v>15</v>
      </c>
      <c r="G603" s="12" t="s">
        <v>139</v>
      </c>
      <c r="H603" s="25">
        <f>ROUND((F603/D603)*100, 2)</f>
      </c>
      <c r="I603" s="25">
        <f>ROUND((F603/D603)*250, 2)</f>
      </c>
      <c r="J603" s="25">
        <f>ROUND((F603/D603)*500, 2)</f>
      </c>
    </row>
    <row r="604" ht="20" customHeight="1" spans="1:10" x14ac:dyDescent="0.25">
      <c r="A604" s="14">
        <v>37</v>
      </c>
      <c r="B604" s="14" t="s">
        <v>1120</v>
      </c>
      <c r="C604" s="14" t="s">
        <v>897</v>
      </c>
      <c r="D604" s="14">
        <v>100</v>
      </c>
      <c r="E604" s="14" t="s">
        <v>900</v>
      </c>
      <c r="F604" s="14">
        <v>1</v>
      </c>
      <c r="G604" s="14" t="s">
        <v>305</v>
      </c>
      <c r="H604" s="27">
        <f>ROUND((F604/D604)*100, 2)</f>
      </c>
      <c r="I604" s="27">
        <f>ROUND((F604/D604)*250, 2)</f>
      </c>
      <c r="J604" s="27">
        <f>ROUND((F604/D604)*500, 2)</f>
      </c>
    </row>
    <row r="605" ht="20" customHeight="1" spans="1:10" x14ac:dyDescent="0.25">
      <c r="A605" s="12">
        <v>37</v>
      </c>
      <c r="B605" s="12" t="s">
        <v>1120</v>
      </c>
      <c r="C605" s="12" t="s">
        <v>897</v>
      </c>
      <c r="D605" s="12">
        <v>100</v>
      </c>
      <c r="E605" s="12" t="s">
        <v>898</v>
      </c>
      <c r="F605" s="12">
        <v>3</v>
      </c>
      <c r="G605" s="12" t="s">
        <v>139</v>
      </c>
      <c r="H605" s="25">
        <f>ROUND((F605/D605)*100, 2)</f>
      </c>
      <c r="I605" s="25">
        <f>ROUND((F605/D605)*250, 2)</f>
      </c>
      <c r="J605" s="25">
        <f>ROUND((F605/D605)*500, 2)</f>
      </c>
    </row>
    <row r="606" ht="20" customHeight="1" spans="1:10" x14ac:dyDescent="0.25">
      <c r="A606" s="14">
        <v>69</v>
      </c>
      <c r="B606" s="14" t="s">
        <v>1121</v>
      </c>
      <c r="C606" s="14" t="s">
        <v>913</v>
      </c>
      <c r="D606" s="14">
        <v>100</v>
      </c>
      <c r="E606" s="14" t="s">
        <v>915</v>
      </c>
      <c r="F606" s="14">
        <v>1.5</v>
      </c>
      <c r="G606" s="14" t="s">
        <v>139</v>
      </c>
      <c r="H606" s="27">
        <f>ROUND((F606/D606)*100, 2)</f>
      </c>
      <c r="I606" s="27">
        <f>ROUND((F606/D606)*250, 2)</f>
      </c>
      <c r="J606" s="27">
        <f>ROUND((F606/D606)*500, 2)</f>
      </c>
    </row>
    <row r="607" ht="20" customHeight="1" spans="1:10" x14ac:dyDescent="0.25">
      <c r="A607" s="12">
        <v>69</v>
      </c>
      <c r="B607" s="12" t="s">
        <v>1121</v>
      </c>
      <c r="C607" s="12" t="s">
        <v>913</v>
      </c>
      <c r="D607" s="12">
        <v>100</v>
      </c>
      <c r="E607" s="12" t="s">
        <v>914</v>
      </c>
      <c r="F607" s="12">
        <v>10</v>
      </c>
      <c r="G607" s="12" t="s">
        <v>139</v>
      </c>
      <c r="H607" s="25">
        <f>ROUND((F607/D607)*100, 2)</f>
      </c>
      <c r="I607" s="25">
        <f>ROUND((F607/D607)*250, 2)</f>
      </c>
      <c r="J607" s="25">
        <f>ROUND((F607/D607)*500, 2)</f>
      </c>
    </row>
    <row r="608" ht="20" customHeight="1" spans="1:10" x14ac:dyDescent="0.25">
      <c r="A608" s="14">
        <v>72</v>
      </c>
      <c r="B608" s="14" t="s">
        <v>1122</v>
      </c>
      <c r="C608" s="14" t="s">
        <v>913</v>
      </c>
      <c r="D608" s="14">
        <v>100</v>
      </c>
      <c r="E608" s="14" t="s">
        <v>914</v>
      </c>
      <c r="F608" s="14">
        <v>10</v>
      </c>
      <c r="G608" s="14" t="s">
        <v>139</v>
      </c>
      <c r="H608" s="27">
        <f>ROUND((F608/D608)*100, 2)</f>
      </c>
      <c r="I608" s="27">
        <f>ROUND((F608/D608)*250, 2)</f>
      </c>
      <c r="J608" s="27">
        <f>ROUND((F608/D608)*500, 2)</f>
      </c>
    </row>
    <row r="609" ht="20" customHeight="1" spans="1:10" x14ac:dyDescent="0.25">
      <c r="A609" s="12">
        <v>72</v>
      </c>
      <c r="B609" s="12" t="s">
        <v>1122</v>
      </c>
      <c r="C609" s="12" t="s">
        <v>913</v>
      </c>
      <c r="D609" s="12">
        <v>100</v>
      </c>
      <c r="E609" s="12" t="s">
        <v>915</v>
      </c>
      <c r="F609" s="12">
        <v>1.5</v>
      </c>
      <c r="G609" s="12" t="s">
        <v>139</v>
      </c>
      <c r="H609" s="25">
        <f>ROUND((F609/D609)*100, 2)</f>
      </c>
      <c r="I609" s="25">
        <f>ROUND((F609/D609)*250, 2)</f>
      </c>
      <c r="J609" s="25">
        <f>ROUND((F609/D609)*500, 2)</f>
      </c>
    </row>
    <row r="610" ht="20" customHeight="1" spans="1:10" x14ac:dyDescent="0.25">
      <c r="A610" s="14">
        <v>39</v>
      </c>
      <c r="B610" s="14" t="s">
        <v>1123</v>
      </c>
      <c r="C610" s="14" t="s">
        <v>897</v>
      </c>
      <c r="D610" s="14">
        <v>100</v>
      </c>
      <c r="E610" s="14" t="s">
        <v>898</v>
      </c>
      <c r="F610" s="14">
        <v>3</v>
      </c>
      <c r="G610" s="14" t="s">
        <v>139</v>
      </c>
      <c r="H610" s="27">
        <f>ROUND((F610/D610)*100, 2)</f>
      </c>
      <c r="I610" s="27">
        <f>ROUND((F610/D610)*250, 2)</f>
      </c>
      <c r="J610" s="27">
        <f>ROUND((F610/D610)*500, 2)</f>
      </c>
    </row>
    <row r="611" ht="20" customHeight="1" spans="1:10" x14ac:dyDescent="0.25">
      <c r="A611" s="12">
        <v>39</v>
      </c>
      <c r="B611" s="12" t="s">
        <v>1123</v>
      </c>
      <c r="C611" s="12" t="s">
        <v>897</v>
      </c>
      <c r="D611" s="12">
        <v>100</v>
      </c>
      <c r="E611" s="12" t="s">
        <v>900</v>
      </c>
      <c r="F611" s="12">
        <v>1</v>
      </c>
      <c r="G611" s="12" t="s">
        <v>305</v>
      </c>
      <c r="H611" s="25">
        <f>ROUND((F611/D611)*100, 2)</f>
      </c>
      <c r="I611" s="25">
        <f>ROUND((F611/D611)*250, 2)</f>
      </c>
      <c r="J611" s="25">
        <f>ROUND((F611/D611)*500, 2)</f>
      </c>
    </row>
    <row r="612" ht="20" customHeight="1" spans="1:10" x14ac:dyDescent="0.25">
      <c r="A612" s="14">
        <v>39</v>
      </c>
      <c r="B612" s="14" t="s">
        <v>1123</v>
      </c>
      <c r="C612" s="14" t="s">
        <v>897</v>
      </c>
      <c r="D612" s="14">
        <v>100</v>
      </c>
      <c r="E612" s="14" t="s">
        <v>899</v>
      </c>
      <c r="F612" s="14">
        <v>15</v>
      </c>
      <c r="G612" s="14" t="s">
        <v>139</v>
      </c>
      <c r="H612" s="27">
        <f>ROUND((F612/D612)*100, 2)</f>
      </c>
      <c r="I612" s="27">
        <f>ROUND((F612/D612)*250, 2)</f>
      </c>
      <c r="J612" s="27">
        <f>ROUND((F612/D612)*500, 2)</f>
      </c>
    </row>
    <row r="613" ht="20" customHeight="1" spans="1:10" x14ac:dyDescent="0.25">
      <c r="A613" s="12">
        <v>39</v>
      </c>
      <c r="B613" s="12" t="s">
        <v>1123</v>
      </c>
      <c r="C613" s="12" t="s">
        <v>897</v>
      </c>
      <c r="D613" s="12">
        <v>100</v>
      </c>
      <c r="E613" s="12" t="s">
        <v>901</v>
      </c>
      <c r="F613" s="12">
        <v>10</v>
      </c>
      <c r="G613" s="12" t="s">
        <v>305</v>
      </c>
      <c r="H613" s="25">
        <f>ROUND((F613/D613)*100, 2)</f>
      </c>
      <c r="I613" s="25">
        <f>ROUND((F613/D613)*250, 2)</f>
      </c>
      <c r="J613" s="25">
        <f>ROUND((F613/D613)*500, 2)</f>
      </c>
    </row>
    <row r="614" ht="20" customHeight="1" spans="1:10" x14ac:dyDescent="0.25">
      <c r="A614" s="14">
        <v>67</v>
      </c>
      <c r="B614" s="14" t="s">
        <v>1124</v>
      </c>
      <c r="C614" s="14" t="s">
        <v>967</v>
      </c>
      <c r="D614" s="14">
        <v>100</v>
      </c>
      <c r="E614" s="14" t="s">
        <v>175</v>
      </c>
      <c r="F614" s="14">
        <v>20</v>
      </c>
      <c r="G614" s="14" t="s">
        <v>139</v>
      </c>
      <c r="H614" s="27">
        <f>ROUND((F614/D614)*100, 2)</f>
      </c>
      <c r="I614" s="27">
        <f>ROUND((F614/D614)*250, 2)</f>
      </c>
      <c r="J614" s="27">
        <f>ROUND((F614/D614)*500, 2)</f>
      </c>
    </row>
    <row r="615" ht="20" customHeight="1" spans="1:10" x14ac:dyDescent="0.25">
      <c r="A615" s="12">
        <v>67</v>
      </c>
      <c r="B615" s="12" t="s">
        <v>1124</v>
      </c>
      <c r="C615" s="12" t="s">
        <v>967</v>
      </c>
      <c r="D615" s="12">
        <v>100</v>
      </c>
      <c r="E615" s="12" t="s">
        <v>970</v>
      </c>
      <c r="F615" s="12">
        <v>15</v>
      </c>
      <c r="G615" s="12" t="s">
        <v>139</v>
      </c>
      <c r="H615" s="25">
        <f>ROUND((F615/D615)*100, 2)</f>
      </c>
      <c r="I615" s="25">
        <f>ROUND((F615/D615)*250, 2)</f>
      </c>
      <c r="J615" s="25">
        <f>ROUND((F615/D615)*500, 2)</f>
      </c>
    </row>
    <row r="616" ht="20" customHeight="1" spans="1:10" x14ac:dyDescent="0.25">
      <c r="A616" s="14">
        <v>67</v>
      </c>
      <c r="B616" s="14" t="s">
        <v>1124</v>
      </c>
      <c r="C616" s="14" t="s">
        <v>967</v>
      </c>
      <c r="D616" s="14">
        <v>100</v>
      </c>
      <c r="E616" s="14" t="s">
        <v>969</v>
      </c>
      <c r="F616" s="14">
        <v>1.5</v>
      </c>
      <c r="G616" s="14" t="s">
        <v>139</v>
      </c>
      <c r="H616" s="27">
        <f>ROUND((F616/D616)*100, 2)</f>
      </c>
      <c r="I616" s="27">
        <f>ROUND((F616/D616)*250, 2)</f>
      </c>
      <c r="J616" s="27">
        <f>ROUND((F616/D616)*500, 2)</f>
      </c>
    </row>
    <row r="617" ht="20" customHeight="1" spans="1:10" x14ac:dyDescent="0.25">
      <c r="A617" s="12">
        <v>67</v>
      </c>
      <c r="B617" s="12" t="s">
        <v>1124</v>
      </c>
      <c r="C617" s="12" t="s">
        <v>967</v>
      </c>
      <c r="D617" s="12">
        <v>100</v>
      </c>
      <c r="E617" s="12" t="s">
        <v>399</v>
      </c>
      <c r="F617" s="12">
        <v>2</v>
      </c>
      <c r="G617" s="12" t="s">
        <v>305</v>
      </c>
      <c r="H617" s="25">
        <f>ROUND((F617/D617)*100, 2)</f>
      </c>
      <c r="I617" s="25">
        <f>ROUND((F617/D617)*250, 2)</f>
      </c>
      <c r="J617" s="25">
        <f>ROUND((F617/D617)*500, 2)</f>
      </c>
    </row>
    <row r="618" ht="20" customHeight="1" spans="1:10" x14ac:dyDescent="0.25">
      <c r="A618" s="14">
        <v>67</v>
      </c>
      <c r="B618" s="14" t="s">
        <v>1124</v>
      </c>
      <c r="C618" s="14" t="s">
        <v>967</v>
      </c>
      <c r="D618" s="14">
        <v>100</v>
      </c>
      <c r="E618" s="14" t="s">
        <v>968</v>
      </c>
      <c r="F618" s="14">
        <v>2</v>
      </c>
      <c r="G618" s="14" t="s">
        <v>139</v>
      </c>
      <c r="H618" s="27">
        <f>ROUND((F618/D618)*100, 2)</f>
      </c>
      <c r="I618" s="27">
        <f>ROUND((F618/D618)*250, 2)</f>
      </c>
      <c r="J618" s="27">
        <f>ROUND((F618/D618)*500, 2)</f>
      </c>
    </row>
    <row r="619" ht="20" customHeight="1" spans="1:10" x14ac:dyDescent="0.25">
      <c r="A619" s="12">
        <v>60</v>
      </c>
      <c r="B619" s="12" t="s">
        <v>1125</v>
      </c>
      <c r="C619" s="12" t="s">
        <v>948</v>
      </c>
      <c r="D619" s="12">
        <v>100</v>
      </c>
      <c r="E619" s="12" t="s">
        <v>950</v>
      </c>
      <c r="F619" s="12">
        <v>10</v>
      </c>
      <c r="G619" s="12" t="s">
        <v>139</v>
      </c>
      <c r="H619" s="25">
        <f>ROUND((F619/D619)*100, 2)</f>
      </c>
      <c r="I619" s="25">
        <f>ROUND((F619/D619)*250, 2)</f>
      </c>
      <c r="J619" s="25">
        <f>ROUND((F619/D619)*500, 2)</f>
      </c>
    </row>
    <row r="620" ht="20" customHeight="1" spans="1:10" x14ac:dyDescent="0.25">
      <c r="A620" s="14">
        <v>60</v>
      </c>
      <c r="B620" s="14" t="s">
        <v>1125</v>
      </c>
      <c r="C620" s="14" t="s">
        <v>948</v>
      </c>
      <c r="D620" s="14">
        <v>100</v>
      </c>
      <c r="E620" s="14" t="s">
        <v>900</v>
      </c>
      <c r="F620" s="14">
        <v>2</v>
      </c>
      <c r="G620" s="14" t="s">
        <v>305</v>
      </c>
      <c r="H620" s="27">
        <f>ROUND((F620/D620)*100, 2)</f>
      </c>
      <c r="I620" s="27">
        <f>ROUND((F620/D620)*250, 2)</f>
      </c>
      <c r="J620" s="27">
        <f>ROUND((F620/D620)*500, 2)</f>
      </c>
    </row>
    <row r="621" ht="20" customHeight="1" spans="1:10" x14ac:dyDescent="0.25">
      <c r="A621" s="12">
        <v>60</v>
      </c>
      <c r="B621" s="12" t="s">
        <v>1125</v>
      </c>
      <c r="C621" s="12" t="s">
        <v>948</v>
      </c>
      <c r="D621" s="12">
        <v>100</v>
      </c>
      <c r="E621" s="12" t="s">
        <v>949</v>
      </c>
      <c r="F621" s="12">
        <v>20</v>
      </c>
      <c r="G621" s="12" t="s">
        <v>139</v>
      </c>
      <c r="H621" s="25">
        <f>ROUND((F621/D621)*100, 2)</f>
      </c>
      <c r="I621" s="25">
        <f>ROUND((F621/D621)*250, 2)</f>
      </c>
      <c r="J621" s="25">
        <f>ROUND((F621/D621)*500, 2)</f>
      </c>
    </row>
    <row r="622" ht="20" customHeight="1" spans="1:10" x14ac:dyDescent="0.25">
      <c r="A622" s="14">
        <v>60</v>
      </c>
      <c r="B622" s="14" t="s">
        <v>1125</v>
      </c>
      <c r="C622" s="14" t="s">
        <v>948</v>
      </c>
      <c r="D622" s="14">
        <v>100</v>
      </c>
      <c r="E622" s="14" t="s">
        <v>951</v>
      </c>
      <c r="F622" s="14">
        <v>1</v>
      </c>
      <c r="G622" s="14" t="s">
        <v>139</v>
      </c>
      <c r="H622" s="27">
        <f>ROUND((F622/D622)*100, 2)</f>
      </c>
      <c r="I622" s="27">
        <f>ROUND((F622/D622)*250, 2)</f>
      </c>
      <c r="J622" s="27">
        <f>ROUND((F622/D622)*500, 2)</f>
      </c>
    </row>
    <row r="623" ht="20" customHeight="1" spans="1:10" x14ac:dyDescent="0.25">
      <c r="A623" s="12">
        <v>173</v>
      </c>
      <c r="B623" s="12" t="s">
        <v>1126</v>
      </c>
      <c r="C623" s="12" t="s">
        <v>917</v>
      </c>
      <c r="D623" s="12">
        <v>100</v>
      </c>
      <c r="E623" s="12" t="s">
        <v>898</v>
      </c>
      <c r="F623" s="12">
        <v>5</v>
      </c>
      <c r="G623" s="12" t="s">
        <v>305</v>
      </c>
      <c r="H623" s="25">
        <f>ROUND((F623/D623)*100, 2)</f>
      </c>
      <c r="I623" s="25">
        <f>ROUND((F623/D623)*250, 2)</f>
      </c>
      <c r="J623" s="25">
        <f>ROUND((F623/D623)*500, 2)</f>
      </c>
    </row>
    <row r="624" ht="20" customHeight="1" spans="1:10" x14ac:dyDescent="0.25">
      <c r="A624" s="14">
        <v>173</v>
      </c>
      <c r="B624" s="14" t="s">
        <v>1126</v>
      </c>
      <c r="C624" s="14" t="s">
        <v>917</v>
      </c>
      <c r="D624" s="14">
        <v>100</v>
      </c>
      <c r="E624" s="14" t="s">
        <v>328</v>
      </c>
      <c r="F624" s="14">
        <v>3</v>
      </c>
      <c r="G624" s="14" t="s">
        <v>139</v>
      </c>
      <c r="H624" s="27">
        <f>ROUND((F624/D624)*100, 2)</f>
      </c>
      <c r="I624" s="27">
        <f>ROUND((F624/D624)*250, 2)</f>
      </c>
      <c r="J624" s="27">
        <f>ROUND((F624/D624)*500, 2)</f>
      </c>
    </row>
    <row r="625" ht="20" customHeight="1" spans="1:10" x14ac:dyDescent="0.25">
      <c r="A625" s="12">
        <v>173</v>
      </c>
      <c r="B625" s="12" t="s">
        <v>1126</v>
      </c>
      <c r="C625" s="12" t="s">
        <v>917</v>
      </c>
      <c r="D625" s="12">
        <v>100</v>
      </c>
      <c r="E625" s="12" t="s">
        <v>919</v>
      </c>
      <c r="F625" s="12">
        <v>1</v>
      </c>
      <c r="G625" s="12" t="s">
        <v>139</v>
      </c>
      <c r="H625" s="25">
        <f>ROUND((F625/D625)*100, 2)</f>
      </c>
      <c r="I625" s="25">
        <f>ROUND((F625/D625)*250, 2)</f>
      </c>
      <c r="J625" s="25">
        <f>ROUND((F625/D625)*500, 2)</f>
      </c>
    </row>
    <row r="626" ht="20" customHeight="1" spans="1:10" x14ac:dyDescent="0.25">
      <c r="A626" s="14">
        <v>173</v>
      </c>
      <c r="B626" s="14" t="s">
        <v>1126</v>
      </c>
      <c r="C626" s="14" t="s">
        <v>917</v>
      </c>
      <c r="D626" s="14">
        <v>100</v>
      </c>
      <c r="E626" s="14" t="s">
        <v>918</v>
      </c>
      <c r="F626" s="14">
        <v>10</v>
      </c>
      <c r="G626" s="14" t="s">
        <v>139</v>
      </c>
      <c r="H626" s="27">
        <f>ROUND((F626/D626)*100, 2)</f>
      </c>
      <c r="I626" s="27">
        <f>ROUND((F626/D626)*250, 2)</f>
      </c>
      <c r="J626" s="27">
        <f>ROUND((F626/D626)*500, 2)</f>
      </c>
    </row>
    <row r="627" ht="20" customHeight="1" spans="1:10" x14ac:dyDescent="0.25">
      <c r="A627" s="12">
        <v>29</v>
      </c>
      <c r="B627" s="12" t="s">
        <v>1127</v>
      </c>
      <c r="C627" s="12" t="s">
        <v>897</v>
      </c>
      <c r="D627" s="12">
        <v>100</v>
      </c>
      <c r="E627" s="12" t="s">
        <v>900</v>
      </c>
      <c r="F627" s="12">
        <v>1</v>
      </c>
      <c r="G627" s="12" t="s">
        <v>305</v>
      </c>
      <c r="H627" s="25">
        <f>ROUND((F627/D627)*100, 2)</f>
      </c>
      <c r="I627" s="25">
        <f>ROUND((F627/D627)*250, 2)</f>
      </c>
      <c r="J627" s="25">
        <f>ROUND((F627/D627)*500, 2)</f>
      </c>
    </row>
    <row r="628" ht="20" customHeight="1" spans="1:10" x14ac:dyDescent="0.25">
      <c r="A628" s="14">
        <v>29</v>
      </c>
      <c r="B628" s="14" t="s">
        <v>1127</v>
      </c>
      <c r="C628" s="14" t="s">
        <v>897</v>
      </c>
      <c r="D628" s="14">
        <v>100</v>
      </c>
      <c r="E628" s="14" t="s">
        <v>898</v>
      </c>
      <c r="F628" s="14">
        <v>3</v>
      </c>
      <c r="G628" s="14" t="s">
        <v>139</v>
      </c>
      <c r="H628" s="27">
        <f>ROUND((F628/D628)*100, 2)</f>
      </c>
      <c r="I628" s="27">
        <f>ROUND((F628/D628)*250, 2)</f>
      </c>
      <c r="J628" s="27">
        <f>ROUND((F628/D628)*500, 2)</f>
      </c>
    </row>
    <row r="629" ht="20" customHeight="1" spans="1:10" x14ac:dyDescent="0.25">
      <c r="A629" s="12">
        <v>29</v>
      </c>
      <c r="B629" s="12" t="s">
        <v>1127</v>
      </c>
      <c r="C629" s="12" t="s">
        <v>897</v>
      </c>
      <c r="D629" s="12">
        <v>100</v>
      </c>
      <c r="E629" s="12" t="s">
        <v>901</v>
      </c>
      <c r="F629" s="12">
        <v>10</v>
      </c>
      <c r="G629" s="12" t="s">
        <v>305</v>
      </c>
      <c r="H629" s="25">
        <f>ROUND((F629/D629)*100, 2)</f>
      </c>
      <c r="I629" s="25">
        <f>ROUND((F629/D629)*250, 2)</f>
      </c>
      <c r="J629" s="25">
        <f>ROUND((F629/D629)*500, 2)</f>
      </c>
    </row>
    <row r="630" ht="20" customHeight="1" spans="1:10" x14ac:dyDescent="0.25">
      <c r="A630" s="14">
        <v>29</v>
      </c>
      <c r="B630" s="14" t="s">
        <v>1127</v>
      </c>
      <c r="C630" s="14" t="s">
        <v>897</v>
      </c>
      <c r="D630" s="14">
        <v>100</v>
      </c>
      <c r="E630" s="14" t="s">
        <v>899</v>
      </c>
      <c r="F630" s="14">
        <v>15</v>
      </c>
      <c r="G630" s="14" t="s">
        <v>139</v>
      </c>
      <c r="H630" s="27">
        <f>ROUND((F630/D630)*100, 2)</f>
      </c>
      <c r="I630" s="27">
        <f>ROUND((F630/D630)*250, 2)</f>
      </c>
      <c r="J630" s="27">
        <f>ROUND((F630/D630)*500, 2)</f>
      </c>
    </row>
    <row r="631" ht="20" customHeight="1" spans="1:10" x14ac:dyDescent="0.25">
      <c r="A631" s="12">
        <v>178</v>
      </c>
      <c r="B631" s="12" t="s">
        <v>1128</v>
      </c>
      <c r="C631" s="12" t="s">
        <v>917</v>
      </c>
      <c r="D631" s="12">
        <v>100</v>
      </c>
      <c r="E631" s="12" t="s">
        <v>919</v>
      </c>
      <c r="F631" s="12">
        <v>1</v>
      </c>
      <c r="G631" s="12" t="s">
        <v>139</v>
      </c>
      <c r="H631" s="25">
        <f>ROUND((F631/D631)*100, 2)</f>
      </c>
      <c r="I631" s="25">
        <f>ROUND((F631/D631)*250, 2)</f>
      </c>
      <c r="J631" s="25">
        <f>ROUND((F631/D631)*500, 2)</f>
      </c>
    </row>
    <row r="632" ht="20" customHeight="1" spans="1:10" x14ac:dyDescent="0.25">
      <c r="A632" s="14">
        <v>178</v>
      </c>
      <c r="B632" s="14" t="s">
        <v>1128</v>
      </c>
      <c r="C632" s="14" t="s">
        <v>917</v>
      </c>
      <c r="D632" s="14">
        <v>100</v>
      </c>
      <c r="E632" s="14" t="s">
        <v>918</v>
      </c>
      <c r="F632" s="14">
        <v>10</v>
      </c>
      <c r="G632" s="14" t="s">
        <v>139</v>
      </c>
      <c r="H632" s="27">
        <f>ROUND((F632/D632)*100, 2)</f>
      </c>
      <c r="I632" s="27">
        <f>ROUND((F632/D632)*250, 2)</f>
      </c>
      <c r="J632" s="27">
        <f>ROUND((F632/D632)*500, 2)</f>
      </c>
    </row>
    <row r="633" ht="20" customHeight="1" spans="1:10" x14ac:dyDescent="0.25">
      <c r="A633" s="12">
        <v>178</v>
      </c>
      <c r="B633" s="12" t="s">
        <v>1128</v>
      </c>
      <c r="C633" s="12" t="s">
        <v>917</v>
      </c>
      <c r="D633" s="12">
        <v>100</v>
      </c>
      <c r="E633" s="12" t="s">
        <v>898</v>
      </c>
      <c r="F633" s="12">
        <v>5</v>
      </c>
      <c r="G633" s="12" t="s">
        <v>305</v>
      </c>
      <c r="H633" s="25">
        <f>ROUND((F633/D633)*100, 2)</f>
      </c>
      <c r="I633" s="25">
        <f>ROUND((F633/D633)*250, 2)</f>
      </c>
      <c r="J633" s="25">
        <f>ROUND((F633/D633)*500, 2)</f>
      </c>
    </row>
    <row r="634" ht="20" customHeight="1" spans="1:10" x14ac:dyDescent="0.25">
      <c r="A634" s="14">
        <v>178</v>
      </c>
      <c r="B634" s="14" t="s">
        <v>1128</v>
      </c>
      <c r="C634" s="14" t="s">
        <v>917</v>
      </c>
      <c r="D634" s="14">
        <v>100</v>
      </c>
      <c r="E634" s="14" t="s">
        <v>328</v>
      </c>
      <c r="F634" s="14">
        <v>3</v>
      </c>
      <c r="G634" s="14" t="s">
        <v>139</v>
      </c>
      <c r="H634" s="27">
        <f>ROUND((F634/D634)*100, 2)</f>
      </c>
      <c r="I634" s="27">
        <f>ROUND((F634/D634)*250, 2)</f>
      </c>
      <c r="J634" s="27">
        <f>ROUND((F634/D634)*500, 2)</f>
      </c>
    </row>
    <row r="635" ht="20" customHeight="1" spans="1:10" x14ac:dyDescent="0.25">
      <c r="A635" s="12">
        <v>90</v>
      </c>
      <c r="B635" s="12" t="s">
        <v>1129</v>
      </c>
      <c r="C635" s="12" t="s">
        <v>925</v>
      </c>
      <c r="D635" s="12">
        <v>100</v>
      </c>
      <c r="E635" s="12" t="s">
        <v>928</v>
      </c>
      <c r="F635" s="12">
        <v>15</v>
      </c>
      <c r="G635" s="12" t="s">
        <v>139</v>
      </c>
      <c r="H635" s="25">
        <f>ROUND((F635/D635)*100, 2)</f>
      </c>
      <c r="I635" s="25">
        <f>ROUND((F635/D635)*250, 2)</f>
      </c>
      <c r="J635" s="25">
        <f>ROUND((F635/D635)*500, 2)</f>
      </c>
    </row>
    <row r="636" ht="20" customHeight="1" spans="1:10" x14ac:dyDescent="0.25">
      <c r="A636" s="14">
        <v>90</v>
      </c>
      <c r="B636" s="14" t="s">
        <v>1129</v>
      </c>
      <c r="C636" s="14" t="s">
        <v>925</v>
      </c>
      <c r="D636" s="14">
        <v>100</v>
      </c>
      <c r="E636" s="14" t="s">
        <v>900</v>
      </c>
      <c r="F636" s="14">
        <v>2</v>
      </c>
      <c r="G636" s="14" t="s">
        <v>305</v>
      </c>
      <c r="H636" s="27">
        <f>ROUND((F636/D636)*100, 2)</f>
      </c>
      <c r="I636" s="27">
        <f>ROUND((F636/D636)*250, 2)</f>
      </c>
      <c r="J636" s="27">
        <f>ROUND((F636/D636)*500, 2)</f>
      </c>
    </row>
    <row r="637" ht="20" customHeight="1" spans="1:10" x14ac:dyDescent="0.25">
      <c r="A637" s="12">
        <v>90</v>
      </c>
      <c r="B637" s="12" t="s">
        <v>1129</v>
      </c>
      <c r="C637" s="12" t="s">
        <v>925</v>
      </c>
      <c r="D637" s="12">
        <v>100</v>
      </c>
      <c r="E637" s="12" t="s">
        <v>927</v>
      </c>
      <c r="F637" s="12">
        <v>3</v>
      </c>
      <c r="G637" s="12" t="s">
        <v>305</v>
      </c>
      <c r="H637" s="25">
        <f>ROUND((F637/D637)*100, 2)</f>
      </c>
      <c r="I637" s="25">
        <f>ROUND((F637/D637)*250, 2)</f>
      </c>
      <c r="J637" s="25">
        <f>ROUND((F637/D637)*500, 2)</f>
      </c>
    </row>
    <row r="638" ht="20" customHeight="1" spans="1:10" x14ac:dyDescent="0.25">
      <c r="A638" s="14">
        <v>90</v>
      </c>
      <c r="B638" s="14" t="s">
        <v>1129</v>
      </c>
      <c r="C638" s="14" t="s">
        <v>925</v>
      </c>
      <c r="D638" s="14">
        <v>100</v>
      </c>
      <c r="E638" s="14" t="s">
        <v>926</v>
      </c>
      <c r="F638" s="14">
        <v>2</v>
      </c>
      <c r="G638" s="14" t="s">
        <v>139</v>
      </c>
      <c r="H638" s="27">
        <f>ROUND((F638/D638)*100, 2)</f>
      </c>
      <c r="I638" s="27">
        <f>ROUND((F638/D638)*250, 2)</f>
      </c>
      <c r="J638" s="27">
        <f>ROUND((F638/D638)*500, 2)</f>
      </c>
    </row>
    <row r="639" ht="20" customHeight="1" spans="1:10" x14ac:dyDescent="0.25">
      <c r="A639" s="12">
        <v>82</v>
      </c>
      <c r="B639" s="12" t="s">
        <v>1130</v>
      </c>
      <c r="C639" s="12" t="s">
        <v>925</v>
      </c>
      <c r="D639" s="12">
        <v>100</v>
      </c>
      <c r="E639" s="12" t="s">
        <v>928</v>
      </c>
      <c r="F639" s="12">
        <v>15</v>
      </c>
      <c r="G639" s="12" t="s">
        <v>139</v>
      </c>
      <c r="H639" s="25">
        <f>ROUND((F639/D639)*100, 2)</f>
      </c>
      <c r="I639" s="25">
        <f>ROUND((F639/D639)*250, 2)</f>
      </c>
      <c r="J639" s="25">
        <f>ROUND((F639/D639)*500, 2)</f>
      </c>
    </row>
    <row r="640" ht="20" customHeight="1" spans="1:10" x14ac:dyDescent="0.25">
      <c r="A640" s="14">
        <v>82</v>
      </c>
      <c r="B640" s="14" t="s">
        <v>1130</v>
      </c>
      <c r="C640" s="14" t="s">
        <v>925</v>
      </c>
      <c r="D640" s="14">
        <v>100</v>
      </c>
      <c r="E640" s="14" t="s">
        <v>926</v>
      </c>
      <c r="F640" s="14">
        <v>2</v>
      </c>
      <c r="G640" s="14" t="s">
        <v>139</v>
      </c>
      <c r="H640" s="27">
        <f>ROUND((F640/D640)*100, 2)</f>
      </c>
      <c r="I640" s="27">
        <f>ROUND((F640/D640)*250, 2)</f>
      </c>
      <c r="J640" s="27">
        <f>ROUND((F640/D640)*500, 2)</f>
      </c>
    </row>
    <row r="641" ht="20" customHeight="1" spans="1:10" x14ac:dyDescent="0.25">
      <c r="A641" s="12">
        <v>82</v>
      </c>
      <c r="B641" s="12" t="s">
        <v>1130</v>
      </c>
      <c r="C641" s="12" t="s">
        <v>925</v>
      </c>
      <c r="D641" s="12">
        <v>100</v>
      </c>
      <c r="E641" s="12" t="s">
        <v>927</v>
      </c>
      <c r="F641" s="12">
        <v>3</v>
      </c>
      <c r="G641" s="12" t="s">
        <v>305</v>
      </c>
      <c r="H641" s="25">
        <f>ROUND((F641/D641)*100, 2)</f>
      </c>
      <c r="I641" s="25">
        <f>ROUND((F641/D641)*250, 2)</f>
      </c>
      <c r="J641" s="25">
        <f>ROUND((F641/D641)*500, 2)</f>
      </c>
    </row>
    <row r="642" ht="20" customHeight="1" spans="1:10" x14ac:dyDescent="0.25">
      <c r="A642" s="14">
        <v>82</v>
      </c>
      <c r="B642" s="14" t="s">
        <v>1130</v>
      </c>
      <c r="C642" s="14" t="s">
        <v>925</v>
      </c>
      <c r="D642" s="14">
        <v>100</v>
      </c>
      <c r="E642" s="14" t="s">
        <v>900</v>
      </c>
      <c r="F642" s="14">
        <v>2</v>
      </c>
      <c r="G642" s="14" t="s">
        <v>305</v>
      </c>
      <c r="H642" s="27">
        <f>ROUND((F642/D642)*100, 2)</f>
      </c>
      <c r="I642" s="27">
        <f>ROUND((F642/D642)*250, 2)</f>
      </c>
      <c r="J642" s="27">
        <f>ROUND((F642/D642)*500, 2)</f>
      </c>
    </row>
    <row r="643" ht="20" customHeight="1" spans="1:10" x14ac:dyDescent="0.25">
      <c r="A643" s="12">
        <v>93</v>
      </c>
      <c r="B643" s="12" t="s">
        <v>1131</v>
      </c>
      <c r="C643" s="12" t="s">
        <v>925</v>
      </c>
      <c r="D643" s="12">
        <v>100</v>
      </c>
      <c r="E643" s="12" t="s">
        <v>926</v>
      </c>
      <c r="F643" s="12">
        <v>2</v>
      </c>
      <c r="G643" s="12" t="s">
        <v>139</v>
      </c>
      <c r="H643" s="25">
        <f>ROUND((F643/D643)*100, 2)</f>
      </c>
      <c r="I643" s="25">
        <f>ROUND((F643/D643)*250, 2)</f>
      </c>
      <c r="J643" s="25">
        <f>ROUND((F643/D643)*500, 2)</f>
      </c>
    </row>
    <row r="644" ht="20" customHeight="1" spans="1:10" x14ac:dyDescent="0.25">
      <c r="A644" s="14">
        <v>93</v>
      </c>
      <c r="B644" s="14" t="s">
        <v>1131</v>
      </c>
      <c r="C644" s="14" t="s">
        <v>925</v>
      </c>
      <c r="D644" s="14">
        <v>100</v>
      </c>
      <c r="E644" s="14" t="s">
        <v>900</v>
      </c>
      <c r="F644" s="14">
        <v>2</v>
      </c>
      <c r="G644" s="14" t="s">
        <v>305</v>
      </c>
      <c r="H644" s="27">
        <f>ROUND((F644/D644)*100, 2)</f>
      </c>
      <c r="I644" s="27">
        <f>ROUND((F644/D644)*250, 2)</f>
      </c>
      <c r="J644" s="27">
        <f>ROUND((F644/D644)*500, 2)</f>
      </c>
    </row>
    <row r="645" ht="20" customHeight="1" spans="1:10" x14ac:dyDescent="0.25">
      <c r="A645" s="12">
        <v>93</v>
      </c>
      <c r="B645" s="12" t="s">
        <v>1131</v>
      </c>
      <c r="C645" s="12" t="s">
        <v>925</v>
      </c>
      <c r="D645" s="12">
        <v>100</v>
      </c>
      <c r="E645" s="12" t="s">
        <v>927</v>
      </c>
      <c r="F645" s="12">
        <v>3</v>
      </c>
      <c r="G645" s="12" t="s">
        <v>305</v>
      </c>
      <c r="H645" s="25">
        <f>ROUND((F645/D645)*100, 2)</f>
      </c>
      <c r="I645" s="25">
        <f>ROUND((F645/D645)*250, 2)</f>
      </c>
      <c r="J645" s="25">
        <f>ROUND((F645/D645)*500, 2)</f>
      </c>
    </row>
    <row r="646" ht="20" customHeight="1" spans="1:10" x14ac:dyDescent="0.25">
      <c r="A646" s="14">
        <v>93</v>
      </c>
      <c r="B646" s="14" t="s">
        <v>1131</v>
      </c>
      <c r="C646" s="14" t="s">
        <v>925</v>
      </c>
      <c r="D646" s="14">
        <v>100</v>
      </c>
      <c r="E646" s="14" t="s">
        <v>928</v>
      </c>
      <c r="F646" s="14">
        <v>15</v>
      </c>
      <c r="G646" s="14" t="s">
        <v>139</v>
      </c>
      <c r="H646" s="27">
        <f>ROUND((F646/D646)*100, 2)</f>
      </c>
      <c r="I646" s="27">
        <f>ROUND((F646/D646)*250, 2)</f>
      </c>
      <c r="J646" s="27">
        <f>ROUND((F646/D646)*500, 2)</f>
      </c>
    </row>
    <row r="647" ht="20" customHeight="1" spans="1:10" x14ac:dyDescent="0.25">
      <c r="A647" s="12">
        <v>8</v>
      </c>
      <c r="B647" s="12" t="s">
        <v>1132</v>
      </c>
      <c r="C647" s="12" t="s">
        <v>897</v>
      </c>
      <c r="D647" s="12">
        <v>100</v>
      </c>
      <c r="E647" s="12" t="s">
        <v>899</v>
      </c>
      <c r="F647" s="12">
        <v>15</v>
      </c>
      <c r="G647" s="12" t="s">
        <v>139</v>
      </c>
      <c r="H647" s="25">
        <f>ROUND((F647/D647)*100, 2)</f>
      </c>
      <c r="I647" s="25">
        <f>ROUND((F647/D647)*250, 2)</f>
      </c>
      <c r="J647" s="25">
        <f>ROUND((F647/D647)*500, 2)</f>
      </c>
    </row>
    <row r="648" ht="20" customHeight="1" spans="1:10" x14ac:dyDescent="0.25">
      <c r="A648" s="14">
        <v>8</v>
      </c>
      <c r="B648" s="14" t="s">
        <v>1132</v>
      </c>
      <c r="C648" s="14" t="s">
        <v>897</v>
      </c>
      <c r="D648" s="14">
        <v>100</v>
      </c>
      <c r="E648" s="14" t="s">
        <v>898</v>
      </c>
      <c r="F648" s="14">
        <v>3</v>
      </c>
      <c r="G648" s="14" t="s">
        <v>139</v>
      </c>
      <c r="H648" s="27">
        <f>ROUND((F648/D648)*100, 2)</f>
      </c>
      <c r="I648" s="27">
        <f>ROUND((F648/D648)*250, 2)</f>
      </c>
      <c r="J648" s="27">
        <f>ROUND((F648/D648)*500, 2)</f>
      </c>
    </row>
    <row r="649" ht="20" customHeight="1" spans="1:10" x14ac:dyDescent="0.25">
      <c r="A649" s="12">
        <v>8</v>
      </c>
      <c r="B649" s="12" t="s">
        <v>1132</v>
      </c>
      <c r="C649" s="12" t="s">
        <v>897</v>
      </c>
      <c r="D649" s="12">
        <v>100</v>
      </c>
      <c r="E649" s="12" t="s">
        <v>901</v>
      </c>
      <c r="F649" s="12">
        <v>10</v>
      </c>
      <c r="G649" s="12" t="s">
        <v>305</v>
      </c>
      <c r="H649" s="25">
        <f>ROUND((F649/D649)*100, 2)</f>
      </c>
      <c r="I649" s="25">
        <f>ROUND((F649/D649)*250, 2)</f>
      </c>
      <c r="J649" s="25">
        <f>ROUND((F649/D649)*500, 2)</f>
      </c>
    </row>
    <row r="650" ht="20" customHeight="1" spans="1:10" x14ac:dyDescent="0.25">
      <c r="A650" s="14">
        <v>8</v>
      </c>
      <c r="B650" s="14" t="s">
        <v>1132</v>
      </c>
      <c r="C650" s="14" t="s">
        <v>897</v>
      </c>
      <c r="D650" s="14">
        <v>100</v>
      </c>
      <c r="E650" s="14" t="s">
        <v>900</v>
      </c>
      <c r="F650" s="14">
        <v>1</v>
      </c>
      <c r="G650" s="14" t="s">
        <v>305</v>
      </c>
      <c r="H650" s="27">
        <f>ROUND((F650/D650)*100, 2)</f>
      </c>
      <c r="I650" s="27">
        <f>ROUND((F650/D650)*250, 2)</f>
      </c>
      <c r="J650" s="27">
        <f>ROUND((F650/D650)*500, 2)</f>
      </c>
    </row>
    <row r="651" ht="20" customHeight="1" spans="1:10" x14ac:dyDescent="0.25">
      <c r="A651" s="12">
        <v>30</v>
      </c>
      <c r="B651" s="12" t="s">
        <v>1133</v>
      </c>
      <c r="C651" s="12" t="s">
        <v>897</v>
      </c>
      <c r="D651" s="12">
        <v>100</v>
      </c>
      <c r="E651" s="12" t="s">
        <v>899</v>
      </c>
      <c r="F651" s="12">
        <v>15</v>
      </c>
      <c r="G651" s="12" t="s">
        <v>139</v>
      </c>
      <c r="H651" s="25">
        <f>ROUND((F651/D651)*100, 2)</f>
      </c>
      <c r="I651" s="25">
        <f>ROUND((F651/D651)*250, 2)</f>
      </c>
      <c r="J651" s="25">
        <f>ROUND((F651/D651)*500, 2)</f>
      </c>
    </row>
    <row r="652" ht="20" customHeight="1" spans="1:10" x14ac:dyDescent="0.25">
      <c r="A652" s="14">
        <v>30</v>
      </c>
      <c r="B652" s="14" t="s">
        <v>1133</v>
      </c>
      <c r="C652" s="14" t="s">
        <v>897</v>
      </c>
      <c r="D652" s="14">
        <v>100</v>
      </c>
      <c r="E652" s="14" t="s">
        <v>898</v>
      </c>
      <c r="F652" s="14">
        <v>3</v>
      </c>
      <c r="G652" s="14" t="s">
        <v>139</v>
      </c>
      <c r="H652" s="27">
        <f>ROUND((F652/D652)*100, 2)</f>
      </c>
      <c r="I652" s="27">
        <f>ROUND((F652/D652)*250, 2)</f>
      </c>
      <c r="J652" s="27">
        <f>ROUND((F652/D652)*500, 2)</f>
      </c>
    </row>
    <row r="653" ht="20" customHeight="1" spans="1:10" x14ac:dyDescent="0.25">
      <c r="A653" s="12">
        <v>30</v>
      </c>
      <c r="B653" s="12" t="s">
        <v>1133</v>
      </c>
      <c r="C653" s="12" t="s">
        <v>897</v>
      </c>
      <c r="D653" s="12">
        <v>100</v>
      </c>
      <c r="E653" s="12" t="s">
        <v>901</v>
      </c>
      <c r="F653" s="12">
        <v>10</v>
      </c>
      <c r="G653" s="12" t="s">
        <v>305</v>
      </c>
      <c r="H653" s="25">
        <f>ROUND((F653/D653)*100, 2)</f>
      </c>
      <c r="I653" s="25">
        <f>ROUND((F653/D653)*250, 2)</f>
      </c>
      <c r="J653" s="25">
        <f>ROUND((F653/D653)*500, 2)</f>
      </c>
    </row>
    <row r="654" ht="20" customHeight="1" spans="1:10" x14ac:dyDescent="0.25">
      <c r="A654" s="14">
        <v>30</v>
      </c>
      <c r="B654" s="14" t="s">
        <v>1133</v>
      </c>
      <c r="C654" s="14" t="s">
        <v>897</v>
      </c>
      <c r="D654" s="14">
        <v>100</v>
      </c>
      <c r="E654" s="14" t="s">
        <v>900</v>
      </c>
      <c r="F654" s="14">
        <v>1</v>
      </c>
      <c r="G654" s="14" t="s">
        <v>305</v>
      </c>
      <c r="H654" s="27">
        <f>ROUND((F654/D654)*100, 2)</f>
      </c>
      <c r="I654" s="27">
        <f>ROUND((F654/D654)*250, 2)</f>
      </c>
      <c r="J654" s="27">
        <f>ROUND((F654/D654)*500, 2)</f>
      </c>
    </row>
    <row r="655" ht="20" customHeight="1" spans="1:10" x14ac:dyDescent="0.25">
      <c r="A655" s="12">
        <v>210</v>
      </c>
      <c r="B655" s="12" t="s">
        <v>1134</v>
      </c>
      <c r="C655" s="12" t="s">
        <v>937</v>
      </c>
      <c r="D655" s="12">
        <v>100</v>
      </c>
      <c r="E655" s="12" t="s">
        <v>540</v>
      </c>
      <c r="F655" s="12">
        <v>20</v>
      </c>
      <c r="G655" s="12" t="s">
        <v>305</v>
      </c>
      <c r="H655" s="25">
        <f>ROUND((F655/D655)*100, 2)</f>
      </c>
      <c r="I655" s="25">
        <f>ROUND((F655/D655)*250, 2)</f>
      </c>
      <c r="J655" s="25">
        <f>ROUND((F655/D655)*500, 2)</f>
      </c>
    </row>
    <row r="656" ht="20" customHeight="1" spans="1:10" x14ac:dyDescent="0.25">
      <c r="A656" s="14">
        <v>210</v>
      </c>
      <c r="B656" s="14" t="s">
        <v>1134</v>
      </c>
      <c r="C656" s="14" t="s">
        <v>937</v>
      </c>
      <c r="D656" s="14">
        <v>100</v>
      </c>
      <c r="E656" s="14" t="s">
        <v>938</v>
      </c>
      <c r="F656" s="14">
        <v>3</v>
      </c>
      <c r="G656" s="14" t="s">
        <v>139</v>
      </c>
      <c r="H656" s="27">
        <f>ROUND((F656/D656)*100, 2)</f>
      </c>
      <c r="I656" s="27">
        <f>ROUND((F656/D656)*250, 2)</f>
      </c>
      <c r="J656" s="27">
        <f>ROUND((F656/D656)*500, 2)</f>
      </c>
    </row>
    <row r="657" ht="20" customHeight="1" spans="1:10" x14ac:dyDescent="0.25">
      <c r="A657" s="12">
        <v>210</v>
      </c>
      <c r="B657" s="12" t="s">
        <v>1134</v>
      </c>
      <c r="C657" s="12" t="s">
        <v>937</v>
      </c>
      <c r="D657" s="12">
        <v>100</v>
      </c>
      <c r="E657" s="12" t="s">
        <v>245</v>
      </c>
      <c r="F657" s="12">
        <v>6</v>
      </c>
      <c r="G657" s="12" t="s">
        <v>139</v>
      </c>
      <c r="H657" s="25">
        <f>ROUND((F657/D657)*100, 2)</f>
      </c>
      <c r="I657" s="25">
        <f>ROUND((F657/D657)*250, 2)</f>
      </c>
      <c r="J657" s="25">
        <f>ROUND((F657/D657)*500, 2)</f>
      </c>
    </row>
    <row r="658" ht="20" customHeight="1" spans="1:10" x14ac:dyDescent="0.25">
      <c r="A658" s="14">
        <v>186</v>
      </c>
      <c r="B658" s="14" t="s">
        <v>1135</v>
      </c>
      <c r="C658" s="14" t="s">
        <v>917</v>
      </c>
      <c r="D658" s="14">
        <v>100</v>
      </c>
      <c r="E658" s="14" t="s">
        <v>919</v>
      </c>
      <c r="F658" s="14">
        <v>1</v>
      </c>
      <c r="G658" s="14" t="s">
        <v>139</v>
      </c>
      <c r="H658" s="27">
        <f>ROUND((F658/D658)*100, 2)</f>
      </c>
      <c r="I658" s="27">
        <f>ROUND((F658/D658)*250, 2)</f>
      </c>
      <c r="J658" s="27">
        <f>ROUND((F658/D658)*500, 2)</f>
      </c>
    </row>
    <row r="659" ht="20" customHeight="1" spans="1:10" x14ac:dyDescent="0.25">
      <c r="A659" s="12">
        <v>186</v>
      </c>
      <c r="B659" s="12" t="s">
        <v>1135</v>
      </c>
      <c r="C659" s="12" t="s">
        <v>917</v>
      </c>
      <c r="D659" s="12">
        <v>100</v>
      </c>
      <c r="E659" s="12" t="s">
        <v>328</v>
      </c>
      <c r="F659" s="12">
        <v>3</v>
      </c>
      <c r="G659" s="12" t="s">
        <v>139</v>
      </c>
      <c r="H659" s="25">
        <f>ROUND((F659/D659)*100, 2)</f>
      </c>
      <c r="I659" s="25">
        <f>ROUND((F659/D659)*250, 2)</f>
      </c>
      <c r="J659" s="25">
        <f>ROUND((F659/D659)*500, 2)</f>
      </c>
    </row>
    <row r="660" ht="20" customHeight="1" spans="1:10" x14ac:dyDescent="0.25">
      <c r="A660" s="14">
        <v>186</v>
      </c>
      <c r="B660" s="14" t="s">
        <v>1135</v>
      </c>
      <c r="C660" s="14" t="s">
        <v>917</v>
      </c>
      <c r="D660" s="14">
        <v>100</v>
      </c>
      <c r="E660" s="14" t="s">
        <v>898</v>
      </c>
      <c r="F660" s="14">
        <v>5</v>
      </c>
      <c r="G660" s="14" t="s">
        <v>305</v>
      </c>
      <c r="H660" s="27">
        <f>ROUND((F660/D660)*100, 2)</f>
      </c>
      <c r="I660" s="27">
        <f>ROUND((F660/D660)*250, 2)</f>
      </c>
      <c r="J660" s="27">
        <f>ROUND((F660/D660)*500, 2)</f>
      </c>
    </row>
    <row r="661" ht="20" customHeight="1" spans="1:10" x14ac:dyDescent="0.25">
      <c r="A661" s="12">
        <v>186</v>
      </c>
      <c r="B661" s="12" t="s">
        <v>1135</v>
      </c>
      <c r="C661" s="12" t="s">
        <v>917</v>
      </c>
      <c r="D661" s="12">
        <v>100</v>
      </c>
      <c r="E661" s="12" t="s">
        <v>918</v>
      </c>
      <c r="F661" s="12">
        <v>10</v>
      </c>
      <c r="G661" s="12" t="s">
        <v>139</v>
      </c>
      <c r="H661" s="25">
        <f>ROUND((F661/D661)*100, 2)</f>
      </c>
      <c r="I661" s="25">
        <f>ROUND((F661/D661)*250, 2)</f>
      </c>
      <c r="J661" s="25">
        <f>ROUND((F661/D661)*500, 2)</f>
      </c>
    </row>
    <row r="662" ht="20" customHeight="1" spans="1:10" x14ac:dyDescent="0.25">
      <c r="A662" s="14">
        <v>185</v>
      </c>
      <c r="B662" s="14" t="s">
        <v>1136</v>
      </c>
      <c r="C662" s="14" t="s">
        <v>917</v>
      </c>
      <c r="D662" s="14">
        <v>100</v>
      </c>
      <c r="E662" s="14" t="s">
        <v>918</v>
      </c>
      <c r="F662" s="14">
        <v>10</v>
      </c>
      <c r="G662" s="14" t="s">
        <v>139</v>
      </c>
      <c r="H662" s="27">
        <f>ROUND((F662/D662)*100, 2)</f>
      </c>
      <c r="I662" s="27">
        <f>ROUND((F662/D662)*250, 2)</f>
      </c>
      <c r="J662" s="27">
        <f>ROUND((F662/D662)*500, 2)</f>
      </c>
    </row>
    <row r="663" ht="20" customHeight="1" spans="1:10" x14ac:dyDescent="0.25">
      <c r="A663" s="12">
        <v>185</v>
      </c>
      <c r="B663" s="12" t="s">
        <v>1136</v>
      </c>
      <c r="C663" s="12" t="s">
        <v>917</v>
      </c>
      <c r="D663" s="12">
        <v>100</v>
      </c>
      <c r="E663" s="12" t="s">
        <v>328</v>
      </c>
      <c r="F663" s="12">
        <v>3</v>
      </c>
      <c r="G663" s="12" t="s">
        <v>139</v>
      </c>
      <c r="H663" s="25">
        <f>ROUND((F663/D663)*100, 2)</f>
      </c>
      <c r="I663" s="25">
        <f>ROUND((F663/D663)*250, 2)</f>
      </c>
      <c r="J663" s="25">
        <f>ROUND((F663/D663)*500, 2)</f>
      </c>
    </row>
    <row r="664" ht="20" customHeight="1" spans="1:10" x14ac:dyDescent="0.25">
      <c r="A664" s="14">
        <v>185</v>
      </c>
      <c r="B664" s="14" t="s">
        <v>1136</v>
      </c>
      <c r="C664" s="14" t="s">
        <v>917</v>
      </c>
      <c r="D664" s="14">
        <v>100</v>
      </c>
      <c r="E664" s="14" t="s">
        <v>919</v>
      </c>
      <c r="F664" s="14">
        <v>1</v>
      </c>
      <c r="G664" s="14" t="s">
        <v>139</v>
      </c>
      <c r="H664" s="27">
        <f>ROUND((F664/D664)*100, 2)</f>
      </c>
      <c r="I664" s="27">
        <f>ROUND((F664/D664)*250, 2)</f>
      </c>
      <c r="J664" s="27">
        <f>ROUND((F664/D664)*500, 2)</f>
      </c>
    </row>
    <row r="665" ht="20" customHeight="1" spans="1:10" x14ac:dyDescent="0.25">
      <c r="A665" s="12">
        <v>185</v>
      </c>
      <c r="B665" s="12" t="s">
        <v>1136</v>
      </c>
      <c r="C665" s="12" t="s">
        <v>917</v>
      </c>
      <c r="D665" s="12">
        <v>100</v>
      </c>
      <c r="E665" s="12" t="s">
        <v>898</v>
      </c>
      <c r="F665" s="12">
        <v>5</v>
      </c>
      <c r="G665" s="12" t="s">
        <v>305</v>
      </c>
      <c r="H665" s="25">
        <f>ROUND((F665/D665)*100, 2)</f>
      </c>
      <c r="I665" s="25">
        <f>ROUND((F665/D665)*250, 2)</f>
      </c>
      <c r="J665" s="25">
        <f>ROUND((F665/D665)*500, 2)</f>
      </c>
    </row>
    <row r="666" ht="20" customHeight="1" spans="1:10" x14ac:dyDescent="0.25">
      <c r="A666" s="14">
        <v>179</v>
      </c>
      <c r="B666" s="14" t="s">
        <v>1137</v>
      </c>
      <c r="C666" s="14" t="s">
        <v>917</v>
      </c>
      <c r="D666" s="14">
        <v>100</v>
      </c>
      <c r="E666" s="14" t="s">
        <v>918</v>
      </c>
      <c r="F666" s="14">
        <v>10</v>
      </c>
      <c r="G666" s="14" t="s">
        <v>139</v>
      </c>
      <c r="H666" s="27">
        <f>ROUND((F666/D666)*100, 2)</f>
      </c>
      <c r="I666" s="27">
        <f>ROUND((F666/D666)*250, 2)</f>
      </c>
      <c r="J666" s="27">
        <f>ROUND((F666/D666)*500, 2)</f>
      </c>
    </row>
    <row r="667" ht="20" customHeight="1" spans="1:10" x14ac:dyDescent="0.25">
      <c r="A667" s="12">
        <v>179</v>
      </c>
      <c r="B667" s="12" t="s">
        <v>1137</v>
      </c>
      <c r="C667" s="12" t="s">
        <v>917</v>
      </c>
      <c r="D667" s="12">
        <v>100</v>
      </c>
      <c r="E667" s="12" t="s">
        <v>328</v>
      </c>
      <c r="F667" s="12">
        <v>3</v>
      </c>
      <c r="G667" s="12" t="s">
        <v>139</v>
      </c>
      <c r="H667" s="25">
        <f>ROUND((F667/D667)*100, 2)</f>
      </c>
      <c r="I667" s="25">
        <f>ROUND((F667/D667)*250, 2)</f>
      </c>
      <c r="J667" s="25">
        <f>ROUND((F667/D667)*500, 2)</f>
      </c>
    </row>
    <row r="668" ht="20" customHeight="1" spans="1:10" x14ac:dyDescent="0.25">
      <c r="A668" s="14">
        <v>179</v>
      </c>
      <c r="B668" s="14" t="s">
        <v>1137</v>
      </c>
      <c r="C668" s="14" t="s">
        <v>917</v>
      </c>
      <c r="D668" s="14">
        <v>100</v>
      </c>
      <c r="E668" s="14" t="s">
        <v>919</v>
      </c>
      <c r="F668" s="14">
        <v>1</v>
      </c>
      <c r="G668" s="14" t="s">
        <v>139</v>
      </c>
      <c r="H668" s="27">
        <f>ROUND((F668/D668)*100, 2)</f>
      </c>
      <c r="I668" s="27">
        <f>ROUND((F668/D668)*250, 2)</f>
      </c>
      <c r="J668" s="27">
        <f>ROUND((F668/D668)*500, 2)</f>
      </c>
    </row>
    <row r="669" ht="20" customHeight="1" spans="1:10" x14ac:dyDescent="0.25">
      <c r="A669" s="12">
        <v>179</v>
      </c>
      <c r="B669" s="12" t="s">
        <v>1137</v>
      </c>
      <c r="C669" s="12" t="s">
        <v>917</v>
      </c>
      <c r="D669" s="12">
        <v>100</v>
      </c>
      <c r="E669" s="12" t="s">
        <v>898</v>
      </c>
      <c r="F669" s="12">
        <v>5</v>
      </c>
      <c r="G669" s="12" t="s">
        <v>305</v>
      </c>
      <c r="H669" s="25">
        <f>ROUND((F669/D669)*100, 2)</f>
      </c>
      <c r="I669" s="25">
        <f>ROUND((F669/D669)*250, 2)</f>
      </c>
      <c r="J669" s="25">
        <f>ROUND((F669/D669)*500, 2)</f>
      </c>
    </row>
    <row r="670" ht="20" customHeight="1" spans="1:10" x14ac:dyDescent="0.25">
      <c r="A670" s="14">
        <v>120</v>
      </c>
      <c r="B670" s="14" t="s">
        <v>1138</v>
      </c>
      <c r="C670" s="14" t="s">
        <v>944</v>
      </c>
      <c r="D670" s="14">
        <v>100</v>
      </c>
      <c r="E670" s="14" t="s">
        <v>945</v>
      </c>
      <c r="F670" s="14">
        <v>8</v>
      </c>
      <c r="G670" s="14" t="s">
        <v>139</v>
      </c>
      <c r="H670" s="27">
        <f>ROUND((F670/D670)*100, 2)</f>
      </c>
      <c r="I670" s="27">
        <f>ROUND((F670/D670)*250, 2)</f>
      </c>
      <c r="J670" s="27">
        <f>ROUND((F670/D670)*500, 2)</f>
      </c>
    </row>
    <row r="671" ht="20" customHeight="1" spans="1:10" x14ac:dyDescent="0.25">
      <c r="A671" s="12">
        <v>120</v>
      </c>
      <c r="B671" s="12" t="s">
        <v>1138</v>
      </c>
      <c r="C671" s="12" t="s">
        <v>944</v>
      </c>
      <c r="D671" s="12">
        <v>100</v>
      </c>
      <c r="E671" s="12" t="s">
        <v>900</v>
      </c>
      <c r="F671" s="12">
        <v>1.5</v>
      </c>
      <c r="G671" s="12" t="s">
        <v>305</v>
      </c>
      <c r="H671" s="25">
        <f>ROUND((F671/D671)*100, 2)</f>
      </c>
      <c r="I671" s="25">
        <f>ROUND((F671/D671)*250, 2)</f>
      </c>
      <c r="J671" s="25">
        <f>ROUND((F671/D671)*500, 2)</f>
      </c>
    </row>
    <row r="672" ht="20" customHeight="1" spans="1:10" x14ac:dyDescent="0.25">
      <c r="A672" s="14">
        <v>120</v>
      </c>
      <c r="B672" s="14" t="s">
        <v>1138</v>
      </c>
      <c r="C672" s="14" t="s">
        <v>944</v>
      </c>
      <c r="D672" s="14">
        <v>100</v>
      </c>
      <c r="E672" s="14" t="s">
        <v>927</v>
      </c>
      <c r="F672" s="14">
        <v>2</v>
      </c>
      <c r="G672" s="14" t="s">
        <v>305</v>
      </c>
      <c r="H672" s="27">
        <f>ROUND((F672/D672)*100, 2)</f>
      </c>
      <c r="I672" s="27">
        <f>ROUND((F672/D672)*250, 2)</f>
      </c>
      <c r="J672" s="27">
        <f>ROUND((F672/D672)*500, 2)</f>
      </c>
    </row>
    <row r="673" ht="20" customHeight="1" spans="1:10" x14ac:dyDescent="0.25">
      <c r="A673" s="12">
        <v>120</v>
      </c>
      <c r="B673" s="12" t="s">
        <v>1138</v>
      </c>
      <c r="C673" s="12" t="s">
        <v>944</v>
      </c>
      <c r="D673" s="12">
        <v>100</v>
      </c>
      <c r="E673" s="12" t="s">
        <v>946</v>
      </c>
      <c r="F673" s="12">
        <v>20</v>
      </c>
      <c r="G673" s="12" t="s">
        <v>139</v>
      </c>
      <c r="H673" s="25">
        <f>ROUND((F673/D673)*100, 2)</f>
      </c>
      <c r="I673" s="25">
        <f>ROUND((F673/D673)*250, 2)</f>
      </c>
      <c r="J673" s="25">
        <f>ROUND((F673/D673)*500, 2)</f>
      </c>
    </row>
    <row r="674" ht="20" customHeight="1" spans="1:10" x14ac:dyDescent="0.25">
      <c r="A674" s="14">
        <v>121</v>
      </c>
      <c r="B674" s="14" t="s">
        <v>1139</v>
      </c>
      <c r="C674" s="14" t="s">
        <v>944</v>
      </c>
      <c r="D674" s="14">
        <v>100</v>
      </c>
      <c r="E674" s="14" t="s">
        <v>946</v>
      </c>
      <c r="F674" s="14">
        <v>20</v>
      </c>
      <c r="G674" s="14" t="s">
        <v>139</v>
      </c>
      <c r="H674" s="27">
        <f>ROUND((F674/D674)*100, 2)</f>
      </c>
      <c r="I674" s="27">
        <f>ROUND((F674/D674)*250, 2)</f>
      </c>
      <c r="J674" s="27">
        <f>ROUND((F674/D674)*500, 2)</f>
      </c>
    </row>
    <row r="675" ht="20" customHeight="1" spans="1:10" x14ac:dyDescent="0.25">
      <c r="A675" s="12">
        <v>121</v>
      </c>
      <c r="B675" s="12" t="s">
        <v>1139</v>
      </c>
      <c r="C675" s="12" t="s">
        <v>944</v>
      </c>
      <c r="D675" s="12">
        <v>100</v>
      </c>
      <c r="E675" s="12" t="s">
        <v>945</v>
      </c>
      <c r="F675" s="12">
        <v>8</v>
      </c>
      <c r="G675" s="12" t="s">
        <v>139</v>
      </c>
      <c r="H675" s="25">
        <f>ROUND((F675/D675)*100, 2)</f>
      </c>
      <c r="I675" s="25">
        <f>ROUND((F675/D675)*250, 2)</f>
      </c>
      <c r="J675" s="25">
        <f>ROUND((F675/D675)*500, 2)</f>
      </c>
    </row>
    <row r="676" ht="20" customHeight="1" spans="1:10" x14ac:dyDescent="0.25">
      <c r="A676" s="14">
        <v>121</v>
      </c>
      <c r="B676" s="14" t="s">
        <v>1139</v>
      </c>
      <c r="C676" s="14" t="s">
        <v>944</v>
      </c>
      <c r="D676" s="14">
        <v>100</v>
      </c>
      <c r="E676" s="14" t="s">
        <v>927</v>
      </c>
      <c r="F676" s="14">
        <v>2</v>
      </c>
      <c r="G676" s="14" t="s">
        <v>305</v>
      </c>
      <c r="H676" s="27">
        <f>ROUND((F676/D676)*100, 2)</f>
      </c>
      <c r="I676" s="27">
        <f>ROUND((F676/D676)*250, 2)</f>
      </c>
      <c r="J676" s="27">
        <f>ROUND((F676/D676)*500, 2)</f>
      </c>
    </row>
    <row r="677" ht="20" customHeight="1" spans="1:10" x14ac:dyDescent="0.25">
      <c r="A677" s="12">
        <v>121</v>
      </c>
      <c r="B677" s="12" t="s">
        <v>1139</v>
      </c>
      <c r="C677" s="12" t="s">
        <v>944</v>
      </c>
      <c r="D677" s="12">
        <v>100</v>
      </c>
      <c r="E677" s="12" t="s">
        <v>900</v>
      </c>
      <c r="F677" s="12">
        <v>1.5</v>
      </c>
      <c r="G677" s="12" t="s">
        <v>305</v>
      </c>
      <c r="H677" s="25">
        <f>ROUND((F677/D677)*100, 2)</f>
      </c>
      <c r="I677" s="25">
        <f>ROUND((F677/D677)*250, 2)</f>
      </c>
      <c r="J677" s="25">
        <f>ROUND((F677/D677)*500, 2)</f>
      </c>
    </row>
    <row r="678" ht="20" customHeight="1" spans="1:10" x14ac:dyDescent="0.25">
      <c r="A678" s="14">
        <v>126</v>
      </c>
      <c r="B678" s="14" t="s">
        <v>1140</v>
      </c>
      <c r="C678" s="14" t="s">
        <v>944</v>
      </c>
      <c r="D678" s="14">
        <v>100</v>
      </c>
      <c r="E678" s="14" t="s">
        <v>927</v>
      </c>
      <c r="F678" s="14">
        <v>2</v>
      </c>
      <c r="G678" s="14" t="s">
        <v>305</v>
      </c>
      <c r="H678" s="27">
        <f>ROUND((F678/D678)*100, 2)</f>
      </c>
      <c r="I678" s="27">
        <f>ROUND((F678/D678)*250, 2)</f>
      </c>
      <c r="J678" s="27">
        <f>ROUND((F678/D678)*500, 2)</f>
      </c>
    </row>
    <row r="679" ht="20" customHeight="1" spans="1:10" x14ac:dyDescent="0.25">
      <c r="A679" s="12">
        <v>126</v>
      </c>
      <c r="B679" s="12" t="s">
        <v>1140</v>
      </c>
      <c r="C679" s="12" t="s">
        <v>944</v>
      </c>
      <c r="D679" s="12">
        <v>100</v>
      </c>
      <c r="E679" s="12" t="s">
        <v>946</v>
      </c>
      <c r="F679" s="12">
        <v>20</v>
      </c>
      <c r="G679" s="12" t="s">
        <v>139</v>
      </c>
      <c r="H679" s="25">
        <f>ROUND((F679/D679)*100, 2)</f>
      </c>
      <c r="I679" s="25">
        <f>ROUND((F679/D679)*250, 2)</f>
      </c>
      <c r="J679" s="25">
        <f>ROUND((F679/D679)*500, 2)</f>
      </c>
    </row>
    <row r="680" ht="20" customHeight="1" spans="1:10" x14ac:dyDescent="0.25">
      <c r="A680" s="14">
        <v>126</v>
      </c>
      <c r="B680" s="14" t="s">
        <v>1140</v>
      </c>
      <c r="C680" s="14" t="s">
        <v>944</v>
      </c>
      <c r="D680" s="14">
        <v>100</v>
      </c>
      <c r="E680" s="14" t="s">
        <v>900</v>
      </c>
      <c r="F680" s="14">
        <v>1.5</v>
      </c>
      <c r="G680" s="14" t="s">
        <v>305</v>
      </c>
      <c r="H680" s="27">
        <f>ROUND((F680/D680)*100, 2)</f>
      </c>
      <c r="I680" s="27">
        <f>ROUND((F680/D680)*250, 2)</f>
      </c>
      <c r="J680" s="27">
        <f>ROUND((F680/D680)*500, 2)</f>
      </c>
    </row>
    <row r="681" ht="20" customHeight="1" spans="1:10" x14ac:dyDescent="0.25">
      <c r="A681" s="12">
        <v>126</v>
      </c>
      <c r="B681" s="12" t="s">
        <v>1140</v>
      </c>
      <c r="C681" s="12" t="s">
        <v>944</v>
      </c>
      <c r="D681" s="12">
        <v>100</v>
      </c>
      <c r="E681" s="12" t="s">
        <v>945</v>
      </c>
      <c r="F681" s="12">
        <v>8</v>
      </c>
      <c r="G681" s="12" t="s">
        <v>139</v>
      </c>
      <c r="H681" s="25">
        <f>ROUND((F681/D681)*100, 2)</f>
      </c>
      <c r="I681" s="25">
        <f>ROUND((F681/D681)*250, 2)</f>
      </c>
      <c r="J681" s="25">
        <f>ROUND((F681/D681)*500, 2)</f>
      </c>
    </row>
    <row r="682" ht="20" customHeight="1" spans="1:10" x14ac:dyDescent="0.25">
      <c r="A682" s="14">
        <v>127</v>
      </c>
      <c r="B682" s="14" t="s">
        <v>1141</v>
      </c>
      <c r="C682" s="14" t="s">
        <v>944</v>
      </c>
      <c r="D682" s="14">
        <v>100</v>
      </c>
      <c r="E682" s="14" t="s">
        <v>945</v>
      </c>
      <c r="F682" s="14">
        <v>8</v>
      </c>
      <c r="G682" s="14" t="s">
        <v>139</v>
      </c>
      <c r="H682" s="27">
        <f>ROUND((F682/D682)*100, 2)</f>
      </c>
      <c r="I682" s="27">
        <f>ROUND((F682/D682)*250, 2)</f>
      </c>
      <c r="J682" s="27">
        <f>ROUND((F682/D682)*500, 2)</f>
      </c>
    </row>
    <row r="683" ht="20" customHeight="1" spans="1:10" x14ac:dyDescent="0.25">
      <c r="A683" s="12">
        <v>127</v>
      </c>
      <c r="B683" s="12" t="s">
        <v>1141</v>
      </c>
      <c r="C683" s="12" t="s">
        <v>944</v>
      </c>
      <c r="D683" s="12">
        <v>100</v>
      </c>
      <c r="E683" s="12" t="s">
        <v>927</v>
      </c>
      <c r="F683" s="12">
        <v>2</v>
      </c>
      <c r="G683" s="12" t="s">
        <v>305</v>
      </c>
      <c r="H683" s="25">
        <f>ROUND((F683/D683)*100, 2)</f>
      </c>
      <c r="I683" s="25">
        <f>ROUND((F683/D683)*250, 2)</f>
      </c>
      <c r="J683" s="25">
        <f>ROUND((F683/D683)*500, 2)</f>
      </c>
    </row>
    <row r="684" ht="20" customHeight="1" spans="1:10" x14ac:dyDescent="0.25">
      <c r="A684" s="14">
        <v>127</v>
      </c>
      <c r="B684" s="14" t="s">
        <v>1141</v>
      </c>
      <c r="C684" s="14" t="s">
        <v>944</v>
      </c>
      <c r="D684" s="14">
        <v>100</v>
      </c>
      <c r="E684" s="14" t="s">
        <v>900</v>
      </c>
      <c r="F684" s="14">
        <v>1.5</v>
      </c>
      <c r="G684" s="14" t="s">
        <v>305</v>
      </c>
      <c r="H684" s="27">
        <f>ROUND((F684/D684)*100, 2)</f>
      </c>
      <c r="I684" s="27">
        <f>ROUND((F684/D684)*250, 2)</f>
      </c>
      <c r="J684" s="27">
        <f>ROUND((F684/D684)*500, 2)</f>
      </c>
    </row>
    <row r="685" ht="20" customHeight="1" spans="1:10" x14ac:dyDescent="0.25">
      <c r="A685" s="12">
        <v>127</v>
      </c>
      <c r="B685" s="12" t="s">
        <v>1141</v>
      </c>
      <c r="C685" s="12" t="s">
        <v>944</v>
      </c>
      <c r="D685" s="12">
        <v>100</v>
      </c>
      <c r="E685" s="12" t="s">
        <v>946</v>
      </c>
      <c r="F685" s="12">
        <v>20</v>
      </c>
      <c r="G685" s="12" t="s">
        <v>139</v>
      </c>
      <c r="H685" s="25">
        <f>ROUND((F685/D685)*100, 2)</f>
      </c>
      <c r="I685" s="25">
        <f>ROUND((F685/D685)*250, 2)</f>
      </c>
      <c r="J685" s="25">
        <f>ROUND((F685/D685)*500, 2)</f>
      </c>
    </row>
    <row r="686" ht="20" customHeight="1" spans="1:10" x14ac:dyDescent="0.25">
      <c r="A686" s="14">
        <v>117</v>
      </c>
      <c r="B686" s="14" t="s">
        <v>1142</v>
      </c>
      <c r="C686" s="14" t="s">
        <v>944</v>
      </c>
      <c r="D686" s="14">
        <v>100</v>
      </c>
      <c r="E686" s="14" t="s">
        <v>900</v>
      </c>
      <c r="F686" s="14">
        <v>1.5</v>
      </c>
      <c r="G686" s="14" t="s">
        <v>305</v>
      </c>
      <c r="H686" s="27">
        <f>ROUND((F686/D686)*100, 2)</f>
      </c>
      <c r="I686" s="27">
        <f>ROUND((F686/D686)*250, 2)</f>
      </c>
      <c r="J686" s="27">
        <f>ROUND((F686/D686)*500, 2)</f>
      </c>
    </row>
    <row r="687" ht="20" customHeight="1" spans="1:10" x14ac:dyDescent="0.25">
      <c r="A687" s="12">
        <v>117</v>
      </c>
      <c r="B687" s="12" t="s">
        <v>1142</v>
      </c>
      <c r="C687" s="12" t="s">
        <v>944</v>
      </c>
      <c r="D687" s="12">
        <v>100</v>
      </c>
      <c r="E687" s="12" t="s">
        <v>946</v>
      </c>
      <c r="F687" s="12">
        <v>20</v>
      </c>
      <c r="G687" s="12" t="s">
        <v>139</v>
      </c>
      <c r="H687" s="25">
        <f>ROUND((F687/D687)*100, 2)</f>
      </c>
      <c r="I687" s="25">
        <f>ROUND((F687/D687)*250, 2)</f>
      </c>
      <c r="J687" s="25">
        <f>ROUND((F687/D687)*500, 2)</f>
      </c>
    </row>
    <row r="688" ht="20" customHeight="1" spans="1:10" x14ac:dyDescent="0.25">
      <c r="A688" s="14">
        <v>117</v>
      </c>
      <c r="B688" s="14" t="s">
        <v>1142</v>
      </c>
      <c r="C688" s="14" t="s">
        <v>944</v>
      </c>
      <c r="D688" s="14">
        <v>100</v>
      </c>
      <c r="E688" s="14" t="s">
        <v>945</v>
      </c>
      <c r="F688" s="14">
        <v>8</v>
      </c>
      <c r="G688" s="14" t="s">
        <v>139</v>
      </c>
      <c r="H688" s="27">
        <f>ROUND((F688/D688)*100, 2)</f>
      </c>
      <c r="I688" s="27">
        <f>ROUND((F688/D688)*250, 2)</f>
      </c>
      <c r="J688" s="27">
        <f>ROUND((F688/D688)*500, 2)</f>
      </c>
    </row>
    <row r="689" ht="20" customHeight="1" spans="1:10" x14ac:dyDescent="0.25">
      <c r="A689" s="12">
        <v>117</v>
      </c>
      <c r="B689" s="12" t="s">
        <v>1142</v>
      </c>
      <c r="C689" s="12" t="s">
        <v>944</v>
      </c>
      <c r="D689" s="12">
        <v>100</v>
      </c>
      <c r="E689" s="12" t="s">
        <v>927</v>
      </c>
      <c r="F689" s="12">
        <v>2</v>
      </c>
      <c r="G689" s="12" t="s">
        <v>305</v>
      </c>
      <c r="H689" s="25">
        <f>ROUND((F689/D689)*100, 2)</f>
      </c>
      <c r="I689" s="25">
        <f>ROUND((F689/D689)*250, 2)</f>
      </c>
      <c r="J689" s="25">
        <f>ROUND((F689/D689)*500, 2)</f>
      </c>
    </row>
    <row r="690" ht="20" customHeight="1" spans="1:10" x14ac:dyDescent="0.25">
      <c r="A690" s="14">
        <v>20</v>
      </c>
      <c r="B690" s="14" t="s">
        <v>1143</v>
      </c>
      <c r="C690" s="14" t="s">
        <v>897</v>
      </c>
      <c r="D690" s="14">
        <v>100</v>
      </c>
      <c r="E690" s="14" t="s">
        <v>900</v>
      </c>
      <c r="F690" s="14">
        <v>1</v>
      </c>
      <c r="G690" s="14" t="s">
        <v>305</v>
      </c>
      <c r="H690" s="27">
        <f>ROUND((F690/D690)*100, 2)</f>
      </c>
      <c r="I690" s="27">
        <f>ROUND((F690/D690)*250, 2)</f>
      </c>
      <c r="J690" s="27">
        <f>ROUND((F690/D690)*500, 2)</f>
      </c>
    </row>
    <row r="691" ht="20" customHeight="1" spans="1:10" x14ac:dyDescent="0.25">
      <c r="A691" s="12">
        <v>20</v>
      </c>
      <c r="B691" s="12" t="s">
        <v>1143</v>
      </c>
      <c r="C691" s="12" t="s">
        <v>897</v>
      </c>
      <c r="D691" s="12">
        <v>100</v>
      </c>
      <c r="E691" s="12" t="s">
        <v>901</v>
      </c>
      <c r="F691" s="12">
        <v>10</v>
      </c>
      <c r="G691" s="12" t="s">
        <v>305</v>
      </c>
      <c r="H691" s="25">
        <f>ROUND((F691/D691)*100, 2)</f>
      </c>
      <c r="I691" s="25">
        <f>ROUND((F691/D691)*250, 2)</f>
      </c>
      <c r="J691" s="25">
        <f>ROUND((F691/D691)*500, 2)</f>
      </c>
    </row>
    <row r="692" ht="20" customHeight="1" spans="1:10" x14ac:dyDescent="0.25">
      <c r="A692" s="14">
        <v>20</v>
      </c>
      <c r="B692" s="14" t="s">
        <v>1143</v>
      </c>
      <c r="C692" s="14" t="s">
        <v>897</v>
      </c>
      <c r="D692" s="14">
        <v>100</v>
      </c>
      <c r="E692" s="14" t="s">
        <v>899</v>
      </c>
      <c r="F692" s="14">
        <v>15</v>
      </c>
      <c r="G692" s="14" t="s">
        <v>139</v>
      </c>
      <c r="H692" s="27">
        <f>ROUND((F692/D692)*100, 2)</f>
      </c>
      <c r="I692" s="27">
        <f>ROUND((F692/D692)*250, 2)</f>
      </c>
      <c r="J692" s="27">
        <f>ROUND((F692/D692)*500, 2)</f>
      </c>
    </row>
    <row r="693" ht="20" customHeight="1" spans="1:10" x14ac:dyDescent="0.25">
      <c r="A693" s="12">
        <v>20</v>
      </c>
      <c r="B693" s="12" t="s">
        <v>1143</v>
      </c>
      <c r="C693" s="12" t="s">
        <v>897</v>
      </c>
      <c r="D693" s="12">
        <v>100</v>
      </c>
      <c r="E693" s="12" t="s">
        <v>898</v>
      </c>
      <c r="F693" s="12">
        <v>3</v>
      </c>
      <c r="G693" s="12" t="s">
        <v>139</v>
      </c>
      <c r="H693" s="25">
        <f>ROUND((F693/D693)*100, 2)</f>
      </c>
      <c r="I693" s="25">
        <f>ROUND((F693/D693)*250, 2)</f>
      </c>
      <c r="J693" s="25">
        <f>ROUND((F693/D693)*500, 2)</f>
      </c>
    </row>
    <row r="694" ht="20" customHeight="1" spans="1:10" x14ac:dyDescent="0.25">
      <c r="A694" s="14">
        <v>172</v>
      </c>
      <c r="B694" s="14" t="s">
        <v>1144</v>
      </c>
      <c r="C694" s="14" t="s">
        <v>917</v>
      </c>
      <c r="D694" s="14">
        <v>100</v>
      </c>
      <c r="E694" s="14" t="s">
        <v>328</v>
      </c>
      <c r="F694" s="14">
        <v>3</v>
      </c>
      <c r="G694" s="14" t="s">
        <v>139</v>
      </c>
      <c r="H694" s="27">
        <f>ROUND((F694/D694)*100, 2)</f>
      </c>
      <c r="I694" s="27">
        <f>ROUND((F694/D694)*250, 2)</f>
      </c>
      <c r="J694" s="27">
        <f>ROUND((F694/D694)*500, 2)</f>
      </c>
    </row>
    <row r="695" ht="20" customHeight="1" spans="1:10" x14ac:dyDescent="0.25">
      <c r="A695" s="12">
        <v>172</v>
      </c>
      <c r="B695" s="12" t="s">
        <v>1144</v>
      </c>
      <c r="C695" s="12" t="s">
        <v>917</v>
      </c>
      <c r="D695" s="12">
        <v>100</v>
      </c>
      <c r="E695" s="12" t="s">
        <v>919</v>
      </c>
      <c r="F695" s="12">
        <v>1</v>
      </c>
      <c r="G695" s="12" t="s">
        <v>139</v>
      </c>
      <c r="H695" s="25">
        <f>ROUND((F695/D695)*100, 2)</f>
      </c>
      <c r="I695" s="25">
        <f>ROUND((F695/D695)*250, 2)</f>
      </c>
      <c r="J695" s="25">
        <f>ROUND((F695/D695)*500, 2)</f>
      </c>
    </row>
    <row r="696" ht="20" customHeight="1" spans="1:10" x14ac:dyDescent="0.25">
      <c r="A696" s="14">
        <v>172</v>
      </c>
      <c r="B696" s="14" t="s">
        <v>1144</v>
      </c>
      <c r="C696" s="14" t="s">
        <v>917</v>
      </c>
      <c r="D696" s="14">
        <v>100</v>
      </c>
      <c r="E696" s="14" t="s">
        <v>898</v>
      </c>
      <c r="F696" s="14">
        <v>5</v>
      </c>
      <c r="G696" s="14" t="s">
        <v>305</v>
      </c>
      <c r="H696" s="27">
        <f>ROUND((F696/D696)*100, 2)</f>
      </c>
      <c r="I696" s="27">
        <f>ROUND((F696/D696)*250, 2)</f>
      </c>
      <c r="J696" s="27">
        <f>ROUND((F696/D696)*500, 2)</f>
      </c>
    </row>
    <row r="697" ht="20" customHeight="1" spans="1:10" x14ac:dyDescent="0.25">
      <c r="A697" s="12">
        <v>172</v>
      </c>
      <c r="B697" s="12" t="s">
        <v>1144</v>
      </c>
      <c r="C697" s="12" t="s">
        <v>917</v>
      </c>
      <c r="D697" s="12">
        <v>100</v>
      </c>
      <c r="E697" s="12" t="s">
        <v>918</v>
      </c>
      <c r="F697" s="12">
        <v>10</v>
      </c>
      <c r="G697" s="12" t="s">
        <v>139</v>
      </c>
      <c r="H697" s="25">
        <f>ROUND((F697/D697)*100, 2)</f>
      </c>
      <c r="I697" s="25">
        <f>ROUND((F697/D697)*250, 2)</f>
      </c>
      <c r="J697" s="25">
        <f>ROUND((F697/D697)*500, 2)</f>
      </c>
    </row>
    <row r="698" ht="20" customHeight="1" spans="1:10" x14ac:dyDescent="0.25">
      <c r="A698" s="14">
        <v>201</v>
      </c>
      <c r="B698" s="14" t="s">
        <v>1145</v>
      </c>
      <c r="C698" s="14" t="s">
        <v>937</v>
      </c>
      <c r="D698" s="14">
        <v>100</v>
      </c>
      <c r="E698" s="14" t="s">
        <v>245</v>
      </c>
      <c r="F698" s="14">
        <v>6</v>
      </c>
      <c r="G698" s="14" t="s">
        <v>139</v>
      </c>
      <c r="H698" s="27">
        <f>ROUND((F698/D698)*100, 2)</f>
      </c>
      <c r="I698" s="27">
        <f>ROUND((F698/D698)*250, 2)</f>
      </c>
      <c r="J698" s="27">
        <f>ROUND((F698/D698)*500, 2)</f>
      </c>
    </row>
    <row r="699" ht="20" customHeight="1" spans="1:10" x14ac:dyDescent="0.25">
      <c r="A699" s="12">
        <v>201</v>
      </c>
      <c r="B699" s="12" t="s">
        <v>1145</v>
      </c>
      <c r="C699" s="12" t="s">
        <v>937</v>
      </c>
      <c r="D699" s="12">
        <v>100</v>
      </c>
      <c r="E699" s="12" t="s">
        <v>540</v>
      </c>
      <c r="F699" s="12">
        <v>20</v>
      </c>
      <c r="G699" s="12" t="s">
        <v>305</v>
      </c>
      <c r="H699" s="25">
        <f>ROUND((F699/D699)*100, 2)</f>
      </c>
      <c r="I699" s="25">
        <f>ROUND((F699/D699)*250, 2)</f>
      </c>
      <c r="J699" s="25">
        <f>ROUND((F699/D699)*500, 2)</f>
      </c>
    </row>
    <row r="700" ht="20" customHeight="1" spans="1:10" x14ac:dyDescent="0.25">
      <c r="A700" s="14">
        <v>201</v>
      </c>
      <c r="B700" s="14" t="s">
        <v>1145</v>
      </c>
      <c r="C700" s="14" t="s">
        <v>937</v>
      </c>
      <c r="D700" s="14">
        <v>100</v>
      </c>
      <c r="E700" s="14" t="s">
        <v>938</v>
      </c>
      <c r="F700" s="14">
        <v>3</v>
      </c>
      <c r="G700" s="14" t="s">
        <v>139</v>
      </c>
      <c r="H700" s="27">
        <f>ROUND((F700/D700)*100, 2)</f>
      </c>
      <c r="I700" s="27">
        <f>ROUND((F700/D700)*250, 2)</f>
      </c>
      <c r="J700" s="27">
        <f>ROUND((F700/D700)*500, 2)</f>
      </c>
    </row>
    <row r="701" ht="20" customHeight="1" spans="1:10" x14ac:dyDescent="0.25">
      <c r="A701" s="12">
        <v>227</v>
      </c>
      <c r="B701" s="12" t="s">
        <v>1146</v>
      </c>
      <c r="C701" s="12" t="s">
        <v>930</v>
      </c>
      <c r="D701" s="12">
        <v>100</v>
      </c>
      <c r="E701" s="12" t="s">
        <v>134</v>
      </c>
      <c r="F701" s="12">
        <v>2</v>
      </c>
      <c r="G701" s="12" t="s">
        <v>305</v>
      </c>
      <c r="H701" s="25">
        <f>ROUND((F701/D701)*100, 2)</f>
      </c>
      <c r="I701" s="25">
        <f>ROUND((F701/D701)*250, 2)</f>
      </c>
      <c r="J701" s="25">
        <f>ROUND((F701/D701)*500, 2)</f>
      </c>
    </row>
    <row r="702" ht="20" customHeight="1" spans="1:10" x14ac:dyDescent="0.25">
      <c r="A702" s="14">
        <v>227</v>
      </c>
      <c r="B702" s="14" t="s">
        <v>1146</v>
      </c>
      <c r="C702" s="14" t="s">
        <v>930</v>
      </c>
      <c r="D702" s="14">
        <v>100</v>
      </c>
      <c r="E702" s="14" t="s">
        <v>931</v>
      </c>
      <c r="F702" s="14">
        <v>6</v>
      </c>
      <c r="G702" s="14" t="s">
        <v>139</v>
      </c>
      <c r="H702" s="27">
        <f>ROUND((F702/D702)*100, 2)</f>
      </c>
      <c r="I702" s="27">
        <f>ROUND((F702/D702)*250, 2)</f>
      </c>
      <c r="J702" s="27">
        <f>ROUND((F702/D702)*500, 2)</f>
      </c>
    </row>
    <row r="703" ht="20" customHeight="1" spans="1:10" x14ac:dyDescent="0.25">
      <c r="A703" s="12">
        <v>227</v>
      </c>
      <c r="B703" s="12" t="s">
        <v>1146</v>
      </c>
      <c r="C703" s="12" t="s">
        <v>930</v>
      </c>
      <c r="D703" s="12">
        <v>100</v>
      </c>
      <c r="E703" s="12" t="s">
        <v>540</v>
      </c>
      <c r="F703" s="12">
        <v>15</v>
      </c>
      <c r="G703" s="12" t="s">
        <v>305</v>
      </c>
      <c r="H703" s="25">
        <f>ROUND((F703/D703)*100, 2)</f>
      </c>
      <c r="I703" s="25">
        <f>ROUND((F703/D703)*250, 2)</f>
      </c>
      <c r="J703" s="25">
        <f>ROUND((F703/D703)*500, 2)</f>
      </c>
    </row>
    <row r="704" ht="20" customHeight="1" spans="1:10" x14ac:dyDescent="0.25">
      <c r="A704" s="14">
        <v>158</v>
      </c>
      <c r="B704" s="14" t="s">
        <v>1147</v>
      </c>
      <c r="C704" s="14" t="s">
        <v>921</v>
      </c>
      <c r="D704" s="14">
        <v>100</v>
      </c>
      <c r="E704" s="14" t="s">
        <v>922</v>
      </c>
      <c r="F704" s="14">
        <v>15</v>
      </c>
      <c r="G704" s="14" t="s">
        <v>139</v>
      </c>
      <c r="H704" s="27">
        <f>ROUND((F704/D704)*100, 2)</f>
      </c>
      <c r="I704" s="27">
        <f>ROUND((F704/D704)*250, 2)</f>
      </c>
      <c r="J704" s="27">
        <f>ROUND((F704/D704)*500, 2)</f>
      </c>
    </row>
    <row r="705" ht="20" customHeight="1" spans="1:10" x14ac:dyDescent="0.25">
      <c r="A705" s="12">
        <v>158</v>
      </c>
      <c r="B705" s="12" t="s">
        <v>1147</v>
      </c>
      <c r="C705" s="12" t="s">
        <v>921</v>
      </c>
      <c r="D705" s="12">
        <v>100</v>
      </c>
      <c r="E705" s="12" t="s">
        <v>911</v>
      </c>
      <c r="F705" s="12">
        <v>1.5</v>
      </c>
      <c r="G705" s="12" t="s">
        <v>139</v>
      </c>
      <c r="H705" s="25">
        <f>ROUND((F705/D705)*100, 2)</f>
      </c>
      <c r="I705" s="25">
        <f>ROUND((F705/D705)*250, 2)</f>
      </c>
      <c r="J705" s="25">
        <f>ROUND((F705/D705)*500, 2)</f>
      </c>
    </row>
    <row r="706" ht="20" customHeight="1" spans="1:10" x14ac:dyDescent="0.25">
      <c r="A706" s="14">
        <v>158</v>
      </c>
      <c r="B706" s="14" t="s">
        <v>1147</v>
      </c>
      <c r="C706" s="14" t="s">
        <v>921</v>
      </c>
      <c r="D706" s="14">
        <v>100</v>
      </c>
      <c r="E706" s="14" t="s">
        <v>923</v>
      </c>
      <c r="F706" s="14">
        <v>2</v>
      </c>
      <c r="G706" s="14" t="s">
        <v>139</v>
      </c>
      <c r="H706" s="27">
        <f>ROUND((F706/D706)*100, 2)</f>
      </c>
      <c r="I706" s="27">
        <f>ROUND((F706/D706)*250, 2)</f>
      </c>
      <c r="J706" s="27">
        <f>ROUND((F706/D706)*500, 2)</f>
      </c>
    </row>
    <row r="707" ht="20" customHeight="1" spans="1:10" x14ac:dyDescent="0.25">
      <c r="A707" s="12">
        <v>156</v>
      </c>
      <c r="B707" s="12" t="s">
        <v>1148</v>
      </c>
      <c r="C707" s="12" t="s">
        <v>921</v>
      </c>
      <c r="D707" s="12">
        <v>100</v>
      </c>
      <c r="E707" s="12" t="s">
        <v>923</v>
      </c>
      <c r="F707" s="12">
        <v>2</v>
      </c>
      <c r="G707" s="12" t="s">
        <v>139</v>
      </c>
      <c r="H707" s="25">
        <f>ROUND((F707/D707)*100, 2)</f>
      </c>
      <c r="I707" s="25">
        <f>ROUND((F707/D707)*250, 2)</f>
      </c>
      <c r="J707" s="25">
        <f>ROUND((F707/D707)*500, 2)</f>
      </c>
    </row>
    <row r="708" ht="20" customHeight="1" spans="1:10" x14ac:dyDescent="0.25">
      <c r="A708" s="14">
        <v>156</v>
      </c>
      <c r="B708" s="14" t="s">
        <v>1148</v>
      </c>
      <c r="C708" s="14" t="s">
        <v>921</v>
      </c>
      <c r="D708" s="14">
        <v>100</v>
      </c>
      <c r="E708" s="14" t="s">
        <v>922</v>
      </c>
      <c r="F708" s="14">
        <v>15</v>
      </c>
      <c r="G708" s="14" t="s">
        <v>139</v>
      </c>
      <c r="H708" s="27">
        <f>ROUND((F708/D708)*100, 2)</f>
      </c>
      <c r="I708" s="27">
        <f>ROUND((F708/D708)*250, 2)</f>
      </c>
      <c r="J708" s="27">
        <f>ROUND((F708/D708)*500, 2)</f>
      </c>
    </row>
    <row r="709" ht="20" customHeight="1" spans="1:10" x14ac:dyDescent="0.25">
      <c r="A709" s="12">
        <v>156</v>
      </c>
      <c r="B709" s="12" t="s">
        <v>1148</v>
      </c>
      <c r="C709" s="12" t="s">
        <v>921</v>
      </c>
      <c r="D709" s="12">
        <v>100</v>
      </c>
      <c r="E709" s="12" t="s">
        <v>911</v>
      </c>
      <c r="F709" s="12">
        <v>1.5</v>
      </c>
      <c r="G709" s="12" t="s">
        <v>139</v>
      </c>
      <c r="H709" s="25">
        <f>ROUND((F709/D709)*100, 2)</f>
      </c>
      <c r="I709" s="25">
        <f>ROUND((F709/D709)*250, 2)</f>
      </c>
      <c r="J709" s="25">
        <f>ROUND((F709/D709)*500, 2)</f>
      </c>
    </row>
    <row r="710" ht="20" customHeight="1" spans="1:10" x14ac:dyDescent="0.25">
      <c r="A710" s="14">
        <v>142</v>
      </c>
      <c r="B710" s="14" t="s">
        <v>1149</v>
      </c>
      <c r="C710" s="14" t="s">
        <v>1066</v>
      </c>
      <c r="D710" s="14">
        <v>100</v>
      </c>
      <c r="E710" s="14" t="s">
        <v>1067</v>
      </c>
      <c r="F710" s="14">
        <v>100</v>
      </c>
      <c r="G710" s="14" t="s">
        <v>127</v>
      </c>
      <c r="H710" s="27">
        <f>ROUND((F710/D710)*100, 2)</f>
      </c>
      <c r="I710" s="27">
        <f>ROUND((F710/D710)*250, 2)</f>
      </c>
      <c r="J710" s="27">
        <f>ROUND((F710/D710)*500, 2)</f>
      </c>
    </row>
    <row r="711" ht="20" customHeight="1" spans="1:10" x14ac:dyDescent="0.25">
      <c r="A711" s="12">
        <v>142</v>
      </c>
      <c r="B711" s="12" t="s">
        <v>1149</v>
      </c>
      <c r="C711" s="12" t="s">
        <v>1066</v>
      </c>
      <c r="D711" s="12">
        <v>100</v>
      </c>
      <c r="E711" s="12" t="s">
        <v>562</v>
      </c>
      <c r="F711" s="12">
        <v>8</v>
      </c>
      <c r="G711" s="12" t="s">
        <v>139</v>
      </c>
      <c r="H711" s="25">
        <f>ROUND((F711/D711)*100, 2)</f>
      </c>
      <c r="I711" s="25">
        <f>ROUND((F711/D711)*250, 2)</f>
      </c>
      <c r="J711" s="25">
        <f>ROUND((F711/D711)*500, 2)</f>
      </c>
    </row>
    <row r="712" ht="20" customHeight="1" spans="1:10" x14ac:dyDescent="0.25">
      <c r="A712" s="14">
        <v>142</v>
      </c>
      <c r="B712" s="14" t="s">
        <v>1149</v>
      </c>
      <c r="C712" s="14" t="s">
        <v>1066</v>
      </c>
      <c r="D712" s="14">
        <v>100</v>
      </c>
      <c r="E712" s="14" t="s">
        <v>1068</v>
      </c>
      <c r="F712" s="14">
        <v>6</v>
      </c>
      <c r="G712" s="14" t="s">
        <v>139</v>
      </c>
      <c r="H712" s="27">
        <f>ROUND((F712/D712)*100, 2)</f>
      </c>
      <c r="I712" s="27">
        <f>ROUND((F712/D712)*250, 2)</f>
      </c>
      <c r="J712" s="27">
        <f>ROUND((F712/D712)*500, 2)</f>
      </c>
    </row>
    <row r="713" ht="20" customHeight="1" spans="1:10" x14ac:dyDescent="0.25">
      <c r="A713" s="12">
        <v>142</v>
      </c>
      <c r="B713" s="12" t="s">
        <v>1149</v>
      </c>
      <c r="C713" s="12" t="s">
        <v>1066</v>
      </c>
      <c r="D713" s="12">
        <v>100</v>
      </c>
      <c r="E713" s="12" t="s">
        <v>654</v>
      </c>
      <c r="F713" s="12">
        <v>3</v>
      </c>
      <c r="G713" s="12" t="s">
        <v>139</v>
      </c>
      <c r="H713" s="25">
        <f>ROUND((F713/D713)*100, 2)</f>
      </c>
      <c r="I713" s="25">
        <f>ROUND((F713/D713)*250, 2)</f>
      </c>
      <c r="J713" s="25">
        <f>ROUND((F713/D713)*500, 2)</f>
      </c>
    </row>
    <row r="714" ht="20" customHeight="1" spans="1:10" x14ac:dyDescent="0.25">
      <c r="A714" s="14">
        <v>138</v>
      </c>
      <c r="B714" s="14" t="s">
        <v>1150</v>
      </c>
      <c r="C714" s="14" t="s">
        <v>1066</v>
      </c>
      <c r="D714" s="14">
        <v>100</v>
      </c>
      <c r="E714" s="14" t="s">
        <v>1068</v>
      </c>
      <c r="F714" s="14">
        <v>6</v>
      </c>
      <c r="G714" s="14" t="s">
        <v>139</v>
      </c>
      <c r="H714" s="27">
        <f>ROUND((F714/D714)*100, 2)</f>
      </c>
      <c r="I714" s="27">
        <f>ROUND((F714/D714)*250, 2)</f>
      </c>
      <c r="J714" s="27">
        <f>ROUND((F714/D714)*500, 2)</f>
      </c>
    </row>
    <row r="715" ht="20" customHeight="1" spans="1:10" x14ac:dyDescent="0.25">
      <c r="A715" s="12">
        <v>138</v>
      </c>
      <c r="B715" s="12" t="s">
        <v>1150</v>
      </c>
      <c r="C715" s="12" t="s">
        <v>1066</v>
      </c>
      <c r="D715" s="12">
        <v>100</v>
      </c>
      <c r="E715" s="12" t="s">
        <v>654</v>
      </c>
      <c r="F715" s="12">
        <v>3</v>
      </c>
      <c r="G715" s="12" t="s">
        <v>139</v>
      </c>
      <c r="H715" s="25">
        <f>ROUND((F715/D715)*100, 2)</f>
      </c>
      <c r="I715" s="25">
        <f>ROUND((F715/D715)*250, 2)</f>
      </c>
      <c r="J715" s="25">
        <f>ROUND((F715/D715)*500, 2)</f>
      </c>
    </row>
    <row r="716" ht="20" customHeight="1" spans="1:10" x14ac:dyDescent="0.25">
      <c r="A716" s="14">
        <v>138</v>
      </c>
      <c r="B716" s="14" t="s">
        <v>1150</v>
      </c>
      <c r="C716" s="14" t="s">
        <v>1066</v>
      </c>
      <c r="D716" s="14">
        <v>100</v>
      </c>
      <c r="E716" s="14" t="s">
        <v>1067</v>
      </c>
      <c r="F716" s="14">
        <v>100</v>
      </c>
      <c r="G716" s="14" t="s">
        <v>127</v>
      </c>
      <c r="H716" s="27">
        <f>ROUND((F716/D716)*100, 2)</f>
      </c>
      <c r="I716" s="27">
        <f>ROUND((F716/D716)*250, 2)</f>
      </c>
      <c r="J716" s="27">
        <f>ROUND((F716/D716)*500, 2)</f>
      </c>
    </row>
    <row r="717" ht="20" customHeight="1" spans="1:10" x14ac:dyDescent="0.25">
      <c r="A717" s="12">
        <v>138</v>
      </c>
      <c r="B717" s="12" t="s">
        <v>1150</v>
      </c>
      <c r="C717" s="12" t="s">
        <v>1066</v>
      </c>
      <c r="D717" s="12">
        <v>100</v>
      </c>
      <c r="E717" s="12" t="s">
        <v>562</v>
      </c>
      <c r="F717" s="12">
        <v>8</v>
      </c>
      <c r="G717" s="12" t="s">
        <v>139</v>
      </c>
      <c r="H717" s="25">
        <f>ROUND((F717/D717)*100, 2)</f>
      </c>
      <c r="I717" s="25">
        <f>ROUND((F717/D717)*250, 2)</f>
      </c>
      <c r="J717" s="25">
        <f>ROUND((F717/D717)*500, 2)</f>
      </c>
    </row>
    <row r="718" ht="20" customHeight="1" spans="1:10" x14ac:dyDescent="0.25">
      <c r="A718" s="14">
        <v>65</v>
      </c>
      <c r="B718" s="14" t="s">
        <v>1151</v>
      </c>
      <c r="C718" s="14" t="s">
        <v>967</v>
      </c>
      <c r="D718" s="14">
        <v>100</v>
      </c>
      <c r="E718" s="14" t="s">
        <v>399</v>
      </c>
      <c r="F718" s="14">
        <v>2</v>
      </c>
      <c r="G718" s="14" t="s">
        <v>305</v>
      </c>
      <c r="H718" s="27">
        <f>ROUND((F718/D718)*100, 2)</f>
      </c>
      <c r="I718" s="27">
        <f>ROUND((F718/D718)*250, 2)</f>
      </c>
      <c r="J718" s="27">
        <f>ROUND((F718/D718)*500, 2)</f>
      </c>
    </row>
    <row r="719" ht="20" customHeight="1" spans="1:10" x14ac:dyDescent="0.25">
      <c r="A719" s="12">
        <v>65</v>
      </c>
      <c r="B719" s="12" t="s">
        <v>1151</v>
      </c>
      <c r="C719" s="12" t="s">
        <v>967</v>
      </c>
      <c r="D719" s="12">
        <v>100</v>
      </c>
      <c r="E719" s="12" t="s">
        <v>969</v>
      </c>
      <c r="F719" s="12">
        <v>1.5</v>
      </c>
      <c r="G719" s="12" t="s">
        <v>139</v>
      </c>
      <c r="H719" s="25">
        <f>ROUND((F719/D719)*100, 2)</f>
      </c>
      <c r="I719" s="25">
        <f>ROUND((F719/D719)*250, 2)</f>
      </c>
      <c r="J719" s="25">
        <f>ROUND((F719/D719)*500, 2)</f>
      </c>
    </row>
    <row r="720" ht="20" customHeight="1" spans="1:10" x14ac:dyDescent="0.25">
      <c r="A720" s="14">
        <v>65</v>
      </c>
      <c r="B720" s="14" t="s">
        <v>1151</v>
      </c>
      <c r="C720" s="14" t="s">
        <v>967</v>
      </c>
      <c r="D720" s="14">
        <v>100</v>
      </c>
      <c r="E720" s="14" t="s">
        <v>970</v>
      </c>
      <c r="F720" s="14">
        <v>15</v>
      </c>
      <c r="G720" s="14" t="s">
        <v>139</v>
      </c>
      <c r="H720" s="27">
        <f>ROUND((F720/D720)*100, 2)</f>
      </c>
      <c r="I720" s="27">
        <f>ROUND((F720/D720)*250, 2)</f>
      </c>
      <c r="J720" s="27">
        <f>ROUND((F720/D720)*500, 2)</f>
      </c>
    </row>
    <row r="721" ht="20" customHeight="1" spans="1:10" x14ac:dyDescent="0.25">
      <c r="A721" s="12">
        <v>65</v>
      </c>
      <c r="B721" s="12" t="s">
        <v>1151</v>
      </c>
      <c r="C721" s="12" t="s">
        <v>967</v>
      </c>
      <c r="D721" s="12">
        <v>100</v>
      </c>
      <c r="E721" s="12" t="s">
        <v>175</v>
      </c>
      <c r="F721" s="12">
        <v>20</v>
      </c>
      <c r="G721" s="12" t="s">
        <v>139</v>
      </c>
      <c r="H721" s="25">
        <f>ROUND((F721/D721)*100, 2)</f>
      </c>
      <c r="I721" s="25">
        <f>ROUND((F721/D721)*250, 2)</f>
      </c>
      <c r="J721" s="25">
        <f>ROUND((F721/D721)*500, 2)</f>
      </c>
    </row>
    <row r="722" ht="20" customHeight="1" spans="1:10" x14ac:dyDescent="0.25">
      <c r="A722" s="14">
        <v>65</v>
      </c>
      <c r="B722" s="14" t="s">
        <v>1151</v>
      </c>
      <c r="C722" s="14" t="s">
        <v>967</v>
      </c>
      <c r="D722" s="14">
        <v>100</v>
      </c>
      <c r="E722" s="14" t="s">
        <v>968</v>
      </c>
      <c r="F722" s="14">
        <v>2</v>
      </c>
      <c r="G722" s="14" t="s">
        <v>139</v>
      </c>
      <c r="H722" s="27">
        <f>ROUND((F722/D722)*100, 2)</f>
      </c>
      <c r="I722" s="27">
        <f>ROUND((F722/D722)*250, 2)</f>
      </c>
      <c r="J722" s="27">
        <f>ROUND((F722/D722)*500, 2)</f>
      </c>
    </row>
    <row r="723" ht="20" customHeight="1" spans="1:10" x14ac:dyDescent="0.25">
      <c r="A723" s="12">
        <v>33</v>
      </c>
      <c r="B723" s="12" t="s">
        <v>1152</v>
      </c>
      <c r="C723" s="12" t="s">
        <v>897</v>
      </c>
      <c r="D723" s="12">
        <v>100</v>
      </c>
      <c r="E723" s="12" t="s">
        <v>901</v>
      </c>
      <c r="F723" s="12">
        <v>10</v>
      </c>
      <c r="G723" s="12" t="s">
        <v>305</v>
      </c>
      <c r="H723" s="25">
        <f>ROUND((F723/D723)*100, 2)</f>
      </c>
      <c r="I723" s="25">
        <f>ROUND((F723/D723)*250, 2)</f>
      </c>
      <c r="J723" s="25">
        <f>ROUND((F723/D723)*500, 2)</f>
      </c>
    </row>
    <row r="724" ht="20" customHeight="1" spans="1:10" x14ac:dyDescent="0.25">
      <c r="A724" s="14">
        <v>33</v>
      </c>
      <c r="B724" s="14" t="s">
        <v>1152</v>
      </c>
      <c r="C724" s="14" t="s">
        <v>897</v>
      </c>
      <c r="D724" s="14">
        <v>100</v>
      </c>
      <c r="E724" s="14" t="s">
        <v>898</v>
      </c>
      <c r="F724" s="14">
        <v>3</v>
      </c>
      <c r="G724" s="14" t="s">
        <v>139</v>
      </c>
      <c r="H724" s="27">
        <f>ROUND((F724/D724)*100, 2)</f>
      </c>
      <c r="I724" s="27">
        <f>ROUND((F724/D724)*250, 2)</f>
      </c>
      <c r="J724" s="27">
        <f>ROUND((F724/D724)*500, 2)</f>
      </c>
    </row>
    <row r="725" ht="20" customHeight="1" spans="1:10" x14ac:dyDescent="0.25">
      <c r="A725" s="12">
        <v>33</v>
      </c>
      <c r="B725" s="12" t="s">
        <v>1152</v>
      </c>
      <c r="C725" s="12" t="s">
        <v>897</v>
      </c>
      <c r="D725" s="12">
        <v>100</v>
      </c>
      <c r="E725" s="12" t="s">
        <v>899</v>
      </c>
      <c r="F725" s="12">
        <v>15</v>
      </c>
      <c r="G725" s="12" t="s">
        <v>139</v>
      </c>
      <c r="H725" s="25">
        <f>ROUND((F725/D725)*100, 2)</f>
      </c>
      <c r="I725" s="25">
        <f>ROUND((F725/D725)*250, 2)</f>
      </c>
      <c r="J725" s="25">
        <f>ROUND((F725/D725)*500, 2)</f>
      </c>
    </row>
    <row r="726" ht="20" customHeight="1" spans="1:10" x14ac:dyDescent="0.25">
      <c r="A726" s="14">
        <v>33</v>
      </c>
      <c r="B726" s="14" t="s">
        <v>1152</v>
      </c>
      <c r="C726" s="14" t="s">
        <v>897</v>
      </c>
      <c r="D726" s="14">
        <v>100</v>
      </c>
      <c r="E726" s="14" t="s">
        <v>900</v>
      </c>
      <c r="F726" s="14">
        <v>1</v>
      </c>
      <c r="G726" s="14" t="s">
        <v>305</v>
      </c>
      <c r="H726" s="27">
        <f>ROUND((F726/D726)*100, 2)</f>
      </c>
      <c r="I726" s="27">
        <f>ROUND((F726/D726)*250, 2)</f>
      </c>
      <c r="J726" s="27">
        <f>ROUND((F726/D726)*500, 2)</f>
      </c>
    </row>
    <row r="727" ht="20" customHeight="1" spans="1:10" x14ac:dyDescent="0.25">
      <c r="A727" s="12">
        <v>1</v>
      </c>
      <c r="B727" s="12" t="s">
        <v>1153</v>
      </c>
      <c r="C727" s="12" t="s">
        <v>91</v>
      </c>
      <c r="D727" s="12">
        <v>100</v>
      </c>
      <c r="E727" s="12" t="s">
        <v>198</v>
      </c>
      <c r="F727" s="12">
        <v>12</v>
      </c>
      <c r="G727" s="12" t="s">
        <v>139</v>
      </c>
      <c r="H727" s="25">
        <f>ROUND((F727/D727)*100, 2)</f>
      </c>
      <c r="I727" s="25">
        <f>ROUND((F727/D727)*250, 2)</f>
      </c>
      <c r="J727" s="25">
        <f>ROUND((F727/D727)*500, 2)</f>
      </c>
    </row>
    <row r="728" ht="20" customHeight="1" spans="1:10" x14ac:dyDescent="0.25">
      <c r="A728" s="14">
        <v>141</v>
      </c>
      <c r="B728" s="14" t="s">
        <v>1154</v>
      </c>
      <c r="C728" s="14" t="s">
        <v>1066</v>
      </c>
      <c r="D728" s="14">
        <v>100</v>
      </c>
      <c r="E728" s="14" t="s">
        <v>562</v>
      </c>
      <c r="F728" s="14">
        <v>8</v>
      </c>
      <c r="G728" s="14" t="s">
        <v>139</v>
      </c>
      <c r="H728" s="27">
        <f>ROUND((F728/D728)*100, 2)</f>
      </c>
      <c r="I728" s="27">
        <f>ROUND((F728/D728)*250, 2)</f>
      </c>
      <c r="J728" s="27">
        <f>ROUND((F728/D728)*500, 2)</f>
      </c>
    </row>
    <row r="729" ht="20" customHeight="1" spans="1:10" x14ac:dyDescent="0.25">
      <c r="A729" s="12">
        <v>141</v>
      </c>
      <c r="B729" s="12" t="s">
        <v>1154</v>
      </c>
      <c r="C729" s="12" t="s">
        <v>1066</v>
      </c>
      <c r="D729" s="12">
        <v>100</v>
      </c>
      <c r="E729" s="12" t="s">
        <v>1068</v>
      </c>
      <c r="F729" s="12">
        <v>6</v>
      </c>
      <c r="G729" s="12" t="s">
        <v>139</v>
      </c>
      <c r="H729" s="25">
        <f>ROUND((F729/D729)*100, 2)</f>
      </c>
      <c r="I729" s="25">
        <f>ROUND((F729/D729)*250, 2)</f>
      </c>
      <c r="J729" s="25">
        <f>ROUND((F729/D729)*500, 2)</f>
      </c>
    </row>
    <row r="730" ht="20" customHeight="1" spans="1:10" x14ac:dyDescent="0.25">
      <c r="A730" s="14">
        <v>141</v>
      </c>
      <c r="B730" s="14" t="s">
        <v>1154</v>
      </c>
      <c r="C730" s="14" t="s">
        <v>1066</v>
      </c>
      <c r="D730" s="14">
        <v>100</v>
      </c>
      <c r="E730" s="14" t="s">
        <v>654</v>
      </c>
      <c r="F730" s="14">
        <v>3</v>
      </c>
      <c r="G730" s="14" t="s">
        <v>139</v>
      </c>
      <c r="H730" s="27">
        <f>ROUND((F730/D730)*100, 2)</f>
      </c>
      <c r="I730" s="27">
        <f>ROUND((F730/D730)*250, 2)</f>
      </c>
      <c r="J730" s="27">
        <f>ROUND((F730/D730)*500, 2)</f>
      </c>
    </row>
    <row r="731" ht="20" customHeight="1" spans="1:10" x14ac:dyDescent="0.25">
      <c r="A731" s="12">
        <v>141</v>
      </c>
      <c r="B731" s="12" t="s">
        <v>1154</v>
      </c>
      <c r="C731" s="12" t="s">
        <v>1066</v>
      </c>
      <c r="D731" s="12">
        <v>100</v>
      </c>
      <c r="E731" s="12" t="s">
        <v>1067</v>
      </c>
      <c r="F731" s="12">
        <v>100</v>
      </c>
      <c r="G731" s="12" t="s">
        <v>127</v>
      </c>
      <c r="H731" s="25">
        <f>ROUND((F731/D731)*100, 2)</f>
      </c>
      <c r="I731" s="25">
        <f>ROUND((F731/D731)*250, 2)</f>
      </c>
      <c r="J731" s="25">
        <f>ROUND((F731/D731)*500, 2)</f>
      </c>
    </row>
    <row r="732" ht="20" customHeight="1" spans="1:10" x14ac:dyDescent="0.25">
      <c r="A732" s="14">
        <v>137</v>
      </c>
      <c r="B732" s="14" t="s">
        <v>1155</v>
      </c>
      <c r="C732" s="14" t="s">
        <v>1066</v>
      </c>
      <c r="D732" s="14">
        <v>100</v>
      </c>
      <c r="E732" s="14" t="s">
        <v>1067</v>
      </c>
      <c r="F732" s="14">
        <v>100</v>
      </c>
      <c r="G732" s="14" t="s">
        <v>127</v>
      </c>
      <c r="H732" s="27">
        <f>ROUND((F732/D732)*100, 2)</f>
      </c>
      <c r="I732" s="27">
        <f>ROUND((F732/D732)*250, 2)</f>
      </c>
      <c r="J732" s="27">
        <f>ROUND((F732/D732)*500, 2)</f>
      </c>
    </row>
    <row r="733" ht="20" customHeight="1" spans="1:10" x14ac:dyDescent="0.25">
      <c r="A733" s="12">
        <v>137</v>
      </c>
      <c r="B733" s="12" t="s">
        <v>1155</v>
      </c>
      <c r="C733" s="12" t="s">
        <v>1066</v>
      </c>
      <c r="D733" s="12">
        <v>100</v>
      </c>
      <c r="E733" s="12" t="s">
        <v>1068</v>
      </c>
      <c r="F733" s="12">
        <v>6</v>
      </c>
      <c r="G733" s="12" t="s">
        <v>139</v>
      </c>
      <c r="H733" s="25">
        <f>ROUND((F733/D733)*100, 2)</f>
      </c>
      <c r="I733" s="25">
        <f>ROUND((F733/D733)*250, 2)</f>
      </c>
      <c r="J733" s="25">
        <f>ROUND((F733/D733)*500, 2)</f>
      </c>
    </row>
    <row r="734" ht="20" customHeight="1" spans="1:10" x14ac:dyDescent="0.25">
      <c r="A734" s="14">
        <v>137</v>
      </c>
      <c r="B734" s="14" t="s">
        <v>1155</v>
      </c>
      <c r="C734" s="14" t="s">
        <v>1066</v>
      </c>
      <c r="D734" s="14">
        <v>100</v>
      </c>
      <c r="E734" s="14" t="s">
        <v>654</v>
      </c>
      <c r="F734" s="14">
        <v>3</v>
      </c>
      <c r="G734" s="14" t="s">
        <v>139</v>
      </c>
      <c r="H734" s="27">
        <f>ROUND((F734/D734)*100, 2)</f>
      </c>
      <c r="I734" s="27">
        <f>ROUND((F734/D734)*250, 2)</f>
      </c>
      <c r="J734" s="27">
        <f>ROUND((F734/D734)*500, 2)</f>
      </c>
    </row>
    <row r="735" ht="20" customHeight="1" spans="1:10" x14ac:dyDescent="0.25">
      <c r="A735" s="12">
        <v>137</v>
      </c>
      <c r="B735" s="12" t="s">
        <v>1155</v>
      </c>
      <c r="C735" s="12" t="s">
        <v>1066</v>
      </c>
      <c r="D735" s="12">
        <v>100</v>
      </c>
      <c r="E735" s="12" t="s">
        <v>562</v>
      </c>
      <c r="F735" s="12">
        <v>8</v>
      </c>
      <c r="G735" s="12" t="s">
        <v>139</v>
      </c>
      <c r="H735" s="25">
        <f>ROUND((F735/D735)*100, 2)</f>
      </c>
      <c r="I735" s="25">
        <f>ROUND((F735/D735)*250, 2)</f>
      </c>
      <c r="J735" s="25">
        <f>ROUND((F735/D735)*500, 2)</f>
      </c>
    </row>
    <row r="736" ht="20" customHeight="1" spans="1:10" x14ac:dyDescent="0.25">
      <c r="A736" s="14">
        <v>183</v>
      </c>
      <c r="B736" s="14" t="s">
        <v>1156</v>
      </c>
      <c r="C736" s="14" t="s">
        <v>917</v>
      </c>
      <c r="D736" s="14">
        <v>100</v>
      </c>
      <c r="E736" s="14" t="s">
        <v>898</v>
      </c>
      <c r="F736" s="14">
        <v>5</v>
      </c>
      <c r="G736" s="14" t="s">
        <v>305</v>
      </c>
      <c r="H736" s="27">
        <f>ROUND((F736/D736)*100, 2)</f>
      </c>
      <c r="I736" s="27">
        <f>ROUND((F736/D736)*250, 2)</f>
      </c>
      <c r="J736" s="27">
        <f>ROUND((F736/D736)*500, 2)</f>
      </c>
    </row>
    <row r="737" ht="20" customHeight="1" spans="1:10" x14ac:dyDescent="0.25">
      <c r="A737" s="12">
        <v>183</v>
      </c>
      <c r="B737" s="12" t="s">
        <v>1156</v>
      </c>
      <c r="C737" s="12" t="s">
        <v>917</v>
      </c>
      <c r="D737" s="12">
        <v>100</v>
      </c>
      <c r="E737" s="12" t="s">
        <v>918</v>
      </c>
      <c r="F737" s="12">
        <v>10</v>
      </c>
      <c r="G737" s="12" t="s">
        <v>139</v>
      </c>
      <c r="H737" s="25">
        <f>ROUND((F737/D737)*100, 2)</f>
      </c>
      <c r="I737" s="25">
        <f>ROUND((F737/D737)*250, 2)</f>
      </c>
      <c r="J737" s="25">
        <f>ROUND((F737/D737)*500, 2)</f>
      </c>
    </row>
    <row r="738" ht="20" customHeight="1" spans="1:10" x14ac:dyDescent="0.25">
      <c r="A738" s="14">
        <v>183</v>
      </c>
      <c r="B738" s="14" t="s">
        <v>1156</v>
      </c>
      <c r="C738" s="14" t="s">
        <v>917</v>
      </c>
      <c r="D738" s="14">
        <v>100</v>
      </c>
      <c r="E738" s="14" t="s">
        <v>328</v>
      </c>
      <c r="F738" s="14">
        <v>3</v>
      </c>
      <c r="G738" s="14" t="s">
        <v>139</v>
      </c>
      <c r="H738" s="27">
        <f>ROUND((F738/D738)*100, 2)</f>
      </c>
      <c r="I738" s="27">
        <f>ROUND((F738/D738)*250, 2)</f>
      </c>
      <c r="J738" s="27">
        <f>ROUND((F738/D738)*500, 2)</f>
      </c>
    </row>
    <row r="739" ht="20" customHeight="1" spans="1:10" x14ac:dyDescent="0.25">
      <c r="A739" s="12">
        <v>183</v>
      </c>
      <c r="B739" s="12" t="s">
        <v>1156</v>
      </c>
      <c r="C739" s="12" t="s">
        <v>917</v>
      </c>
      <c r="D739" s="12">
        <v>100</v>
      </c>
      <c r="E739" s="12" t="s">
        <v>919</v>
      </c>
      <c r="F739" s="12">
        <v>1</v>
      </c>
      <c r="G739" s="12" t="s">
        <v>139</v>
      </c>
      <c r="H739" s="25">
        <f>ROUND((F739/D739)*100, 2)</f>
      </c>
      <c r="I739" s="25">
        <f>ROUND((F739/D739)*250, 2)</f>
      </c>
      <c r="J739" s="25">
        <f>ROUND((F739/D739)*500, 2)</f>
      </c>
    </row>
    <row r="740" ht="20" customHeight="1" spans="1:10" x14ac:dyDescent="0.25">
      <c r="A740" s="14">
        <v>57</v>
      </c>
      <c r="B740" s="14" t="s">
        <v>1157</v>
      </c>
      <c r="C740" s="14" t="s">
        <v>948</v>
      </c>
      <c r="D740" s="14">
        <v>100</v>
      </c>
      <c r="E740" s="14" t="s">
        <v>950</v>
      </c>
      <c r="F740" s="14">
        <v>10</v>
      </c>
      <c r="G740" s="14" t="s">
        <v>139</v>
      </c>
      <c r="H740" s="27">
        <f>ROUND((F740/D740)*100, 2)</f>
      </c>
      <c r="I740" s="27">
        <f>ROUND((F740/D740)*250, 2)</f>
      </c>
      <c r="J740" s="27">
        <f>ROUND((F740/D740)*500, 2)</f>
      </c>
    </row>
    <row r="741" ht="20" customHeight="1" spans="1:10" x14ac:dyDescent="0.25">
      <c r="A741" s="12">
        <v>57</v>
      </c>
      <c r="B741" s="12" t="s">
        <v>1157</v>
      </c>
      <c r="C741" s="12" t="s">
        <v>948</v>
      </c>
      <c r="D741" s="12">
        <v>100</v>
      </c>
      <c r="E741" s="12" t="s">
        <v>949</v>
      </c>
      <c r="F741" s="12">
        <v>20</v>
      </c>
      <c r="G741" s="12" t="s">
        <v>139</v>
      </c>
      <c r="H741" s="25">
        <f>ROUND((F741/D741)*100, 2)</f>
      </c>
      <c r="I741" s="25">
        <f>ROUND((F741/D741)*250, 2)</f>
      </c>
      <c r="J741" s="25">
        <f>ROUND((F741/D741)*500, 2)</f>
      </c>
    </row>
    <row r="742" ht="20" customHeight="1" spans="1:10" x14ac:dyDescent="0.25">
      <c r="A742" s="14">
        <v>57</v>
      </c>
      <c r="B742" s="14" t="s">
        <v>1157</v>
      </c>
      <c r="C742" s="14" t="s">
        <v>948</v>
      </c>
      <c r="D742" s="14">
        <v>100</v>
      </c>
      <c r="E742" s="14" t="s">
        <v>951</v>
      </c>
      <c r="F742" s="14">
        <v>1</v>
      </c>
      <c r="G742" s="14" t="s">
        <v>139</v>
      </c>
      <c r="H742" s="27">
        <f>ROUND((F742/D742)*100, 2)</f>
      </c>
      <c r="I742" s="27">
        <f>ROUND((F742/D742)*250, 2)</f>
      </c>
      <c r="J742" s="27">
        <f>ROUND((F742/D742)*500, 2)</f>
      </c>
    </row>
    <row r="743" ht="20" customHeight="1" spans="1:10" x14ac:dyDescent="0.25">
      <c r="A743" s="12">
        <v>57</v>
      </c>
      <c r="B743" s="12" t="s">
        <v>1157</v>
      </c>
      <c r="C743" s="12" t="s">
        <v>948</v>
      </c>
      <c r="D743" s="12">
        <v>100</v>
      </c>
      <c r="E743" s="12" t="s">
        <v>900</v>
      </c>
      <c r="F743" s="12">
        <v>2</v>
      </c>
      <c r="G743" s="12" t="s">
        <v>305</v>
      </c>
      <c r="H743" s="25">
        <f>ROUND((F743/D743)*100, 2)</f>
      </c>
      <c r="I743" s="25">
        <f>ROUND((F743/D743)*250, 2)</f>
      </c>
      <c r="J743" s="25">
        <f>ROUND((F743/D743)*500, 2)</f>
      </c>
    </row>
    <row r="744" ht="20" customHeight="1" spans="1:10" x14ac:dyDescent="0.25">
      <c r="A744" s="14">
        <v>5</v>
      </c>
      <c r="B744" s="14" t="s">
        <v>1158</v>
      </c>
      <c r="C744" s="14" t="s">
        <v>897</v>
      </c>
      <c r="D744" s="14">
        <v>100</v>
      </c>
      <c r="E744" s="14" t="s">
        <v>900</v>
      </c>
      <c r="F744" s="14">
        <v>1</v>
      </c>
      <c r="G744" s="14" t="s">
        <v>305</v>
      </c>
      <c r="H744" s="27">
        <f>ROUND((F744/D744)*100, 2)</f>
      </c>
      <c r="I744" s="27">
        <f>ROUND((F744/D744)*250, 2)</f>
      </c>
      <c r="J744" s="27">
        <f>ROUND((F744/D744)*500, 2)</f>
      </c>
    </row>
    <row r="745" ht="20" customHeight="1" spans="1:10" x14ac:dyDescent="0.25">
      <c r="A745" s="12">
        <v>5</v>
      </c>
      <c r="B745" s="12" t="s">
        <v>1158</v>
      </c>
      <c r="C745" s="12" t="s">
        <v>897</v>
      </c>
      <c r="D745" s="12">
        <v>100</v>
      </c>
      <c r="E745" s="12" t="s">
        <v>898</v>
      </c>
      <c r="F745" s="12">
        <v>3</v>
      </c>
      <c r="G745" s="12" t="s">
        <v>139</v>
      </c>
      <c r="H745" s="25">
        <f>ROUND((F745/D745)*100, 2)</f>
      </c>
      <c r="I745" s="25">
        <f>ROUND((F745/D745)*250, 2)</f>
      </c>
      <c r="J745" s="25">
        <f>ROUND((F745/D745)*500, 2)</f>
      </c>
    </row>
    <row r="746" ht="20" customHeight="1" spans="1:10" x14ac:dyDescent="0.25">
      <c r="A746" s="14">
        <v>5</v>
      </c>
      <c r="B746" s="14" t="s">
        <v>1158</v>
      </c>
      <c r="C746" s="14" t="s">
        <v>897</v>
      </c>
      <c r="D746" s="14">
        <v>100</v>
      </c>
      <c r="E746" s="14" t="s">
        <v>899</v>
      </c>
      <c r="F746" s="14">
        <v>15</v>
      </c>
      <c r="G746" s="14" t="s">
        <v>139</v>
      </c>
      <c r="H746" s="27">
        <f>ROUND((F746/D746)*100, 2)</f>
      </c>
      <c r="I746" s="27">
        <f>ROUND((F746/D746)*250, 2)</f>
      </c>
      <c r="J746" s="27">
        <f>ROUND((F746/D746)*500, 2)</f>
      </c>
    </row>
    <row r="747" ht="20" customHeight="1" spans="1:10" x14ac:dyDescent="0.25">
      <c r="A747" s="12">
        <v>5</v>
      </c>
      <c r="B747" s="12" t="s">
        <v>1158</v>
      </c>
      <c r="C747" s="12" t="s">
        <v>897</v>
      </c>
      <c r="D747" s="12">
        <v>100</v>
      </c>
      <c r="E747" s="12" t="s">
        <v>901</v>
      </c>
      <c r="F747" s="12">
        <v>10</v>
      </c>
      <c r="G747" s="12" t="s">
        <v>305</v>
      </c>
      <c r="H747" s="25">
        <f>ROUND((F747/D747)*100, 2)</f>
      </c>
      <c r="I747" s="25">
        <f>ROUND((F747/D747)*250, 2)</f>
      </c>
      <c r="J747" s="25">
        <f>ROUND((F747/D747)*500, 2)</f>
      </c>
    </row>
    <row r="748" ht="20" customHeight="1" spans="1:10" x14ac:dyDescent="0.25">
      <c r="A748" s="14">
        <v>54</v>
      </c>
      <c r="B748" s="14" t="s">
        <v>1159</v>
      </c>
      <c r="C748" s="14" t="s">
        <v>1004</v>
      </c>
      <c r="D748" s="14">
        <v>100</v>
      </c>
      <c r="E748" s="14" t="s">
        <v>950</v>
      </c>
      <c r="F748" s="14">
        <v>10</v>
      </c>
      <c r="G748" s="14" t="s">
        <v>139</v>
      </c>
      <c r="H748" s="27">
        <f>ROUND((F748/D748)*100, 2)</f>
      </c>
      <c r="I748" s="27">
        <f>ROUND((F748/D748)*250, 2)</f>
      </c>
      <c r="J748" s="27">
        <f>ROUND((F748/D748)*500, 2)</f>
      </c>
    </row>
    <row r="749" ht="20" customHeight="1" spans="1:10" x14ac:dyDescent="0.25">
      <c r="A749" s="12">
        <v>54</v>
      </c>
      <c r="B749" s="12" t="s">
        <v>1159</v>
      </c>
      <c r="C749" s="12" t="s">
        <v>1004</v>
      </c>
      <c r="D749" s="12">
        <v>100</v>
      </c>
      <c r="E749" s="12" t="s">
        <v>900</v>
      </c>
      <c r="F749" s="12">
        <v>1.5</v>
      </c>
      <c r="G749" s="12" t="s">
        <v>305</v>
      </c>
      <c r="H749" s="25">
        <f>ROUND((F749/D749)*100, 2)</f>
      </c>
      <c r="I749" s="25">
        <f>ROUND((F749/D749)*250, 2)</f>
      </c>
      <c r="J749" s="25">
        <f>ROUND((F749/D749)*500, 2)</f>
      </c>
    </row>
    <row r="750" ht="20" customHeight="1" spans="1:10" x14ac:dyDescent="0.25">
      <c r="A750" s="14">
        <v>54</v>
      </c>
      <c r="B750" s="14" t="s">
        <v>1159</v>
      </c>
      <c r="C750" s="14" t="s">
        <v>1004</v>
      </c>
      <c r="D750" s="14">
        <v>100</v>
      </c>
      <c r="E750" s="14" t="s">
        <v>1006</v>
      </c>
      <c r="F750" s="14">
        <v>2</v>
      </c>
      <c r="G750" s="14" t="s">
        <v>139</v>
      </c>
      <c r="H750" s="27">
        <f>ROUND((F750/D750)*100, 2)</f>
      </c>
      <c r="I750" s="27">
        <f>ROUND((F750/D750)*250, 2)</f>
      </c>
      <c r="J750" s="27">
        <f>ROUND((F750/D750)*500, 2)</f>
      </c>
    </row>
    <row r="751" ht="20" customHeight="1" spans="1:10" x14ac:dyDescent="0.25">
      <c r="A751" s="12">
        <v>54</v>
      </c>
      <c r="B751" s="12" t="s">
        <v>1159</v>
      </c>
      <c r="C751" s="12" t="s">
        <v>1004</v>
      </c>
      <c r="D751" s="12">
        <v>100</v>
      </c>
      <c r="E751" s="12" t="s">
        <v>1005</v>
      </c>
      <c r="F751" s="12">
        <v>12</v>
      </c>
      <c r="G751" s="12" t="s">
        <v>139</v>
      </c>
      <c r="H751" s="25">
        <f>ROUND((F751/D751)*100, 2)</f>
      </c>
      <c r="I751" s="25">
        <f>ROUND((F751/D751)*250, 2)</f>
      </c>
      <c r="J751" s="25">
        <f>ROUND((F751/D751)*500, 2)</f>
      </c>
    </row>
    <row r="752" ht="20" customHeight="1" spans="1:10" x14ac:dyDescent="0.25">
      <c r="A752" s="14">
        <v>108</v>
      </c>
      <c r="B752" s="14" t="s">
        <v>1160</v>
      </c>
      <c r="C752" s="14" t="s">
        <v>944</v>
      </c>
      <c r="D752" s="14">
        <v>100</v>
      </c>
      <c r="E752" s="14" t="s">
        <v>946</v>
      </c>
      <c r="F752" s="14">
        <v>20</v>
      </c>
      <c r="G752" s="14" t="s">
        <v>139</v>
      </c>
      <c r="H752" s="27">
        <f>ROUND((F752/D752)*100, 2)</f>
      </c>
      <c r="I752" s="27">
        <f>ROUND((F752/D752)*250, 2)</f>
      </c>
      <c r="J752" s="27">
        <f>ROUND((F752/D752)*500, 2)</f>
      </c>
    </row>
    <row r="753" ht="20" customHeight="1" spans="1:10" x14ac:dyDescent="0.25">
      <c r="A753" s="12">
        <v>108</v>
      </c>
      <c r="B753" s="12" t="s">
        <v>1160</v>
      </c>
      <c r="C753" s="12" t="s">
        <v>944</v>
      </c>
      <c r="D753" s="12">
        <v>100</v>
      </c>
      <c r="E753" s="12" t="s">
        <v>927</v>
      </c>
      <c r="F753" s="12">
        <v>2</v>
      </c>
      <c r="G753" s="12" t="s">
        <v>305</v>
      </c>
      <c r="H753" s="25">
        <f>ROUND((F753/D753)*100, 2)</f>
      </c>
      <c r="I753" s="25">
        <f>ROUND((F753/D753)*250, 2)</f>
      </c>
      <c r="J753" s="25">
        <f>ROUND((F753/D753)*500, 2)</f>
      </c>
    </row>
    <row r="754" ht="20" customHeight="1" spans="1:10" x14ac:dyDescent="0.25">
      <c r="A754" s="14">
        <v>108</v>
      </c>
      <c r="B754" s="14" t="s">
        <v>1160</v>
      </c>
      <c r="C754" s="14" t="s">
        <v>944</v>
      </c>
      <c r="D754" s="14">
        <v>100</v>
      </c>
      <c r="E754" s="14" t="s">
        <v>900</v>
      </c>
      <c r="F754" s="14">
        <v>1.5</v>
      </c>
      <c r="G754" s="14" t="s">
        <v>305</v>
      </c>
      <c r="H754" s="27">
        <f>ROUND((F754/D754)*100, 2)</f>
      </c>
      <c r="I754" s="27">
        <f>ROUND((F754/D754)*250, 2)</f>
      </c>
      <c r="J754" s="27">
        <f>ROUND((F754/D754)*500, 2)</f>
      </c>
    </row>
    <row r="755" ht="20" customHeight="1" spans="1:10" x14ac:dyDescent="0.25">
      <c r="A755" s="12">
        <v>108</v>
      </c>
      <c r="B755" s="12" t="s">
        <v>1160</v>
      </c>
      <c r="C755" s="12" t="s">
        <v>944</v>
      </c>
      <c r="D755" s="12">
        <v>100</v>
      </c>
      <c r="E755" s="12" t="s">
        <v>945</v>
      </c>
      <c r="F755" s="12">
        <v>8</v>
      </c>
      <c r="G755" s="12" t="s">
        <v>139</v>
      </c>
      <c r="H755" s="25">
        <f>ROUND((F755/D755)*100, 2)</f>
      </c>
      <c r="I755" s="25">
        <f>ROUND((F755/D755)*250, 2)</f>
      </c>
      <c r="J755" s="25">
        <f>ROUND((F755/D755)*500, 2)</f>
      </c>
    </row>
    <row r="756" ht="20" customHeight="1" spans="1:10" x14ac:dyDescent="0.25">
      <c r="A756" s="14">
        <v>32</v>
      </c>
      <c r="B756" s="14" t="s">
        <v>1161</v>
      </c>
      <c r="C756" s="14" t="s">
        <v>897</v>
      </c>
      <c r="D756" s="14">
        <v>100</v>
      </c>
      <c r="E756" s="14" t="s">
        <v>901</v>
      </c>
      <c r="F756" s="14">
        <v>10</v>
      </c>
      <c r="G756" s="14" t="s">
        <v>305</v>
      </c>
      <c r="H756" s="27">
        <f>ROUND((F756/D756)*100, 2)</f>
      </c>
      <c r="I756" s="27">
        <f>ROUND((F756/D756)*250, 2)</f>
      </c>
      <c r="J756" s="27">
        <f>ROUND((F756/D756)*500, 2)</f>
      </c>
    </row>
    <row r="757" ht="20" customHeight="1" spans="1:10" x14ac:dyDescent="0.25">
      <c r="A757" s="12">
        <v>32</v>
      </c>
      <c r="B757" s="12" t="s">
        <v>1161</v>
      </c>
      <c r="C757" s="12" t="s">
        <v>897</v>
      </c>
      <c r="D757" s="12">
        <v>100</v>
      </c>
      <c r="E757" s="12" t="s">
        <v>900</v>
      </c>
      <c r="F757" s="12">
        <v>1</v>
      </c>
      <c r="G757" s="12" t="s">
        <v>305</v>
      </c>
      <c r="H757" s="25">
        <f>ROUND((F757/D757)*100, 2)</f>
      </c>
      <c r="I757" s="25">
        <f>ROUND((F757/D757)*250, 2)</f>
      </c>
      <c r="J757" s="25">
        <f>ROUND((F757/D757)*500, 2)</f>
      </c>
    </row>
    <row r="758" ht="20" customHeight="1" spans="1:10" x14ac:dyDescent="0.25">
      <c r="A758" s="14">
        <v>32</v>
      </c>
      <c r="B758" s="14" t="s">
        <v>1161</v>
      </c>
      <c r="C758" s="14" t="s">
        <v>897</v>
      </c>
      <c r="D758" s="14">
        <v>100</v>
      </c>
      <c r="E758" s="14" t="s">
        <v>899</v>
      </c>
      <c r="F758" s="14">
        <v>15</v>
      </c>
      <c r="G758" s="14" t="s">
        <v>139</v>
      </c>
      <c r="H758" s="27">
        <f>ROUND((F758/D758)*100, 2)</f>
      </c>
      <c r="I758" s="27">
        <f>ROUND((F758/D758)*250, 2)</f>
      </c>
      <c r="J758" s="27">
        <f>ROUND((F758/D758)*500, 2)</f>
      </c>
    </row>
    <row r="759" ht="20" customHeight="1" spans="1:10" x14ac:dyDescent="0.25">
      <c r="A759" s="12">
        <v>32</v>
      </c>
      <c r="B759" s="12" t="s">
        <v>1161</v>
      </c>
      <c r="C759" s="12" t="s">
        <v>897</v>
      </c>
      <c r="D759" s="12">
        <v>100</v>
      </c>
      <c r="E759" s="12" t="s">
        <v>898</v>
      </c>
      <c r="F759" s="12">
        <v>3</v>
      </c>
      <c r="G759" s="12" t="s">
        <v>139</v>
      </c>
      <c r="H759" s="25">
        <f>ROUND((F759/D759)*100, 2)</f>
      </c>
      <c r="I759" s="25">
        <f>ROUND((F759/D759)*250, 2)</f>
      </c>
      <c r="J759" s="25">
        <f>ROUND((F759/D759)*500, 2)</f>
      </c>
    </row>
    <row r="760" ht="20" customHeight="1" spans="1:10" x14ac:dyDescent="0.25">
      <c r="A760" s="14">
        <v>40</v>
      </c>
      <c r="B760" s="14" t="s">
        <v>1162</v>
      </c>
      <c r="C760" s="14" t="s">
        <v>897</v>
      </c>
      <c r="D760" s="14">
        <v>100</v>
      </c>
      <c r="E760" s="14" t="s">
        <v>898</v>
      </c>
      <c r="F760" s="14">
        <v>3</v>
      </c>
      <c r="G760" s="14" t="s">
        <v>139</v>
      </c>
      <c r="H760" s="27">
        <f>ROUND((F760/D760)*100, 2)</f>
      </c>
      <c r="I760" s="27">
        <f>ROUND((F760/D760)*250, 2)</f>
      </c>
      <c r="J760" s="27">
        <f>ROUND((F760/D760)*500, 2)</f>
      </c>
    </row>
    <row r="761" ht="20" customHeight="1" spans="1:10" x14ac:dyDescent="0.25">
      <c r="A761" s="12">
        <v>40</v>
      </c>
      <c r="B761" s="12" t="s">
        <v>1162</v>
      </c>
      <c r="C761" s="12" t="s">
        <v>897</v>
      </c>
      <c r="D761" s="12">
        <v>100</v>
      </c>
      <c r="E761" s="12" t="s">
        <v>900</v>
      </c>
      <c r="F761" s="12">
        <v>1</v>
      </c>
      <c r="G761" s="12" t="s">
        <v>305</v>
      </c>
      <c r="H761" s="25">
        <f>ROUND((F761/D761)*100, 2)</f>
      </c>
      <c r="I761" s="25">
        <f>ROUND((F761/D761)*250, 2)</f>
      </c>
      <c r="J761" s="25">
        <f>ROUND((F761/D761)*500, 2)</f>
      </c>
    </row>
    <row r="762" ht="20" customHeight="1" spans="1:10" x14ac:dyDescent="0.25">
      <c r="A762" s="14">
        <v>40</v>
      </c>
      <c r="B762" s="14" t="s">
        <v>1162</v>
      </c>
      <c r="C762" s="14" t="s">
        <v>897</v>
      </c>
      <c r="D762" s="14">
        <v>100</v>
      </c>
      <c r="E762" s="14" t="s">
        <v>899</v>
      </c>
      <c r="F762" s="14">
        <v>15</v>
      </c>
      <c r="G762" s="14" t="s">
        <v>139</v>
      </c>
      <c r="H762" s="27">
        <f>ROUND((F762/D762)*100, 2)</f>
      </c>
      <c r="I762" s="27">
        <f>ROUND((F762/D762)*250, 2)</f>
      </c>
      <c r="J762" s="27">
        <f>ROUND((F762/D762)*500, 2)</f>
      </c>
    </row>
    <row r="763" ht="20" customHeight="1" spans="1:10" x14ac:dyDescent="0.25">
      <c r="A763" s="12">
        <v>40</v>
      </c>
      <c r="B763" s="12" t="s">
        <v>1162</v>
      </c>
      <c r="C763" s="12" t="s">
        <v>897</v>
      </c>
      <c r="D763" s="12">
        <v>100</v>
      </c>
      <c r="E763" s="12" t="s">
        <v>901</v>
      </c>
      <c r="F763" s="12">
        <v>10</v>
      </c>
      <c r="G763" s="12" t="s">
        <v>305</v>
      </c>
      <c r="H763" s="25">
        <f>ROUND((F763/D763)*100, 2)</f>
      </c>
      <c r="I763" s="25">
        <f>ROUND((F763/D763)*250, 2)</f>
      </c>
      <c r="J763" s="25">
        <f>ROUND((F763/D763)*500, 2)</f>
      </c>
    </row>
    <row r="764" ht="20" customHeight="1" spans="1:10" x14ac:dyDescent="0.25">
      <c r="A764" s="14">
        <v>28</v>
      </c>
      <c r="B764" s="14" t="s">
        <v>1163</v>
      </c>
      <c r="C764" s="14" t="s">
        <v>897</v>
      </c>
      <c r="D764" s="14">
        <v>100</v>
      </c>
      <c r="E764" s="14" t="s">
        <v>900</v>
      </c>
      <c r="F764" s="14">
        <v>1</v>
      </c>
      <c r="G764" s="14" t="s">
        <v>305</v>
      </c>
      <c r="H764" s="27">
        <f>ROUND((F764/D764)*100, 2)</f>
      </c>
      <c r="I764" s="27">
        <f>ROUND((F764/D764)*250, 2)</f>
      </c>
      <c r="J764" s="27">
        <f>ROUND((F764/D764)*500, 2)</f>
      </c>
    </row>
    <row r="765" ht="20" customHeight="1" spans="1:10" x14ac:dyDescent="0.25">
      <c r="A765" s="12">
        <v>28</v>
      </c>
      <c r="B765" s="12" t="s">
        <v>1163</v>
      </c>
      <c r="C765" s="12" t="s">
        <v>897</v>
      </c>
      <c r="D765" s="12">
        <v>100</v>
      </c>
      <c r="E765" s="12" t="s">
        <v>899</v>
      </c>
      <c r="F765" s="12">
        <v>15</v>
      </c>
      <c r="G765" s="12" t="s">
        <v>139</v>
      </c>
      <c r="H765" s="25">
        <f>ROUND((F765/D765)*100, 2)</f>
      </c>
      <c r="I765" s="25">
        <f>ROUND((F765/D765)*250, 2)</f>
      </c>
      <c r="J765" s="25">
        <f>ROUND((F765/D765)*500, 2)</f>
      </c>
    </row>
    <row r="766" ht="20" customHeight="1" spans="1:10" x14ac:dyDescent="0.25">
      <c r="A766" s="14">
        <v>28</v>
      </c>
      <c r="B766" s="14" t="s">
        <v>1163</v>
      </c>
      <c r="C766" s="14" t="s">
        <v>897</v>
      </c>
      <c r="D766" s="14">
        <v>100</v>
      </c>
      <c r="E766" s="14" t="s">
        <v>898</v>
      </c>
      <c r="F766" s="14">
        <v>3</v>
      </c>
      <c r="G766" s="14" t="s">
        <v>139</v>
      </c>
      <c r="H766" s="27">
        <f>ROUND((F766/D766)*100, 2)</f>
      </c>
      <c r="I766" s="27">
        <f>ROUND((F766/D766)*250, 2)</f>
      </c>
      <c r="J766" s="27">
        <f>ROUND((F766/D766)*500, 2)</f>
      </c>
    </row>
    <row r="767" ht="20" customHeight="1" spans="1:10" x14ac:dyDescent="0.25">
      <c r="A767" s="12">
        <v>28</v>
      </c>
      <c r="B767" s="12" t="s">
        <v>1163</v>
      </c>
      <c r="C767" s="12" t="s">
        <v>897</v>
      </c>
      <c r="D767" s="12">
        <v>100</v>
      </c>
      <c r="E767" s="12" t="s">
        <v>901</v>
      </c>
      <c r="F767" s="12">
        <v>10</v>
      </c>
      <c r="G767" s="12" t="s">
        <v>305</v>
      </c>
      <c r="H767" s="25">
        <f>ROUND((F767/D767)*100, 2)</f>
      </c>
      <c r="I767" s="25">
        <f>ROUND((F767/D767)*250, 2)</f>
      </c>
      <c r="J767" s="25">
        <f>ROUND((F767/D767)*500, 2)</f>
      </c>
    </row>
    <row r="768" ht="20" customHeight="1" spans="1:10" x14ac:dyDescent="0.25">
      <c r="A768" s="14">
        <v>9</v>
      </c>
      <c r="B768" s="14" t="s">
        <v>1164</v>
      </c>
      <c r="C768" s="14" t="s">
        <v>897</v>
      </c>
      <c r="D768" s="14">
        <v>100</v>
      </c>
      <c r="E768" s="14" t="s">
        <v>901</v>
      </c>
      <c r="F768" s="14">
        <v>10</v>
      </c>
      <c r="G768" s="14" t="s">
        <v>305</v>
      </c>
      <c r="H768" s="27">
        <f>ROUND((F768/D768)*100, 2)</f>
      </c>
      <c r="I768" s="27">
        <f>ROUND((F768/D768)*250, 2)</f>
      </c>
      <c r="J768" s="27">
        <f>ROUND((F768/D768)*500, 2)</f>
      </c>
    </row>
    <row r="769" ht="20" customHeight="1" spans="1:10" x14ac:dyDescent="0.25">
      <c r="A769" s="12">
        <v>9</v>
      </c>
      <c r="B769" s="12" t="s">
        <v>1164</v>
      </c>
      <c r="C769" s="12" t="s">
        <v>897</v>
      </c>
      <c r="D769" s="12">
        <v>100</v>
      </c>
      <c r="E769" s="12" t="s">
        <v>898</v>
      </c>
      <c r="F769" s="12">
        <v>3</v>
      </c>
      <c r="G769" s="12" t="s">
        <v>139</v>
      </c>
      <c r="H769" s="25">
        <f>ROUND((F769/D769)*100, 2)</f>
      </c>
      <c r="I769" s="25">
        <f>ROUND((F769/D769)*250, 2)</f>
      </c>
      <c r="J769" s="25">
        <f>ROUND((F769/D769)*500, 2)</f>
      </c>
    </row>
    <row r="770" ht="20" customHeight="1" spans="1:10" x14ac:dyDescent="0.25">
      <c r="A770" s="14">
        <v>9</v>
      </c>
      <c r="B770" s="14" t="s">
        <v>1164</v>
      </c>
      <c r="C770" s="14" t="s">
        <v>897</v>
      </c>
      <c r="D770" s="14">
        <v>100</v>
      </c>
      <c r="E770" s="14" t="s">
        <v>899</v>
      </c>
      <c r="F770" s="14">
        <v>15</v>
      </c>
      <c r="G770" s="14" t="s">
        <v>139</v>
      </c>
      <c r="H770" s="27">
        <f>ROUND((F770/D770)*100, 2)</f>
      </c>
      <c r="I770" s="27">
        <f>ROUND((F770/D770)*250, 2)</f>
      </c>
      <c r="J770" s="27">
        <f>ROUND((F770/D770)*500, 2)</f>
      </c>
    </row>
    <row r="771" ht="20" customHeight="1" spans="1:10" x14ac:dyDescent="0.25">
      <c r="A771" s="12">
        <v>9</v>
      </c>
      <c r="B771" s="12" t="s">
        <v>1164</v>
      </c>
      <c r="C771" s="12" t="s">
        <v>897</v>
      </c>
      <c r="D771" s="12">
        <v>100</v>
      </c>
      <c r="E771" s="12" t="s">
        <v>900</v>
      </c>
      <c r="F771" s="12">
        <v>1</v>
      </c>
      <c r="G771" s="12" t="s">
        <v>305</v>
      </c>
      <c r="H771" s="25">
        <f>ROUND((F771/D771)*100, 2)</f>
      </c>
      <c r="I771" s="25">
        <f>ROUND((F771/D771)*250, 2)</f>
      </c>
      <c r="J771" s="25">
        <f>ROUND((F771/D771)*500, 2)</f>
      </c>
    </row>
    <row r="772" ht="20" customHeight="1" spans="1:10" x14ac:dyDescent="0.25">
      <c r="A772" s="14">
        <v>10</v>
      </c>
      <c r="B772" s="14" t="s">
        <v>1165</v>
      </c>
      <c r="C772" s="14" t="s">
        <v>897</v>
      </c>
      <c r="D772" s="14">
        <v>100</v>
      </c>
      <c r="E772" s="14" t="s">
        <v>898</v>
      </c>
      <c r="F772" s="14">
        <v>3</v>
      </c>
      <c r="G772" s="14" t="s">
        <v>139</v>
      </c>
      <c r="H772" s="27">
        <f>ROUND((F772/D772)*100, 2)</f>
      </c>
      <c r="I772" s="27">
        <f>ROUND((F772/D772)*250, 2)</f>
      </c>
      <c r="J772" s="27">
        <f>ROUND((F772/D772)*500, 2)</f>
      </c>
    </row>
    <row r="773" ht="20" customHeight="1" spans="1:10" x14ac:dyDescent="0.25">
      <c r="A773" s="12">
        <v>10</v>
      </c>
      <c r="B773" s="12" t="s">
        <v>1165</v>
      </c>
      <c r="C773" s="12" t="s">
        <v>897</v>
      </c>
      <c r="D773" s="12">
        <v>100</v>
      </c>
      <c r="E773" s="12" t="s">
        <v>899</v>
      </c>
      <c r="F773" s="12">
        <v>15</v>
      </c>
      <c r="G773" s="12" t="s">
        <v>139</v>
      </c>
      <c r="H773" s="25">
        <f>ROUND((F773/D773)*100, 2)</f>
      </c>
      <c r="I773" s="25">
        <f>ROUND((F773/D773)*250, 2)</f>
      </c>
      <c r="J773" s="25">
        <f>ROUND((F773/D773)*500, 2)</f>
      </c>
    </row>
    <row r="774" ht="20" customHeight="1" spans="1:10" x14ac:dyDescent="0.25">
      <c r="A774" s="14">
        <v>10</v>
      </c>
      <c r="B774" s="14" t="s">
        <v>1165</v>
      </c>
      <c r="C774" s="14" t="s">
        <v>897</v>
      </c>
      <c r="D774" s="14">
        <v>100</v>
      </c>
      <c r="E774" s="14" t="s">
        <v>900</v>
      </c>
      <c r="F774" s="14">
        <v>1</v>
      </c>
      <c r="G774" s="14" t="s">
        <v>305</v>
      </c>
      <c r="H774" s="27">
        <f>ROUND((F774/D774)*100, 2)</f>
      </c>
      <c r="I774" s="27">
        <f>ROUND((F774/D774)*250, 2)</f>
      </c>
      <c r="J774" s="27">
        <f>ROUND((F774/D774)*500, 2)</f>
      </c>
    </row>
    <row r="775" ht="20" customHeight="1" spans="1:10" x14ac:dyDescent="0.25">
      <c r="A775" s="12">
        <v>10</v>
      </c>
      <c r="B775" s="12" t="s">
        <v>1165</v>
      </c>
      <c r="C775" s="12" t="s">
        <v>897</v>
      </c>
      <c r="D775" s="12">
        <v>100</v>
      </c>
      <c r="E775" s="12" t="s">
        <v>901</v>
      </c>
      <c r="F775" s="12">
        <v>10</v>
      </c>
      <c r="G775" s="12" t="s">
        <v>305</v>
      </c>
      <c r="H775" s="25">
        <f>ROUND((F775/D775)*100, 2)</f>
      </c>
      <c r="I775" s="25">
        <f>ROUND((F775/D775)*250, 2)</f>
      </c>
      <c r="J775" s="25">
        <f>ROUND((F775/D775)*500, 2)</f>
      </c>
    </row>
    <row r="776" ht="20" customHeight="1" spans="1:10" x14ac:dyDescent="0.25">
      <c r="A776" s="14">
        <v>224</v>
      </c>
      <c r="B776" s="14" t="s">
        <v>1166</v>
      </c>
      <c r="C776" s="14" t="s">
        <v>930</v>
      </c>
      <c r="D776" s="14">
        <v>100</v>
      </c>
      <c r="E776" s="14" t="s">
        <v>931</v>
      </c>
      <c r="F776" s="14">
        <v>6</v>
      </c>
      <c r="G776" s="14" t="s">
        <v>139</v>
      </c>
      <c r="H776" s="27">
        <f>ROUND((F776/D776)*100, 2)</f>
      </c>
      <c r="I776" s="27">
        <f>ROUND((F776/D776)*250, 2)</f>
      </c>
      <c r="J776" s="27">
        <f>ROUND((F776/D776)*500, 2)</f>
      </c>
    </row>
    <row r="777" ht="20" customHeight="1" spans="1:10" x14ac:dyDescent="0.25">
      <c r="A777" s="12">
        <v>224</v>
      </c>
      <c r="B777" s="12" t="s">
        <v>1166</v>
      </c>
      <c r="C777" s="12" t="s">
        <v>930</v>
      </c>
      <c r="D777" s="12">
        <v>100</v>
      </c>
      <c r="E777" s="12" t="s">
        <v>540</v>
      </c>
      <c r="F777" s="12">
        <v>15</v>
      </c>
      <c r="G777" s="12" t="s">
        <v>305</v>
      </c>
      <c r="H777" s="25">
        <f>ROUND((F777/D777)*100, 2)</f>
      </c>
      <c r="I777" s="25">
        <f>ROUND((F777/D777)*250, 2)</f>
      </c>
      <c r="J777" s="25">
        <f>ROUND((F777/D777)*500, 2)</f>
      </c>
    </row>
    <row r="778" ht="20" customHeight="1" spans="1:10" x14ac:dyDescent="0.25">
      <c r="A778" s="14">
        <v>224</v>
      </c>
      <c r="B778" s="14" t="s">
        <v>1166</v>
      </c>
      <c r="C778" s="14" t="s">
        <v>930</v>
      </c>
      <c r="D778" s="14">
        <v>100</v>
      </c>
      <c r="E778" s="14" t="s">
        <v>134</v>
      </c>
      <c r="F778" s="14">
        <v>2</v>
      </c>
      <c r="G778" s="14" t="s">
        <v>305</v>
      </c>
      <c r="H778" s="27">
        <f>ROUND((F778/D778)*100, 2)</f>
      </c>
      <c r="I778" s="27">
        <f>ROUND((F778/D778)*250, 2)</f>
      </c>
      <c r="J778" s="27">
        <f>ROUND((F778/D778)*500, 2)</f>
      </c>
    </row>
    <row r="779" ht="20" customHeight="1" spans="1:10" x14ac:dyDescent="0.25">
      <c r="A779" s="12">
        <v>143</v>
      </c>
      <c r="B779" s="12" t="s">
        <v>1167</v>
      </c>
      <c r="C779" s="12" t="s">
        <v>994</v>
      </c>
      <c r="D779" s="12">
        <v>100</v>
      </c>
      <c r="E779" s="12" t="s">
        <v>995</v>
      </c>
      <c r="F779" s="12">
        <v>10</v>
      </c>
      <c r="G779" s="12" t="s">
        <v>139</v>
      </c>
      <c r="H779" s="25">
        <f>ROUND((F779/D779)*100, 2)</f>
      </c>
      <c r="I779" s="25">
        <f>ROUND((F779/D779)*250, 2)</f>
      </c>
      <c r="J779" s="25">
        <f>ROUND((F779/D779)*500, 2)</f>
      </c>
    </row>
    <row r="780" ht="20" customHeight="1" spans="1:10" x14ac:dyDescent="0.25">
      <c r="A780" s="14">
        <v>143</v>
      </c>
      <c r="B780" s="14" t="s">
        <v>1167</v>
      </c>
      <c r="C780" s="14" t="s">
        <v>994</v>
      </c>
      <c r="D780" s="14">
        <v>100</v>
      </c>
      <c r="E780" s="14" t="s">
        <v>264</v>
      </c>
      <c r="F780" s="14">
        <v>2</v>
      </c>
      <c r="G780" s="14" t="s">
        <v>139</v>
      </c>
      <c r="H780" s="27">
        <f>ROUND((F780/D780)*100, 2)</f>
      </c>
      <c r="I780" s="27">
        <f>ROUND((F780/D780)*250, 2)</f>
      </c>
      <c r="J780" s="27">
        <f>ROUND((F780/D780)*500, 2)</f>
      </c>
    </row>
    <row r="781" ht="20" customHeight="1" spans="1:10" x14ac:dyDescent="0.25">
      <c r="A781" s="12">
        <v>143</v>
      </c>
      <c r="B781" s="12" t="s">
        <v>1167</v>
      </c>
      <c r="C781" s="12" t="s">
        <v>994</v>
      </c>
      <c r="D781" s="12">
        <v>100</v>
      </c>
      <c r="E781" s="12" t="s">
        <v>909</v>
      </c>
      <c r="F781" s="12">
        <v>4</v>
      </c>
      <c r="G781" s="12" t="s">
        <v>139</v>
      </c>
      <c r="H781" s="25">
        <f>ROUND((F781/D781)*100, 2)</f>
      </c>
      <c r="I781" s="25">
        <f>ROUND((F781/D781)*250, 2)</f>
      </c>
      <c r="J781" s="25">
        <f>ROUND((F781/D781)*500, 2)</f>
      </c>
    </row>
    <row r="782" ht="20" customHeight="1" spans="1:10" x14ac:dyDescent="0.25">
      <c r="A782" s="14">
        <v>143</v>
      </c>
      <c r="B782" s="14" t="s">
        <v>1167</v>
      </c>
      <c r="C782" s="14" t="s">
        <v>994</v>
      </c>
      <c r="D782" s="14">
        <v>100</v>
      </c>
      <c r="E782" s="14" t="s">
        <v>996</v>
      </c>
      <c r="F782" s="14">
        <v>100</v>
      </c>
      <c r="G782" s="14" t="s">
        <v>127</v>
      </c>
      <c r="H782" s="27">
        <f>ROUND((F782/D782)*100, 2)</f>
      </c>
      <c r="I782" s="27">
        <f>ROUND((F782/D782)*250, 2)</f>
      </c>
      <c r="J782" s="27">
        <f>ROUND((F782/D782)*500, 2)</f>
      </c>
    </row>
    <row r="783" ht="20" customHeight="1" spans="1:10" x14ac:dyDescent="0.25">
      <c r="A783" s="12">
        <v>144</v>
      </c>
      <c r="B783" s="12" t="s">
        <v>1168</v>
      </c>
      <c r="C783" s="12" t="s">
        <v>994</v>
      </c>
      <c r="D783" s="12">
        <v>100</v>
      </c>
      <c r="E783" s="12" t="s">
        <v>996</v>
      </c>
      <c r="F783" s="12">
        <v>100</v>
      </c>
      <c r="G783" s="12" t="s">
        <v>127</v>
      </c>
      <c r="H783" s="25">
        <f>ROUND((F783/D783)*100, 2)</f>
      </c>
      <c r="I783" s="25">
        <f>ROUND((F783/D783)*250, 2)</f>
      </c>
      <c r="J783" s="25">
        <f>ROUND((F783/D783)*500, 2)</f>
      </c>
    </row>
    <row r="784" ht="20" customHeight="1" spans="1:10" x14ac:dyDescent="0.25">
      <c r="A784" s="14">
        <v>144</v>
      </c>
      <c r="B784" s="14" t="s">
        <v>1168</v>
      </c>
      <c r="C784" s="14" t="s">
        <v>994</v>
      </c>
      <c r="D784" s="14">
        <v>100</v>
      </c>
      <c r="E784" s="14" t="s">
        <v>995</v>
      </c>
      <c r="F784" s="14">
        <v>10</v>
      </c>
      <c r="G784" s="14" t="s">
        <v>139</v>
      </c>
      <c r="H784" s="27">
        <f>ROUND((F784/D784)*100, 2)</f>
      </c>
      <c r="I784" s="27">
        <f>ROUND((F784/D784)*250, 2)</f>
      </c>
      <c r="J784" s="27">
        <f>ROUND((F784/D784)*500, 2)</f>
      </c>
    </row>
    <row r="785" ht="20" customHeight="1" spans="1:10" x14ac:dyDescent="0.25">
      <c r="A785" s="12">
        <v>144</v>
      </c>
      <c r="B785" s="12" t="s">
        <v>1168</v>
      </c>
      <c r="C785" s="12" t="s">
        <v>994</v>
      </c>
      <c r="D785" s="12">
        <v>100</v>
      </c>
      <c r="E785" s="12" t="s">
        <v>909</v>
      </c>
      <c r="F785" s="12">
        <v>4</v>
      </c>
      <c r="G785" s="12" t="s">
        <v>139</v>
      </c>
      <c r="H785" s="25">
        <f>ROUND((F785/D785)*100, 2)</f>
      </c>
      <c r="I785" s="25">
        <f>ROUND((F785/D785)*250, 2)</f>
      </c>
      <c r="J785" s="25">
        <f>ROUND((F785/D785)*500, 2)</f>
      </c>
    </row>
    <row r="786" ht="20" customHeight="1" spans="1:10" x14ac:dyDescent="0.25">
      <c r="A786" s="14">
        <v>144</v>
      </c>
      <c r="B786" s="14" t="s">
        <v>1168</v>
      </c>
      <c r="C786" s="14" t="s">
        <v>994</v>
      </c>
      <c r="D786" s="14">
        <v>100</v>
      </c>
      <c r="E786" s="14" t="s">
        <v>264</v>
      </c>
      <c r="F786" s="14">
        <v>2</v>
      </c>
      <c r="G786" s="14" t="s">
        <v>139</v>
      </c>
      <c r="H786" s="27">
        <f>ROUND((F786/D786)*100, 2)</f>
      </c>
      <c r="I786" s="27">
        <f>ROUND((F786/D786)*250, 2)</f>
      </c>
      <c r="J786" s="27">
        <f>ROUND((F786/D786)*500, 2)</f>
      </c>
    </row>
    <row r="787" ht="20" customHeight="1" spans="1:10" x14ac:dyDescent="0.25">
      <c r="A787" s="12">
        <v>149</v>
      </c>
      <c r="B787" s="12" t="s">
        <v>1169</v>
      </c>
      <c r="C787" s="12" t="s">
        <v>994</v>
      </c>
      <c r="D787" s="12">
        <v>100</v>
      </c>
      <c r="E787" s="12" t="s">
        <v>995</v>
      </c>
      <c r="F787" s="12">
        <v>10</v>
      </c>
      <c r="G787" s="12" t="s">
        <v>139</v>
      </c>
      <c r="H787" s="25">
        <f>ROUND((F787/D787)*100, 2)</f>
      </c>
      <c r="I787" s="25">
        <f>ROUND((F787/D787)*250, 2)</f>
      </c>
      <c r="J787" s="25">
        <f>ROUND((F787/D787)*500, 2)</f>
      </c>
    </row>
    <row r="788" ht="20" customHeight="1" spans="1:10" x14ac:dyDescent="0.25">
      <c r="A788" s="14">
        <v>149</v>
      </c>
      <c r="B788" s="14" t="s">
        <v>1169</v>
      </c>
      <c r="C788" s="14" t="s">
        <v>994</v>
      </c>
      <c r="D788" s="14">
        <v>100</v>
      </c>
      <c r="E788" s="14" t="s">
        <v>264</v>
      </c>
      <c r="F788" s="14">
        <v>2</v>
      </c>
      <c r="G788" s="14" t="s">
        <v>139</v>
      </c>
      <c r="H788" s="27">
        <f>ROUND((F788/D788)*100, 2)</f>
      </c>
      <c r="I788" s="27">
        <f>ROUND((F788/D788)*250, 2)</f>
      </c>
      <c r="J788" s="27">
        <f>ROUND((F788/D788)*500, 2)</f>
      </c>
    </row>
    <row r="789" ht="20" customHeight="1" spans="1:10" x14ac:dyDescent="0.25">
      <c r="A789" s="12">
        <v>149</v>
      </c>
      <c r="B789" s="12" t="s">
        <v>1169</v>
      </c>
      <c r="C789" s="12" t="s">
        <v>994</v>
      </c>
      <c r="D789" s="12">
        <v>100</v>
      </c>
      <c r="E789" s="12" t="s">
        <v>909</v>
      </c>
      <c r="F789" s="12">
        <v>4</v>
      </c>
      <c r="G789" s="12" t="s">
        <v>139</v>
      </c>
      <c r="H789" s="25">
        <f>ROUND((F789/D789)*100, 2)</f>
      </c>
      <c r="I789" s="25">
        <f>ROUND((F789/D789)*250, 2)</f>
      </c>
      <c r="J789" s="25">
        <f>ROUND((F789/D789)*500, 2)</f>
      </c>
    </row>
    <row r="790" ht="20" customHeight="1" spans="1:10" x14ac:dyDescent="0.25">
      <c r="A790" s="14">
        <v>149</v>
      </c>
      <c r="B790" s="14" t="s">
        <v>1169</v>
      </c>
      <c r="C790" s="14" t="s">
        <v>994</v>
      </c>
      <c r="D790" s="14">
        <v>100</v>
      </c>
      <c r="E790" s="14" t="s">
        <v>996</v>
      </c>
      <c r="F790" s="14">
        <v>100</v>
      </c>
      <c r="G790" s="14" t="s">
        <v>127</v>
      </c>
      <c r="H790" s="27">
        <f>ROUND((F790/D790)*100, 2)</f>
      </c>
      <c r="I790" s="27">
        <f>ROUND((F790/D790)*250, 2)</f>
      </c>
      <c r="J790" s="27">
        <f>ROUND((F790/D790)*500, 2)</f>
      </c>
    </row>
    <row r="791" ht="20" customHeight="1" spans="1:10" x14ac:dyDescent="0.25">
      <c r="A791" s="12">
        <v>62</v>
      </c>
      <c r="B791" s="12" t="s">
        <v>1170</v>
      </c>
      <c r="C791" s="12" t="s">
        <v>967</v>
      </c>
      <c r="D791" s="12">
        <v>100</v>
      </c>
      <c r="E791" s="12" t="s">
        <v>968</v>
      </c>
      <c r="F791" s="12">
        <v>2</v>
      </c>
      <c r="G791" s="12" t="s">
        <v>139</v>
      </c>
      <c r="H791" s="25">
        <f>ROUND((F791/D791)*100, 2)</f>
      </c>
      <c r="I791" s="25">
        <f>ROUND((F791/D791)*250, 2)</f>
      </c>
      <c r="J791" s="25">
        <f>ROUND((F791/D791)*500, 2)</f>
      </c>
    </row>
    <row r="792" ht="20" customHeight="1" spans="1:10" x14ac:dyDescent="0.25">
      <c r="A792" s="14">
        <v>62</v>
      </c>
      <c r="B792" s="14" t="s">
        <v>1170</v>
      </c>
      <c r="C792" s="14" t="s">
        <v>967</v>
      </c>
      <c r="D792" s="14">
        <v>100</v>
      </c>
      <c r="E792" s="14" t="s">
        <v>970</v>
      </c>
      <c r="F792" s="14">
        <v>15</v>
      </c>
      <c r="G792" s="14" t="s">
        <v>139</v>
      </c>
      <c r="H792" s="27">
        <f>ROUND((F792/D792)*100, 2)</f>
      </c>
      <c r="I792" s="27">
        <f>ROUND((F792/D792)*250, 2)</f>
      </c>
      <c r="J792" s="27">
        <f>ROUND((F792/D792)*500, 2)</f>
      </c>
    </row>
    <row r="793" ht="20" customHeight="1" spans="1:10" x14ac:dyDescent="0.25">
      <c r="A793" s="12">
        <v>62</v>
      </c>
      <c r="B793" s="12" t="s">
        <v>1170</v>
      </c>
      <c r="C793" s="12" t="s">
        <v>967</v>
      </c>
      <c r="D793" s="12">
        <v>100</v>
      </c>
      <c r="E793" s="12" t="s">
        <v>175</v>
      </c>
      <c r="F793" s="12">
        <v>20</v>
      </c>
      <c r="G793" s="12" t="s">
        <v>139</v>
      </c>
      <c r="H793" s="25">
        <f>ROUND((F793/D793)*100, 2)</f>
      </c>
      <c r="I793" s="25">
        <f>ROUND((F793/D793)*250, 2)</f>
      </c>
      <c r="J793" s="25">
        <f>ROUND((F793/D793)*500, 2)</f>
      </c>
    </row>
    <row r="794" ht="20" customHeight="1" spans="1:10" x14ac:dyDescent="0.25">
      <c r="A794" s="14">
        <v>62</v>
      </c>
      <c r="B794" s="14" t="s">
        <v>1170</v>
      </c>
      <c r="C794" s="14" t="s">
        <v>967</v>
      </c>
      <c r="D794" s="14">
        <v>100</v>
      </c>
      <c r="E794" s="14" t="s">
        <v>969</v>
      </c>
      <c r="F794" s="14">
        <v>1.5</v>
      </c>
      <c r="G794" s="14" t="s">
        <v>139</v>
      </c>
      <c r="H794" s="27">
        <f>ROUND((F794/D794)*100, 2)</f>
      </c>
      <c r="I794" s="27">
        <f>ROUND((F794/D794)*250, 2)</f>
      </c>
      <c r="J794" s="27">
        <f>ROUND((F794/D794)*500, 2)</f>
      </c>
    </row>
    <row r="795" ht="20" customHeight="1" spans="1:10" x14ac:dyDescent="0.25">
      <c r="A795" s="12">
        <v>62</v>
      </c>
      <c r="B795" s="12" t="s">
        <v>1170</v>
      </c>
      <c r="C795" s="12" t="s">
        <v>967</v>
      </c>
      <c r="D795" s="12">
        <v>100</v>
      </c>
      <c r="E795" s="12" t="s">
        <v>399</v>
      </c>
      <c r="F795" s="12">
        <v>2</v>
      </c>
      <c r="G795" s="12" t="s">
        <v>305</v>
      </c>
      <c r="H795" s="25">
        <f>ROUND((F795/D795)*100, 2)</f>
      </c>
      <c r="I795" s="25">
        <f>ROUND((F795/D795)*250, 2)</f>
      </c>
      <c r="J795" s="25">
        <f>ROUND((F795/D795)*500, 2)</f>
      </c>
    </row>
    <row r="796" ht="20" customHeight="1" spans="1:10" x14ac:dyDescent="0.25">
      <c r="A796" s="14">
        <v>163</v>
      </c>
      <c r="B796" s="14" t="s">
        <v>1171</v>
      </c>
      <c r="C796" s="14" t="s">
        <v>1083</v>
      </c>
      <c r="D796" s="14">
        <v>100</v>
      </c>
      <c r="E796" s="14" t="s">
        <v>1084</v>
      </c>
      <c r="F796" s="14">
        <v>15</v>
      </c>
      <c r="G796" s="14" t="s">
        <v>139</v>
      </c>
      <c r="H796" s="27">
        <f>ROUND((F796/D796)*100, 2)</f>
      </c>
      <c r="I796" s="27">
        <f>ROUND((F796/D796)*250, 2)</f>
      </c>
      <c r="J796" s="27">
        <f>ROUND((F796/D796)*500, 2)</f>
      </c>
    </row>
    <row r="797" ht="20" customHeight="1" spans="1:10" x14ac:dyDescent="0.25">
      <c r="A797" s="12">
        <v>163</v>
      </c>
      <c r="B797" s="12" t="s">
        <v>1171</v>
      </c>
      <c r="C797" s="12" t="s">
        <v>1083</v>
      </c>
      <c r="D797" s="12">
        <v>100</v>
      </c>
      <c r="E797" s="12" t="s">
        <v>1085</v>
      </c>
      <c r="F797" s="12">
        <v>3</v>
      </c>
      <c r="G797" s="12" t="s">
        <v>305</v>
      </c>
      <c r="H797" s="25">
        <f>ROUND((F797/D797)*100, 2)</f>
      </c>
      <c r="I797" s="25">
        <f>ROUND((F797/D797)*250, 2)</f>
      </c>
      <c r="J797" s="25">
        <f>ROUND((F797/D797)*500, 2)</f>
      </c>
    </row>
    <row r="798" ht="20" customHeight="1" spans="1:10" x14ac:dyDescent="0.25">
      <c r="A798" s="14">
        <v>109</v>
      </c>
      <c r="B798" s="14" t="s">
        <v>1172</v>
      </c>
      <c r="C798" s="14" t="s">
        <v>944</v>
      </c>
      <c r="D798" s="14">
        <v>100</v>
      </c>
      <c r="E798" s="14" t="s">
        <v>900</v>
      </c>
      <c r="F798" s="14">
        <v>1.5</v>
      </c>
      <c r="G798" s="14" t="s">
        <v>305</v>
      </c>
      <c r="H798" s="27">
        <f>ROUND((F798/D798)*100, 2)</f>
      </c>
      <c r="I798" s="27">
        <f>ROUND((F798/D798)*250, 2)</f>
      </c>
      <c r="J798" s="27">
        <f>ROUND((F798/D798)*500, 2)</f>
      </c>
    </row>
    <row r="799" ht="20" customHeight="1" spans="1:10" x14ac:dyDescent="0.25">
      <c r="A799" s="12">
        <v>109</v>
      </c>
      <c r="B799" s="12" t="s">
        <v>1172</v>
      </c>
      <c r="C799" s="12" t="s">
        <v>944</v>
      </c>
      <c r="D799" s="12">
        <v>100</v>
      </c>
      <c r="E799" s="12" t="s">
        <v>945</v>
      </c>
      <c r="F799" s="12">
        <v>8</v>
      </c>
      <c r="G799" s="12" t="s">
        <v>139</v>
      </c>
      <c r="H799" s="25">
        <f>ROUND((F799/D799)*100, 2)</f>
      </c>
      <c r="I799" s="25">
        <f>ROUND((F799/D799)*250, 2)</f>
      </c>
      <c r="J799" s="25">
        <f>ROUND((F799/D799)*500, 2)</f>
      </c>
    </row>
    <row r="800" ht="20" customHeight="1" spans="1:10" x14ac:dyDescent="0.25">
      <c r="A800" s="14">
        <v>109</v>
      </c>
      <c r="B800" s="14" t="s">
        <v>1172</v>
      </c>
      <c r="C800" s="14" t="s">
        <v>944</v>
      </c>
      <c r="D800" s="14">
        <v>100</v>
      </c>
      <c r="E800" s="14" t="s">
        <v>946</v>
      </c>
      <c r="F800" s="14">
        <v>20</v>
      </c>
      <c r="G800" s="14" t="s">
        <v>139</v>
      </c>
      <c r="H800" s="27">
        <f>ROUND((F800/D800)*100, 2)</f>
      </c>
      <c r="I800" s="27">
        <f>ROUND((F800/D800)*250, 2)</f>
      </c>
      <c r="J800" s="27">
        <f>ROUND((F800/D800)*500, 2)</f>
      </c>
    </row>
    <row r="801" ht="20" customHeight="1" spans="1:10" x14ac:dyDescent="0.25">
      <c r="A801" s="12">
        <v>109</v>
      </c>
      <c r="B801" s="12" t="s">
        <v>1172</v>
      </c>
      <c r="C801" s="12" t="s">
        <v>944</v>
      </c>
      <c r="D801" s="12">
        <v>100</v>
      </c>
      <c r="E801" s="12" t="s">
        <v>927</v>
      </c>
      <c r="F801" s="12">
        <v>2</v>
      </c>
      <c r="G801" s="12" t="s">
        <v>305</v>
      </c>
      <c r="H801" s="25">
        <f>ROUND((F801/D801)*100, 2)</f>
      </c>
      <c r="I801" s="25">
        <f>ROUND((F801/D801)*250, 2)</f>
      </c>
      <c r="J801" s="25">
        <f>ROUND((F801/D801)*500, 2)</f>
      </c>
    </row>
    <row r="802" ht="20" customHeight="1" spans="1:10" x14ac:dyDescent="0.25">
      <c r="A802" s="14">
        <v>148</v>
      </c>
      <c r="B802" s="14" t="s">
        <v>1173</v>
      </c>
      <c r="C802" s="14" t="s">
        <v>994</v>
      </c>
      <c r="D802" s="14">
        <v>100</v>
      </c>
      <c r="E802" s="14" t="s">
        <v>909</v>
      </c>
      <c r="F802" s="14">
        <v>4</v>
      </c>
      <c r="G802" s="14" t="s">
        <v>139</v>
      </c>
      <c r="H802" s="27">
        <f>ROUND((F802/D802)*100, 2)</f>
      </c>
      <c r="I802" s="27">
        <f>ROUND((F802/D802)*250, 2)</f>
      </c>
      <c r="J802" s="27">
        <f>ROUND((F802/D802)*500, 2)</f>
      </c>
    </row>
    <row r="803" ht="20" customHeight="1" spans="1:10" x14ac:dyDescent="0.25">
      <c r="A803" s="12">
        <v>148</v>
      </c>
      <c r="B803" s="12" t="s">
        <v>1173</v>
      </c>
      <c r="C803" s="12" t="s">
        <v>994</v>
      </c>
      <c r="D803" s="12">
        <v>100</v>
      </c>
      <c r="E803" s="12" t="s">
        <v>264</v>
      </c>
      <c r="F803" s="12">
        <v>2</v>
      </c>
      <c r="G803" s="12" t="s">
        <v>139</v>
      </c>
      <c r="H803" s="25">
        <f>ROUND((F803/D803)*100, 2)</f>
      </c>
      <c r="I803" s="25">
        <f>ROUND((F803/D803)*250, 2)</f>
      </c>
      <c r="J803" s="25">
        <f>ROUND((F803/D803)*500, 2)</f>
      </c>
    </row>
    <row r="804" ht="20" customHeight="1" spans="1:10" x14ac:dyDescent="0.25">
      <c r="A804" s="14">
        <v>148</v>
      </c>
      <c r="B804" s="14" t="s">
        <v>1173</v>
      </c>
      <c r="C804" s="14" t="s">
        <v>994</v>
      </c>
      <c r="D804" s="14">
        <v>100</v>
      </c>
      <c r="E804" s="14" t="s">
        <v>996</v>
      </c>
      <c r="F804" s="14">
        <v>100</v>
      </c>
      <c r="G804" s="14" t="s">
        <v>127</v>
      </c>
      <c r="H804" s="27">
        <f>ROUND((F804/D804)*100, 2)</f>
      </c>
      <c r="I804" s="27">
        <f>ROUND((F804/D804)*250, 2)</f>
      </c>
      <c r="J804" s="27">
        <f>ROUND((F804/D804)*500, 2)</f>
      </c>
    </row>
    <row r="805" ht="20" customHeight="1" spans="1:10" x14ac:dyDescent="0.25">
      <c r="A805" s="12">
        <v>148</v>
      </c>
      <c r="B805" s="12" t="s">
        <v>1173</v>
      </c>
      <c r="C805" s="12" t="s">
        <v>994</v>
      </c>
      <c r="D805" s="12">
        <v>100</v>
      </c>
      <c r="E805" s="12" t="s">
        <v>995</v>
      </c>
      <c r="F805" s="12">
        <v>10</v>
      </c>
      <c r="G805" s="12" t="s">
        <v>139</v>
      </c>
      <c r="H805" s="25">
        <f>ROUND((F805/D805)*100, 2)</f>
      </c>
      <c r="I805" s="25">
        <f>ROUND((F805/D805)*250, 2)</f>
      </c>
      <c r="J805" s="25">
        <f>ROUND((F805/D805)*500, 2)</f>
      </c>
    </row>
    <row r="806" ht="20" customHeight="1" spans="1:10" x14ac:dyDescent="0.25">
      <c r="A806" s="14">
        <v>111</v>
      </c>
      <c r="B806" s="14" t="s">
        <v>1174</v>
      </c>
      <c r="C806" s="14" t="s">
        <v>944</v>
      </c>
      <c r="D806" s="14">
        <v>100</v>
      </c>
      <c r="E806" s="14" t="s">
        <v>900</v>
      </c>
      <c r="F806" s="14">
        <v>1.5</v>
      </c>
      <c r="G806" s="14" t="s">
        <v>305</v>
      </c>
      <c r="H806" s="27">
        <f>ROUND((F806/D806)*100, 2)</f>
      </c>
      <c r="I806" s="27">
        <f>ROUND((F806/D806)*250, 2)</f>
      </c>
      <c r="J806" s="27">
        <f>ROUND((F806/D806)*500, 2)</f>
      </c>
    </row>
    <row r="807" ht="20" customHeight="1" spans="1:10" x14ac:dyDescent="0.25">
      <c r="A807" s="12">
        <v>111</v>
      </c>
      <c r="B807" s="12" t="s">
        <v>1174</v>
      </c>
      <c r="C807" s="12" t="s">
        <v>944</v>
      </c>
      <c r="D807" s="12">
        <v>100</v>
      </c>
      <c r="E807" s="12" t="s">
        <v>946</v>
      </c>
      <c r="F807" s="12">
        <v>20</v>
      </c>
      <c r="G807" s="12" t="s">
        <v>139</v>
      </c>
      <c r="H807" s="25">
        <f>ROUND((F807/D807)*100, 2)</f>
      </c>
      <c r="I807" s="25">
        <f>ROUND((F807/D807)*250, 2)</f>
      </c>
      <c r="J807" s="25">
        <f>ROUND((F807/D807)*500, 2)</f>
      </c>
    </row>
    <row r="808" ht="20" customHeight="1" spans="1:10" x14ac:dyDescent="0.25">
      <c r="A808" s="14">
        <v>111</v>
      </c>
      <c r="B808" s="14" t="s">
        <v>1174</v>
      </c>
      <c r="C808" s="14" t="s">
        <v>944</v>
      </c>
      <c r="D808" s="14">
        <v>100</v>
      </c>
      <c r="E808" s="14" t="s">
        <v>945</v>
      </c>
      <c r="F808" s="14">
        <v>8</v>
      </c>
      <c r="G808" s="14" t="s">
        <v>139</v>
      </c>
      <c r="H808" s="27">
        <f>ROUND((F808/D808)*100, 2)</f>
      </c>
      <c r="I808" s="27">
        <f>ROUND((F808/D808)*250, 2)</f>
      </c>
      <c r="J808" s="27">
        <f>ROUND((F808/D808)*500, 2)</f>
      </c>
    </row>
    <row r="809" ht="20" customHeight="1" spans="1:10" x14ac:dyDescent="0.25">
      <c r="A809" s="12">
        <v>111</v>
      </c>
      <c r="B809" s="12" t="s">
        <v>1174</v>
      </c>
      <c r="C809" s="12" t="s">
        <v>944</v>
      </c>
      <c r="D809" s="12">
        <v>100</v>
      </c>
      <c r="E809" s="12" t="s">
        <v>927</v>
      </c>
      <c r="F809" s="12">
        <v>2</v>
      </c>
      <c r="G809" s="12" t="s">
        <v>305</v>
      </c>
      <c r="H809" s="25">
        <f>ROUND((F809/D809)*100, 2)</f>
      </c>
      <c r="I809" s="25">
        <f>ROUND((F809/D809)*250, 2)</f>
      </c>
      <c r="J809" s="25">
        <f>ROUND((F809/D809)*500, 2)</f>
      </c>
    </row>
    <row r="810" ht="20" customHeight="1" spans="1:10" x14ac:dyDescent="0.25">
      <c r="A810" s="14">
        <v>78</v>
      </c>
      <c r="B810" s="14" t="s">
        <v>1175</v>
      </c>
      <c r="C810" s="14" t="s">
        <v>925</v>
      </c>
      <c r="D810" s="14">
        <v>100</v>
      </c>
      <c r="E810" s="14" t="s">
        <v>928</v>
      </c>
      <c r="F810" s="14">
        <v>15</v>
      </c>
      <c r="G810" s="14" t="s">
        <v>139</v>
      </c>
      <c r="H810" s="27">
        <f>ROUND((F810/D810)*100, 2)</f>
      </c>
      <c r="I810" s="27">
        <f>ROUND((F810/D810)*250, 2)</f>
      </c>
      <c r="J810" s="27">
        <f>ROUND((F810/D810)*500, 2)</f>
      </c>
    </row>
    <row r="811" ht="20" customHeight="1" spans="1:10" x14ac:dyDescent="0.25">
      <c r="A811" s="12">
        <v>78</v>
      </c>
      <c r="B811" s="12" t="s">
        <v>1175</v>
      </c>
      <c r="C811" s="12" t="s">
        <v>925</v>
      </c>
      <c r="D811" s="12">
        <v>100</v>
      </c>
      <c r="E811" s="12" t="s">
        <v>926</v>
      </c>
      <c r="F811" s="12">
        <v>2</v>
      </c>
      <c r="G811" s="12" t="s">
        <v>139</v>
      </c>
      <c r="H811" s="25">
        <f>ROUND((F811/D811)*100, 2)</f>
      </c>
      <c r="I811" s="25">
        <f>ROUND((F811/D811)*250, 2)</f>
      </c>
      <c r="J811" s="25">
        <f>ROUND((F811/D811)*500, 2)</f>
      </c>
    </row>
    <row r="812" ht="20" customHeight="1" spans="1:10" x14ac:dyDescent="0.25">
      <c r="A812" s="14">
        <v>78</v>
      </c>
      <c r="B812" s="14" t="s">
        <v>1175</v>
      </c>
      <c r="C812" s="14" t="s">
        <v>925</v>
      </c>
      <c r="D812" s="14">
        <v>100</v>
      </c>
      <c r="E812" s="14" t="s">
        <v>927</v>
      </c>
      <c r="F812" s="14">
        <v>3</v>
      </c>
      <c r="G812" s="14" t="s">
        <v>305</v>
      </c>
      <c r="H812" s="27">
        <f>ROUND((F812/D812)*100, 2)</f>
      </c>
      <c r="I812" s="27">
        <f>ROUND((F812/D812)*250, 2)</f>
      </c>
      <c r="J812" s="27">
        <f>ROUND((F812/D812)*500, 2)</f>
      </c>
    </row>
    <row r="813" ht="20" customHeight="1" spans="1:10" x14ac:dyDescent="0.25">
      <c r="A813" s="12">
        <v>78</v>
      </c>
      <c r="B813" s="12" t="s">
        <v>1175</v>
      </c>
      <c r="C813" s="12" t="s">
        <v>925</v>
      </c>
      <c r="D813" s="12">
        <v>100</v>
      </c>
      <c r="E813" s="12" t="s">
        <v>900</v>
      </c>
      <c r="F813" s="12">
        <v>2</v>
      </c>
      <c r="G813" s="12" t="s">
        <v>305</v>
      </c>
      <c r="H813" s="25">
        <f>ROUND((F813/D813)*100, 2)</f>
      </c>
      <c r="I813" s="25">
        <f>ROUND((F813/D813)*250, 2)</f>
      </c>
      <c r="J813" s="25">
        <f>ROUND((F813/D813)*500, 2)</f>
      </c>
    </row>
    <row r="814" ht="20" customHeight="1" spans="1:10" x14ac:dyDescent="0.25">
      <c r="A814" s="14">
        <v>103</v>
      </c>
      <c r="B814" s="14" t="s">
        <v>1176</v>
      </c>
      <c r="C814" s="14" t="s">
        <v>944</v>
      </c>
      <c r="D814" s="14">
        <v>100</v>
      </c>
      <c r="E814" s="14" t="s">
        <v>946</v>
      </c>
      <c r="F814" s="14">
        <v>20</v>
      </c>
      <c r="G814" s="14" t="s">
        <v>139</v>
      </c>
      <c r="H814" s="27">
        <f>ROUND((F814/D814)*100, 2)</f>
      </c>
      <c r="I814" s="27">
        <f>ROUND((F814/D814)*250, 2)</f>
      </c>
      <c r="J814" s="27">
        <f>ROUND((F814/D814)*500, 2)</f>
      </c>
    </row>
    <row r="815" ht="20" customHeight="1" spans="1:10" x14ac:dyDescent="0.25">
      <c r="A815" s="12">
        <v>103</v>
      </c>
      <c r="B815" s="12" t="s">
        <v>1176</v>
      </c>
      <c r="C815" s="12" t="s">
        <v>944</v>
      </c>
      <c r="D815" s="12">
        <v>100</v>
      </c>
      <c r="E815" s="12" t="s">
        <v>945</v>
      </c>
      <c r="F815" s="12">
        <v>8</v>
      </c>
      <c r="G815" s="12" t="s">
        <v>139</v>
      </c>
      <c r="H815" s="25">
        <f>ROUND((F815/D815)*100, 2)</f>
      </c>
      <c r="I815" s="25">
        <f>ROUND((F815/D815)*250, 2)</f>
      </c>
      <c r="J815" s="25">
        <f>ROUND((F815/D815)*500, 2)</f>
      </c>
    </row>
    <row r="816" ht="20" customHeight="1" spans="1:10" x14ac:dyDescent="0.25">
      <c r="A816" s="14">
        <v>103</v>
      </c>
      <c r="B816" s="14" t="s">
        <v>1176</v>
      </c>
      <c r="C816" s="14" t="s">
        <v>944</v>
      </c>
      <c r="D816" s="14">
        <v>100</v>
      </c>
      <c r="E816" s="14" t="s">
        <v>927</v>
      </c>
      <c r="F816" s="14">
        <v>2</v>
      </c>
      <c r="G816" s="14" t="s">
        <v>305</v>
      </c>
      <c r="H816" s="27">
        <f>ROUND((F816/D816)*100, 2)</f>
      </c>
      <c r="I816" s="27">
        <f>ROUND((F816/D816)*250, 2)</f>
      </c>
      <c r="J816" s="27">
        <f>ROUND((F816/D816)*500, 2)</f>
      </c>
    </row>
    <row r="817" ht="20" customHeight="1" spans="1:10" x14ac:dyDescent="0.25">
      <c r="A817" s="12">
        <v>103</v>
      </c>
      <c r="B817" s="12" t="s">
        <v>1176</v>
      </c>
      <c r="C817" s="12" t="s">
        <v>944</v>
      </c>
      <c r="D817" s="12">
        <v>100</v>
      </c>
      <c r="E817" s="12" t="s">
        <v>900</v>
      </c>
      <c r="F817" s="12">
        <v>1.5</v>
      </c>
      <c r="G817" s="12" t="s">
        <v>305</v>
      </c>
      <c r="H817" s="25">
        <f>ROUND((F817/D817)*100, 2)</f>
      </c>
      <c r="I817" s="25">
        <f>ROUND((F817/D817)*250, 2)</f>
      </c>
      <c r="J817" s="25">
        <f>ROUND((F817/D817)*500, 2)</f>
      </c>
    </row>
    <row r="818" ht="20" customHeight="1" spans="1:10" x14ac:dyDescent="0.25">
      <c r="A818" s="14">
        <v>147</v>
      </c>
      <c r="B818" s="14" t="s">
        <v>1177</v>
      </c>
      <c r="C818" s="14" t="s">
        <v>994</v>
      </c>
      <c r="D818" s="14">
        <v>100</v>
      </c>
      <c r="E818" s="14" t="s">
        <v>264</v>
      </c>
      <c r="F818" s="14">
        <v>2</v>
      </c>
      <c r="G818" s="14" t="s">
        <v>139</v>
      </c>
      <c r="H818" s="27">
        <f>ROUND((F818/D818)*100, 2)</f>
      </c>
      <c r="I818" s="27">
        <f>ROUND((F818/D818)*250, 2)</f>
      </c>
      <c r="J818" s="27">
        <f>ROUND((F818/D818)*500, 2)</f>
      </c>
    </row>
    <row r="819" ht="20" customHeight="1" spans="1:10" x14ac:dyDescent="0.25">
      <c r="A819" s="12">
        <v>147</v>
      </c>
      <c r="B819" s="12" t="s">
        <v>1177</v>
      </c>
      <c r="C819" s="12" t="s">
        <v>994</v>
      </c>
      <c r="D819" s="12">
        <v>100</v>
      </c>
      <c r="E819" s="12" t="s">
        <v>909</v>
      </c>
      <c r="F819" s="12">
        <v>4</v>
      </c>
      <c r="G819" s="12" t="s">
        <v>139</v>
      </c>
      <c r="H819" s="25">
        <f>ROUND((F819/D819)*100, 2)</f>
      </c>
      <c r="I819" s="25">
        <f>ROUND((F819/D819)*250, 2)</f>
      </c>
      <c r="J819" s="25">
        <f>ROUND((F819/D819)*500, 2)</f>
      </c>
    </row>
    <row r="820" ht="20" customHeight="1" spans="1:10" x14ac:dyDescent="0.25">
      <c r="A820" s="14">
        <v>147</v>
      </c>
      <c r="B820" s="14" t="s">
        <v>1177</v>
      </c>
      <c r="C820" s="14" t="s">
        <v>994</v>
      </c>
      <c r="D820" s="14">
        <v>100</v>
      </c>
      <c r="E820" s="14" t="s">
        <v>995</v>
      </c>
      <c r="F820" s="14">
        <v>10</v>
      </c>
      <c r="G820" s="14" t="s">
        <v>139</v>
      </c>
      <c r="H820" s="27">
        <f>ROUND((F820/D820)*100, 2)</f>
      </c>
      <c r="I820" s="27">
        <f>ROUND((F820/D820)*250, 2)</f>
      </c>
      <c r="J820" s="27">
        <f>ROUND((F820/D820)*500, 2)</f>
      </c>
    </row>
    <row r="821" ht="20" customHeight="1" spans="1:10" x14ac:dyDescent="0.25">
      <c r="A821" s="12">
        <v>147</v>
      </c>
      <c r="B821" s="12" t="s">
        <v>1177</v>
      </c>
      <c r="C821" s="12" t="s">
        <v>994</v>
      </c>
      <c r="D821" s="12">
        <v>100</v>
      </c>
      <c r="E821" s="12" t="s">
        <v>996</v>
      </c>
      <c r="F821" s="12">
        <v>100</v>
      </c>
      <c r="G821" s="12" t="s">
        <v>127</v>
      </c>
      <c r="H821" s="25">
        <f>ROUND((F821/D821)*100, 2)</f>
      </c>
      <c r="I821" s="25">
        <f>ROUND((F821/D821)*250, 2)</f>
      </c>
      <c r="J821" s="25">
        <f>ROUND((F821/D821)*500, 2)</f>
      </c>
    </row>
    <row r="822" ht="20" customHeight="1" spans="1:10" x14ac:dyDescent="0.25">
      <c r="A822" s="14">
        <v>116</v>
      </c>
      <c r="B822" s="14" t="s">
        <v>1178</v>
      </c>
      <c r="C822" s="14" t="s">
        <v>944</v>
      </c>
      <c r="D822" s="14">
        <v>100</v>
      </c>
      <c r="E822" s="14" t="s">
        <v>927</v>
      </c>
      <c r="F822" s="14">
        <v>2</v>
      </c>
      <c r="G822" s="14" t="s">
        <v>305</v>
      </c>
      <c r="H822" s="27">
        <f>ROUND((F822/D822)*100, 2)</f>
      </c>
      <c r="I822" s="27">
        <f>ROUND((F822/D822)*250, 2)</f>
      </c>
      <c r="J822" s="27">
        <f>ROUND((F822/D822)*500, 2)</f>
      </c>
    </row>
    <row r="823" ht="20" customHeight="1" spans="1:10" x14ac:dyDescent="0.25">
      <c r="A823" s="12">
        <v>116</v>
      </c>
      <c r="B823" s="12" t="s">
        <v>1178</v>
      </c>
      <c r="C823" s="12" t="s">
        <v>944</v>
      </c>
      <c r="D823" s="12">
        <v>100</v>
      </c>
      <c r="E823" s="12" t="s">
        <v>900</v>
      </c>
      <c r="F823" s="12">
        <v>1.5</v>
      </c>
      <c r="G823" s="12" t="s">
        <v>305</v>
      </c>
      <c r="H823" s="25">
        <f>ROUND((F823/D823)*100, 2)</f>
      </c>
      <c r="I823" s="25">
        <f>ROUND((F823/D823)*250, 2)</f>
      </c>
      <c r="J823" s="25">
        <f>ROUND((F823/D823)*500, 2)</f>
      </c>
    </row>
    <row r="824" ht="20" customHeight="1" spans="1:10" x14ac:dyDescent="0.25">
      <c r="A824" s="14">
        <v>116</v>
      </c>
      <c r="B824" s="14" t="s">
        <v>1178</v>
      </c>
      <c r="C824" s="14" t="s">
        <v>944</v>
      </c>
      <c r="D824" s="14">
        <v>100</v>
      </c>
      <c r="E824" s="14" t="s">
        <v>946</v>
      </c>
      <c r="F824" s="14">
        <v>20</v>
      </c>
      <c r="G824" s="14" t="s">
        <v>139</v>
      </c>
      <c r="H824" s="27">
        <f>ROUND((F824/D824)*100, 2)</f>
      </c>
      <c r="I824" s="27">
        <f>ROUND((F824/D824)*250, 2)</f>
      </c>
      <c r="J824" s="27">
        <f>ROUND((F824/D824)*500, 2)</f>
      </c>
    </row>
    <row r="825" ht="20" customHeight="1" spans="1:10" x14ac:dyDescent="0.25">
      <c r="A825" s="12">
        <v>116</v>
      </c>
      <c r="B825" s="12" t="s">
        <v>1178</v>
      </c>
      <c r="C825" s="12" t="s">
        <v>944</v>
      </c>
      <c r="D825" s="12">
        <v>100</v>
      </c>
      <c r="E825" s="12" t="s">
        <v>945</v>
      </c>
      <c r="F825" s="12">
        <v>8</v>
      </c>
      <c r="G825" s="12" t="s">
        <v>139</v>
      </c>
      <c r="H825" s="25">
        <f>ROUND((F825/D825)*100, 2)</f>
      </c>
      <c r="I825" s="25">
        <f>ROUND((F825/D825)*250, 2)</f>
      </c>
      <c r="J825" s="25">
        <f>ROUND((F825/D825)*500, 2)</f>
      </c>
    </row>
    <row r="826" ht="20" customHeight="1" spans="1:10" x14ac:dyDescent="0.25">
      <c r="A826" s="14">
        <v>101</v>
      </c>
      <c r="B826" s="14" t="s">
        <v>1179</v>
      </c>
      <c r="C826" s="14" t="s">
        <v>925</v>
      </c>
      <c r="D826" s="14">
        <v>100</v>
      </c>
      <c r="E826" s="14" t="s">
        <v>900</v>
      </c>
      <c r="F826" s="14">
        <v>2</v>
      </c>
      <c r="G826" s="14" t="s">
        <v>305</v>
      </c>
      <c r="H826" s="27">
        <f>ROUND((F826/D826)*100, 2)</f>
      </c>
      <c r="I826" s="27">
        <f>ROUND((F826/D826)*250, 2)</f>
      </c>
      <c r="J826" s="27">
        <f>ROUND((F826/D826)*500, 2)</f>
      </c>
    </row>
    <row r="827" ht="20" customHeight="1" spans="1:10" x14ac:dyDescent="0.25">
      <c r="A827" s="12">
        <v>101</v>
      </c>
      <c r="B827" s="12" t="s">
        <v>1179</v>
      </c>
      <c r="C827" s="12" t="s">
        <v>925</v>
      </c>
      <c r="D827" s="12">
        <v>100</v>
      </c>
      <c r="E827" s="12" t="s">
        <v>928</v>
      </c>
      <c r="F827" s="12">
        <v>15</v>
      </c>
      <c r="G827" s="12" t="s">
        <v>139</v>
      </c>
      <c r="H827" s="25">
        <f>ROUND((F827/D827)*100, 2)</f>
      </c>
      <c r="I827" s="25">
        <f>ROUND((F827/D827)*250, 2)</f>
      </c>
      <c r="J827" s="25">
        <f>ROUND((F827/D827)*500, 2)</f>
      </c>
    </row>
    <row r="828" ht="20" customHeight="1" spans="1:10" x14ac:dyDescent="0.25">
      <c r="A828" s="14">
        <v>101</v>
      </c>
      <c r="B828" s="14" t="s">
        <v>1179</v>
      </c>
      <c r="C828" s="14" t="s">
        <v>925</v>
      </c>
      <c r="D828" s="14">
        <v>100</v>
      </c>
      <c r="E828" s="14" t="s">
        <v>926</v>
      </c>
      <c r="F828" s="14">
        <v>2</v>
      </c>
      <c r="G828" s="14" t="s">
        <v>139</v>
      </c>
      <c r="H828" s="27">
        <f>ROUND((F828/D828)*100, 2)</f>
      </c>
      <c r="I828" s="27">
        <f>ROUND((F828/D828)*250, 2)</f>
      </c>
      <c r="J828" s="27">
        <f>ROUND((F828/D828)*500, 2)</f>
      </c>
    </row>
    <row r="829" ht="20" customHeight="1" spans="1:10" x14ac:dyDescent="0.25">
      <c r="A829" s="12">
        <v>101</v>
      </c>
      <c r="B829" s="12" t="s">
        <v>1179</v>
      </c>
      <c r="C829" s="12" t="s">
        <v>925</v>
      </c>
      <c r="D829" s="12">
        <v>100</v>
      </c>
      <c r="E829" s="12" t="s">
        <v>927</v>
      </c>
      <c r="F829" s="12">
        <v>3</v>
      </c>
      <c r="G829" s="12" t="s">
        <v>305</v>
      </c>
      <c r="H829" s="25">
        <f>ROUND((F829/D829)*100, 2)</f>
      </c>
      <c r="I829" s="25">
        <f>ROUND((F829/D829)*250, 2)</f>
      </c>
      <c r="J829" s="25">
        <f>ROUND((F829/D829)*500, 2)</f>
      </c>
    </row>
    <row r="830" ht="20" customHeight="1" spans="1:10" x14ac:dyDescent="0.25">
      <c r="A830" s="14">
        <v>140</v>
      </c>
      <c r="B830" s="14" t="s">
        <v>1180</v>
      </c>
      <c r="C830" s="14" t="s">
        <v>1066</v>
      </c>
      <c r="D830" s="14">
        <v>100</v>
      </c>
      <c r="E830" s="14" t="s">
        <v>654</v>
      </c>
      <c r="F830" s="14">
        <v>3</v>
      </c>
      <c r="G830" s="14" t="s">
        <v>139</v>
      </c>
      <c r="H830" s="27">
        <f>ROUND((F830/D830)*100, 2)</f>
      </c>
      <c r="I830" s="27">
        <f>ROUND((F830/D830)*250, 2)</f>
      </c>
      <c r="J830" s="27">
        <f>ROUND((F830/D830)*500, 2)</f>
      </c>
    </row>
    <row r="831" ht="20" customHeight="1" spans="1:10" x14ac:dyDescent="0.25">
      <c r="A831" s="12">
        <v>140</v>
      </c>
      <c r="B831" s="12" t="s">
        <v>1180</v>
      </c>
      <c r="C831" s="12" t="s">
        <v>1066</v>
      </c>
      <c r="D831" s="12">
        <v>100</v>
      </c>
      <c r="E831" s="12" t="s">
        <v>562</v>
      </c>
      <c r="F831" s="12">
        <v>8</v>
      </c>
      <c r="G831" s="12" t="s">
        <v>139</v>
      </c>
      <c r="H831" s="25">
        <f>ROUND((F831/D831)*100, 2)</f>
      </c>
      <c r="I831" s="25">
        <f>ROUND((F831/D831)*250, 2)</f>
      </c>
      <c r="J831" s="25">
        <f>ROUND((F831/D831)*500, 2)</f>
      </c>
    </row>
    <row r="832" ht="20" customHeight="1" spans="1:10" x14ac:dyDescent="0.25">
      <c r="A832" s="14">
        <v>140</v>
      </c>
      <c r="B832" s="14" t="s">
        <v>1180</v>
      </c>
      <c r="C832" s="14" t="s">
        <v>1066</v>
      </c>
      <c r="D832" s="14">
        <v>100</v>
      </c>
      <c r="E832" s="14" t="s">
        <v>1067</v>
      </c>
      <c r="F832" s="14">
        <v>100</v>
      </c>
      <c r="G832" s="14" t="s">
        <v>127</v>
      </c>
      <c r="H832" s="27">
        <f>ROUND((F832/D832)*100, 2)</f>
      </c>
      <c r="I832" s="27">
        <f>ROUND((F832/D832)*250, 2)</f>
      </c>
      <c r="J832" s="27">
        <f>ROUND((F832/D832)*500, 2)</f>
      </c>
    </row>
    <row r="833" ht="20" customHeight="1" spans="1:10" x14ac:dyDescent="0.25">
      <c r="A833" s="12">
        <v>140</v>
      </c>
      <c r="B833" s="12" t="s">
        <v>1180</v>
      </c>
      <c r="C833" s="12" t="s">
        <v>1066</v>
      </c>
      <c r="D833" s="12">
        <v>100</v>
      </c>
      <c r="E833" s="12" t="s">
        <v>1068</v>
      </c>
      <c r="F833" s="12">
        <v>6</v>
      </c>
      <c r="G833" s="12" t="s">
        <v>139</v>
      </c>
      <c r="H833" s="25">
        <f>ROUND((F833/D833)*100, 2)</f>
      </c>
      <c r="I833" s="25">
        <f>ROUND((F833/D833)*250, 2)</f>
      </c>
      <c r="J833" s="25">
        <f>ROUND((F833/D833)*500, 2)</f>
      </c>
    </row>
    <row r="834" ht="20" customHeight="1" spans="1:10" x14ac:dyDescent="0.25">
      <c r="A834" s="14">
        <v>136</v>
      </c>
      <c r="B834" s="14" t="s">
        <v>1181</v>
      </c>
      <c r="C834" s="14" t="s">
        <v>1066</v>
      </c>
      <c r="D834" s="14">
        <v>100</v>
      </c>
      <c r="E834" s="14" t="s">
        <v>654</v>
      </c>
      <c r="F834" s="14">
        <v>3</v>
      </c>
      <c r="G834" s="14" t="s">
        <v>139</v>
      </c>
      <c r="H834" s="27">
        <f>ROUND((F834/D834)*100, 2)</f>
      </c>
      <c r="I834" s="27">
        <f>ROUND((F834/D834)*250, 2)</f>
      </c>
      <c r="J834" s="27">
        <f>ROUND((F834/D834)*500, 2)</f>
      </c>
    </row>
    <row r="835" ht="20" customHeight="1" spans="1:10" x14ac:dyDescent="0.25">
      <c r="A835" s="12">
        <v>136</v>
      </c>
      <c r="B835" s="12" t="s">
        <v>1181</v>
      </c>
      <c r="C835" s="12" t="s">
        <v>1066</v>
      </c>
      <c r="D835" s="12">
        <v>100</v>
      </c>
      <c r="E835" s="12" t="s">
        <v>1068</v>
      </c>
      <c r="F835" s="12">
        <v>6</v>
      </c>
      <c r="G835" s="12" t="s">
        <v>139</v>
      </c>
      <c r="H835" s="25">
        <f>ROUND((F835/D835)*100, 2)</f>
      </c>
      <c r="I835" s="25">
        <f>ROUND((F835/D835)*250, 2)</f>
      </c>
      <c r="J835" s="25">
        <f>ROUND((F835/D835)*500, 2)</f>
      </c>
    </row>
    <row r="836" ht="20" customHeight="1" spans="1:10" x14ac:dyDescent="0.25">
      <c r="A836" s="14">
        <v>136</v>
      </c>
      <c r="B836" s="14" t="s">
        <v>1181</v>
      </c>
      <c r="C836" s="14" t="s">
        <v>1066</v>
      </c>
      <c r="D836" s="14">
        <v>100</v>
      </c>
      <c r="E836" s="14" t="s">
        <v>1067</v>
      </c>
      <c r="F836" s="14">
        <v>100</v>
      </c>
      <c r="G836" s="14" t="s">
        <v>127</v>
      </c>
      <c r="H836" s="27">
        <f>ROUND((F836/D836)*100, 2)</f>
      </c>
      <c r="I836" s="27">
        <f>ROUND((F836/D836)*250, 2)</f>
      </c>
      <c r="J836" s="27">
        <f>ROUND((F836/D836)*500, 2)</f>
      </c>
    </row>
    <row r="837" ht="20" customHeight="1" spans="1:10" x14ac:dyDescent="0.25">
      <c r="A837" s="12">
        <v>136</v>
      </c>
      <c r="B837" s="12" t="s">
        <v>1181</v>
      </c>
      <c r="C837" s="12" t="s">
        <v>1066</v>
      </c>
      <c r="D837" s="12">
        <v>100</v>
      </c>
      <c r="E837" s="12" t="s">
        <v>562</v>
      </c>
      <c r="F837" s="12">
        <v>8</v>
      </c>
      <c r="G837" s="12" t="s">
        <v>139</v>
      </c>
      <c r="H837" s="25">
        <f>ROUND((F837/D837)*100, 2)</f>
      </c>
      <c r="I837" s="25">
        <f>ROUND((F837/D837)*250, 2)</f>
      </c>
      <c r="J837" s="25">
        <f>ROUND((F837/D837)*500, 2)</f>
      </c>
    </row>
    <row r="838" ht="20" customHeight="1" spans="1:10" x14ac:dyDescent="0.25">
      <c r="A838" s="14">
        <v>21</v>
      </c>
      <c r="B838" s="14" t="s">
        <v>1182</v>
      </c>
      <c r="C838" s="14" t="s">
        <v>897</v>
      </c>
      <c r="D838" s="14">
        <v>100</v>
      </c>
      <c r="E838" s="14" t="s">
        <v>899</v>
      </c>
      <c r="F838" s="14">
        <v>15</v>
      </c>
      <c r="G838" s="14" t="s">
        <v>139</v>
      </c>
      <c r="H838" s="27">
        <f>ROUND((F838/D838)*100, 2)</f>
      </c>
      <c r="I838" s="27">
        <f>ROUND((F838/D838)*250, 2)</f>
      </c>
      <c r="J838" s="27">
        <f>ROUND((F838/D838)*500, 2)</f>
      </c>
    </row>
    <row r="839" ht="20" customHeight="1" spans="1:10" x14ac:dyDescent="0.25">
      <c r="A839" s="12">
        <v>21</v>
      </c>
      <c r="B839" s="12" t="s">
        <v>1182</v>
      </c>
      <c r="C839" s="12" t="s">
        <v>897</v>
      </c>
      <c r="D839" s="12">
        <v>100</v>
      </c>
      <c r="E839" s="12" t="s">
        <v>898</v>
      </c>
      <c r="F839" s="12">
        <v>3</v>
      </c>
      <c r="G839" s="12" t="s">
        <v>139</v>
      </c>
      <c r="H839" s="25">
        <f>ROUND((F839/D839)*100, 2)</f>
      </c>
      <c r="I839" s="25">
        <f>ROUND((F839/D839)*250, 2)</f>
      </c>
      <c r="J839" s="25">
        <f>ROUND((F839/D839)*500, 2)</f>
      </c>
    </row>
    <row r="840" ht="20" customHeight="1" spans="1:10" x14ac:dyDescent="0.25">
      <c r="A840" s="14">
        <v>21</v>
      </c>
      <c r="B840" s="14" t="s">
        <v>1182</v>
      </c>
      <c r="C840" s="14" t="s">
        <v>897</v>
      </c>
      <c r="D840" s="14">
        <v>100</v>
      </c>
      <c r="E840" s="14" t="s">
        <v>901</v>
      </c>
      <c r="F840" s="14">
        <v>10</v>
      </c>
      <c r="G840" s="14" t="s">
        <v>305</v>
      </c>
      <c r="H840" s="27">
        <f>ROUND((F840/D840)*100, 2)</f>
      </c>
      <c r="I840" s="27">
        <f>ROUND((F840/D840)*250, 2)</f>
      </c>
      <c r="J840" s="27">
        <f>ROUND((F840/D840)*500, 2)</f>
      </c>
    </row>
    <row r="841" ht="20" customHeight="1" spans="1:10" x14ac:dyDescent="0.25">
      <c r="A841" s="12">
        <v>21</v>
      </c>
      <c r="B841" s="12" t="s">
        <v>1182</v>
      </c>
      <c r="C841" s="12" t="s">
        <v>897</v>
      </c>
      <c r="D841" s="12">
        <v>100</v>
      </c>
      <c r="E841" s="12" t="s">
        <v>900</v>
      </c>
      <c r="F841" s="12">
        <v>1</v>
      </c>
      <c r="G841" s="12" t="s">
        <v>305</v>
      </c>
      <c r="H841" s="25">
        <f>ROUND((F841/D841)*100, 2)</f>
      </c>
      <c r="I841" s="25">
        <f>ROUND((F841/D841)*250, 2)</f>
      </c>
      <c r="J841" s="25">
        <f>ROUND((F841/D841)*500, 2)</f>
      </c>
    </row>
    <row r="842" ht="20" customHeight="1" spans="1:10" x14ac:dyDescent="0.25">
      <c r="A842" s="14">
        <v>218</v>
      </c>
      <c r="B842" s="14" t="s">
        <v>1183</v>
      </c>
      <c r="C842" s="14" t="s">
        <v>940</v>
      </c>
      <c r="D842" s="14">
        <v>100</v>
      </c>
      <c r="E842" s="14" t="s">
        <v>941</v>
      </c>
      <c r="F842" s="14">
        <v>0.5</v>
      </c>
      <c r="G842" s="14" t="s">
        <v>139</v>
      </c>
      <c r="H842" s="27">
        <f>ROUND((F842/D842)*100, 2)</f>
      </c>
      <c r="I842" s="27">
        <f>ROUND((F842/D842)*250, 2)</f>
      </c>
      <c r="J842" s="27">
        <f>ROUND((F842/D842)*500, 2)</f>
      </c>
    </row>
    <row r="843" ht="20" customHeight="1" spans="1:10" x14ac:dyDescent="0.25">
      <c r="A843" s="12">
        <v>218</v>
      </c>
      <c r="B843" s="12" t="s">
        <v>1183</v>
      </c>
      <c r="C843" s="12" t="s">
        <v>940</v>
      </c>
      <c r="D843" s="12">
        <v>100</v>
      </c>
      <c r="E843" s="12" t="s">
        <v>942</v>
      </c>
      <c r="F843" s="12">
        <v>20</v>
      </c>
      <c r="G843" s="12" t="s">
        <v>305</v>
      </c>
      <c r="H843" s="25">
        <f>ROUND((F843/D843)*100, 2)</f>
      </c>
      <c r="I843" s="25">
        <f>ROUND((F843/D843)*250, 2)</f>
      </c>
      <c r="J843" s="25">
        <f>ROUND((F843/D843)*500, 2)</f>
      </c>
    </row>
    <row r="844" ht="20" customHeight="1" spans="1:10" x14ac:dyDescent="0.25">
      <c r="A844" s="14">
        <v>218</v>
      </c>
      <c r="B844" s="14" t="s">
        <v>1183</v>
      </c>
      <c r="C844" s="14" t="s">
        <v>940</v>
      </c>
      <c r="D844" s="14">
        <v>100</v>
      </c>
      <c r="E844" s="14" t="s">
        <v>134</v>
      </c>
      <c r="F844" s="14">
        <v>2</v>
      </c>
      <c r="G844" s="14" t="s">
        <v>305</v>
      </c>
      <c r="H844" s="27">
        <f>ROUND((F844/D844)*100, 2)</f>
      </c>
      <c r="I844" s="27">
        <f>ROUND((F844/D844)*250, 2)</f>
      </c>
      <c r="J844" s="27">
        <f>ROUND((F844/D844)*500, 2)</f>
      </c>
    </row>
    <row r="845" ht="20" customHeight="1" spans="1:10" x14ac:dyDescent="0.25">
      <c r="A845" s="12">
        <v>213</v>
      </c>
      <c r="B845" s="12" t="s">
        <v>1184</v>
      </c>
      <c r="C845" s="12" t="s">
        <v>940</v>
      </c>
      <c r="D845" s="12">
        <v>100</v>
      </c>
      <c r="E845" s="12" t="s">
        <v>942</v>
      </c>
      <c r="F845" s="12">
        <v>20</v>
      </c>
      <c r="G845" s="12" t="s">
        <v>305</v>
      </c>
      <c r="H845" s="25">
        <f>ROUND((F845/D845)*100, 2)</f>
      </c>
      <c r="I845" s="25">
        <f>ROUND((F845/D845)*250, 2)</f>
      </c>
      <c r="J845" s="25">
        <f>ROUND((F845/D845)*500, 2)</f>
      </c>
    </row>
    <row r="846" ht="20" customHeight="1" spans="1:10" x14ac:dyDescent="0.25">
      <c r="A846" s="14">
        <v>213</v>
      </c>
      <c r="B846" s="14" t="s">
        <v>1184</v>
      </c>
      <c r="C846" s="14" t="s">
        <v>940</v>
      </c>
      <c r="D846" s="14">
        <v>100</v>
      </c>
      <c r="E846" s="14" t="s">
        <v>134</v>
      </c>
      <c r="F846" s="14">
        <v>2</v>
      </c>
      <c r="G846" s="14" t="s">
        <v>305</v>
      </c>
      <c r="H846" s="27">
        <f>ROUND((F846/D846)*100, 2)</f>
      </c>
      <c r="I846" s="27">
        <f>ROUND((F846/D846)*250, 2)</f>
      </c>
      <c r="J846" s="27">
        <f>ROUND((F846/D846)*500, 2)</f>
      </c>
    </row>
    <row r="847" ht="20" customHeight="1" spans="1:10" x14ac:dyDescent="0.25">
      <c r="A847" s="12">
        <v>213</v>
      </c>
      <c r="B847" s="12" t="s">
        <v>1184</v>
      </c>
      <c r="C847" s="12" t="s">
        <v>940</v>
      </c>
      <c r="D847" s="12">
        <v>100</v>
      </c>
      <c r="E847" s="12" t="s">
        <v>941</v>
      </c>
      <c r="F847" s="12">
        <v>0.5</v>
      </c>
      <c r="G847" s="12" t="s">
        <v>139</v>
      </c>
      <c r="H847" s="25">
        <f>ROUND((F847/D847)*100, 2)</f>
      </c>
      <c r="I847" s="25">
        <f>ROUND((F847/D847)*250, 2)</f>
      </c>
      <c r="J847" s="25">
        <f>ROUND((F847/D847)*500, 2)</f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706"/>
  </sheetPr>
  <dimension ref="B2:G60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22" customWidth="1"/>
    <col min="4" max="4" width="14" customWidth="1"/>
    <col min="5" max="5" width="16" customWidth="1"/>
    <col min="6" max="6" width="18" customWidth="1"/>
    <col min="7" max="7" width="24" customWidth="1"/>
  </cols>
  <sheetData>
    <row r="2" ht="35" customHeight="1" spans="2:7" x14ac:dyDescent="0.25">
      <c r="B2" s="16" t="s">
        <v>1185</v>
      </c>
      <c r="C2" s="16"/>
      <c r="D2" s="16"/>
      <c r="E2" s="16"/>
      <c r="F2" s="16"/>
      <c r="G2" s="16"/>
    </row>
    <row r="4" spans="2:2" x14ac:dyDescent="0.25">
      <c r="B4" s="28" t="s">
        <v>1186</v>
      </c>
    </row>
    <row r="5" spans="2:3" x14ac:dyDescent="0.25">
      <c r="B5" s="14" t="s">
        <v>1187</v>
      </c>
      <c r="C5" s="29" t="s">
        <v>1188</v>
      </c>
    </row>
    <row r="6" spans="2:3" x14ac:dyDescent="0.25">
      <c r="B6" s="14" t="s">
        <v>1189</v>
      </c>
      <c r="C6" s="30">
        <v>1.6</v>
      </c>
    </row>
    <row r="7" spans="2:3" x14ac:dyDescent="0.25">
      <c r="B7" s="14" t="s">
        <v>1190</v>
      </c>
      <c r="C7" s="31">
        <v>1.5</v>
      </c>
    </row>
    <row r="9" spans="2:7" x14ac:dyDescent="0.25">
      <c r="B9" s="32" t="s">
        <v>1191</v>
      </c>
      <c r="C9" s="32"/>
      <c r="D9" s="32"/>
      <c r="E9" s="32"/>
      <c r="F9" s="32"/>
      <c r="G9" s="32"/>
    </row>
    <row r="10" ht="28" customHeight="1" spans="2:7" x14ac:dyDescent="0.25">
      <c r="B10" s="17" t="s">
        <v>105</v>
      </c>
      <c r="C10" s="17" t="s">
        <v>33</v>
      </c>
      <c r="D10" s="17" t="s">
        <v>107</v>
      </c>
      <c r="E10" s="23" t="s">
        <v>1192</v>
      </c>
      <c r="F10" s="23" t="s">
        <v>1193</v>
      </c>
      <c r="G10" s="23" t="s">
        <v>1194</v>
      </c>
    </row>
    <row r="11" ht="20" customHeight="1" spans="2:7" x14ac:dyDescent="0.25">
      <c r="B11" s="12" t="s">
        <v>125</v>
      </c>
      <c r="C11" s="12" t="s">
        <v>97</v>
      </c>
      <c r="D11" s="12" t="s">
        <v>127</v>
      </c>
      <c r="E11" s="25">
        <v>3988</v>
      </c>
      <c r="F11" s="25">
        <f>ROUND(12 * $C$6, 2)</f>
      </c>
      <c r="G11" s="33">
        <f>ROUND(MAX(0, (F11 + (12 * $C$7)) - E11), 2)</f>
      </c>
    </row>
    <row r="12" ht="20" customHeight="1" spans="2:7" x14ac:dyDescent="0.25">
      <c r="B12" s="14" t="s">
        <v>129</v>
      </c>
      <c r="C12" s="14" t="s">
        <v>67</v>
      </c>
      <c r="D12" s="14" t="s">
        <v>127</v>
      </c>
      <c r="E12" s="27">
        <v>8766</v>
      </c>
      <c r="F12" s="27">
        <f>ROUND(2 * $C$6, 2)</f>
      </c>
      <c r="G12" s="34">
        <f>ROUND(MAX(0, (F12 + (2 * $C$7)) - E12), 2)</f>
      </c>
    </row>
    <row r="13" ht="20" customHeight="1" spans="2:7" x14ac:dyDescent="0.25">
      <c r="B13" s="12" t="s">
        <v>131</v>
      </c>
      <c r="C13" s="12" t="s">
        <v>97</v>
      </c>
      <c r="D13" s="12" t="s">
        <v>127</v>
      </c>
      <c r="E13" s="25">
        <v>7198</v>
      </c>
      <c r="F13" s="25">
        <f>ROUND(2 * $C$6, 2)</f>
      </c>
      <c r="G13" s="33">
        <f>ROUND(MAX(0, (F13 + (2 * $C$7)) - E13), 2)</f>
      </c>
    </row>
    <row r="14" ht="20" customHeight="1" spans="2:7" x14ac:dyDescent="0.25">
      <c r="B14" s="14" t="s">
        <v>133</v>
      </c>
      <c r="C14" s="14" t="s">
        <v>85</v>
      </c>
      <c r="D14" s="14" t="s">
        <v>135</v>
      </c>
      <c r="E14" s="27">
        <v>32</v>
      </c>
      <c r="F14" s="27">
        <f>ROUND(6.4 * $C$6, 2)</f>
      </c>
      <c r="G14" s="34">
        <f>ROUND(MAX(0, (F14 + (6.4 * $C$7)) - E14), 2)</f>
      </c>
    </row>
    <row r="15" ht="20" customHeight="1" spans="2:7" x14ac:dyDescent="0.25">
      <c r="B15" s="12" t="s">
        <v>137</v>
      </c>
      <c r="C15" s="12" t="s">
        <v>45</v>
      </c>
      <c r="D15" s="12" t="s">
        <v>139</v>
      </c>
      <c r="E15" s="25">
        <v>14</v>
      </c>
      <c r="F15" s="25">
        <f>ROUND(2 * $C$6, 2)</f>
      </c>
      <c r="G15" s="33">
        <f>ROUND(MAX(0, (F15 + (2 * $C$7)) - E15), 2)</f>
      </c>
    </row>
    <row r="16" ht="20" customHeight="1" spans="2:7" x14ac:dyDescent="0.25">
      <c r="B16" s="14" t="s">
        <v>141</v>
      </c>
      <c r="C16" s="14" t="s">
        <v>45</v>
      </c>
      <c r="D16" s="14" t="s">
        <v>139</v>
      </c>
      <c r="E16" s="27">
        <v>25.600004</v>
      </c>
      <c r="F16" s="27">
        <f>ROUND(5.12 * $C$6, 2)</f>
      </c>
      <c r="G16" s="34">
        <f>ROUND(MAX(0, (F16 + (5.12 * $C$7)) - E16), 2)</f>
      </c>
    </row>
    <row r="17" ht="20" customHeight="1" spans="2:7" x14ac:dyDescent="0.25">
      <c r="B17" s="12" t="s">
        <v>143</v>
      </c>
      <c r="C17" s="12" t="s">
        <v>73</v>
      </c>
      <c r="D17" s="12" t="s">
        <v>139</v>
      </c>
      <c r="E17" s="25">
        <v>1.5100002</v>
      </c>
      <c r="F17" s="25">
        <f>ROUND(1 * $C$6, 2)</f>
      </c>
      <c r="G17" s="33">
        <f>ROUND(MAX(0, (F17 + (1 * $C$7)) - E17), 2)</f>
      </c>
    </row>
    <row r="18" ht="20" customHeight="1" spans="2:7" x14ac:dyDescent="0.25">
      <c r="B18" s="14" t="s">
        <v>146</v>
      </c>
      <c r="C18" s="14" t="s">
        <v>73</v>
      </c>
      <c r="D18" s="14" t="s">
        <v>139</v>
      </c>
      <c r="E18" s="27">
        <v>96</v>
      </c>
      <c r="F18" s="27">
        <f>ROUND(11.52 * $C$6, 2)</f>
      </c>
      <c r="G18" s="34">
        <f>ROUND(MAX(0, (F18 + (11.52 * $C$7)) - E18), 2)</f>
      </c>
    </row>
    <row r="19" ht="20" customHeight="1" spans="2:7" x14ac:dyDescent="0.25">
      <c r="B19" s="12" t="s">
        <v>148</v>
      </c>
      <c r="C19" s="12" t="s">
        <v>67</v>
      </c>
      <c r="D19" s="12" t="s">
        <v>139</v>
      </c>
      <c r="E19" s="25">
        <v>206.80003</v>
      </c>
      <c r="F19" s="25">
        <f>ROUND(0.56 * $C$6, 2)</f>
      </c>
      <c r="G19" s="33">
        <f>ROUND(MAX(0, (F19 + (0.56 * $C$7)) - E19), 2)</f>
      </c>
    </row>
    <row r="20" ht="20" customHeight="1" spans="2:7" x14ac:dyDescent="0.25">
      <c r="B20" s="14" t="s">
        <v>150</v>
      </c>
      <c r="C20" s="14" t="s">
        <v>97</v>
      </c>
      <c r="D20" s="14" t="s">
        <v>139</v>
      </c>
      <c r="E20" s="27">
        <v>2491.5</v>
      </c>
      <c r="F20" s="27">
        <f>ROUND(7.84 * $C$6, 2)</f>
      </c>
      <c r="G20" s="34">
        <f>ROUND(MAX(0, (F20 + (7.84 * $C$7)) - E20), 2)</f>
      </c>
    </row>
    <row r="21" ht="20" customHeight="1" spans="2:7" x14ac:dyDescent="0.25">
      <c r="B21" s="12" t="s">
        <v>153</v>
      </c>
      <c r="C21" s="12" t="s">
        <v>85</v>
      </c>
      <c r="D21" s="12" t="s">
        <v>139</v>
      </c>
      <c r="E21" s="25">
        <v>370.39993</v>
      </c>
      <c r="F21" s="25">
        <f>ROUND(2 * $C$6, 2)</f>
      </c>
      <c r="G21" s="33">
        <f>ROUND(MAX(0, (F21 + (2 * $C$7)) - E21), 2)</f>
      </c>
    </row>
    <row r="22" ht="20" customHeight="1" spans="2:7" x14ac:dyDescent="0.25">
      <c r="B22" s="14" t="s">
        <v>156</v>
      </c>
      <c r="C22" s="14" t="s">
        <v>67</v>
      </c>
      <c r="D22" s="14" t="s">
        <v>157</v>
      </c>
      <c r="E22" s="27">
        <v>182</v>
      </c>
      <c r="F22" s="27">
        <f>ROUND(1.67 * $C$6, 2)</f>
      </c>
      <c r="G22" s="34">
        <f>ROUND(MAX(0, (F22 + (1.67 * $C$7)) - E22), 2)</f>
      </c>
    </row>
    <row r="23" ht="20" customHeight="1" spans="2:7" x14ac:dyDescent="0.25">
      <c r="B23" s="12" t="s">
        <v>159</v>
      </c>
      <c r="C23" s="12" t="s">
        <v>61</v>
      </c>
      <c r="D23" s="12" t="s">
        <v>139</v>
      </c>
      <c r="E23" s="25">
        <v>22.399998</v>
      </c>
      <c r="F23" s="25">
        <f>ROUND(0.4 * $C$6, 2)</f>
      </c>
      <c r="G23" s="33">
        <f>ROUND(MAX(0, (F23 + (0.4 * $C$7)) - E23), 2)</f>
      </c>
    </row>
    <row r="24" ht="20" customHeight="1" spans="2:7" x14ac:dyDescent="0.25">
      <c r="B24" s="14" t="s">
        <v>162</v>
      </c>
      <c r="C24" s="14" t="s">
        <v>97</v>
      </c>
      <c r="D24" s="14" t="s">
        <v>127</v>
      </c>
      <c r="E24" s="27">
        <v>244</v>
      </c>
      <c r="F24" s="27">
        <f>ROUND(2.4 * $C$6, 2)</f>
      </c>
      <c r="G24" s="34">
        <f>ROUND(MAX(0, (F24 + (2.4 * $C$7)) - E24), 2)</f>
      </c>
    </row>
    <row r="25" ht="20" customHeight="1" spans="2:7" x14ac:dyDescent="0.25">
      <c r="B25" s="12" t="s">
        <v>164</v>
      </c>
      <c r="C25" s="12" t="s">
        <v>61</v>
      </c>
      <c r="D25" s="12" t="s">
        <v>165</v>
      </c>
      <c r="E25" s="25">
        <v>0</v>
      </c>
      <c r="F25" s="25">
        <f>ROUND(0.3 * $C$6, 2)</f>
      </c>
      <c r="G25" s="33">
        <f>ROUND(MAX(0, (F25 + (0.3 * $C$7)) - E25), 2)</f>
      </c>
    </row>
    <row r="26" ht="20" customHeight="1" spans="2:7" x14ac:dyDescent="0.25">
      <c r="B26" s="14" t="s">
        <v>167</v>
      </c>
      <c r="C26" s="14" t="s">
        <v>79</v>
      </c>
      <c r="D26" s="14" t="s">
        <v>127</v>
      </c>
      <c r="E26" s="27">
        <v>627</v>
      </c>
      <c r="F26" s="27">
        <f>ROUND(2.6 * $C$6, 2)</f>
      </c>
      <c r="G26" s="34">
        <f>ROUND(MAX(0, (F26 + (2.6 * $C$7)) - E26), 2)</f>
      </c>
    </row>
    <row r="27" ht="20" customHeight="1" spans="2:7" x14ac:dyDescent="0.25">
      <c r="B27" s="12" t="s">
        <v>170</v>
      </c>
      <c r="C27" s="12" t="s">
        <v>55</v>
      </c>
      <c r="D27" s="12" t="s">
        <v>127</v>
      </c>
      <c r="E27" s="25">
        <v>667.5</v>
      </c>
      <c r="F27" s="25">
        <f>ROUND(0.9 * $C$6, 2)</f>
      </c>
      <c r="G27" s="33">
        <f>ROUND(MAX(0, (F27 + (0.9 * $C$7)) - E27), 2)</f>
      </c>
    </row>
    <row r="28" ht="20" customHeight="1" spans="2:7" x14ac:dyDescent="0.25">
      <c r="B28" s="14" t="s">
        <v>173</v>
      </c>
      <c r="C28" s="14" t="s">
        <v>67</v>
      </c>
      <c r="D28" s="14" t="s">
        <v>139</v>
      </c>
      <c r="E28" s="27">
        <v>17.71</v>
      </c>
      <c r="F28" s="27">
        <f>ROUND(8.47 * $C$6, 2)</f>
      </c>
      <c r="G28" s="34">
        <f>ROUND(MAX(0, (F28 + (8.47 * $C$7)) - E28), 2)</f>
      </c>
    </row>
    <row r="29" ht="20" customHeight="1" spans="2:7" x14ac:dyDescent="0.25">
      <c r="B29" s="12" t="s">
        <v>175</v>
      </c>
      <c r="C29" s="12" t="s">
        <v>55</v>
      </c>
      <c r="D29" s="12" t="s">
        <v>139</v>
      </c>
      <c r="E29" s="25">
        <v>4685</v>
      </c>
      <c r="F29" s="25">
        <f>ROUND(7 * $C$6, 2)</f>
      </c>
      <c r="G29" s="33">
        <f>ROUND(MAX(0, (F29 + (7 * $C$7)) - E29), 2)</f>
      </c>
    </row>
    <row r="30" ht="20" customHeight="1" spans="2:7" x14ac:dyDescent="0.25">
      <c r="B30" s="14" t="s">
        <v>178</v>
      </c>
      <c r="C30" s="14" t="s">
        <v>61</v>
      </c>
      <c r="D30" s="14" t="s">
        <v>179</v>
      </c>
      <c r="E30" s="27">
        <v>67</v>
      </c>
      <c r="F30" s="27">
        <f>ROUND(2.6 * $C$6, 2)</f>
      </c>
      <c r="G30" s="34">
        <f>ROUND(MAX(0, (F30 + (2.6 * $C$7)) - E30), 2)</f>
      </c>
    </row>
    <row r="31" ht="20" customHeight="1" spans="2:7" x14ac:dyDescent="0.25">
      <c r="B31" s="12" t="s">
        <v>181</v>
      </c>
      <c r="C31" s="12" t="s">
        <v>61</v>
      </c>
      <c r="D31" s="12" t="s">
        <v>135</v>
      </c>
      <c r="E31" s="25">
        <v>43</v>
      </c>
      <c r="F31" s="25">
        <f>ROUND(1 * $C$6, 2)</f>
      </c>
      <c r="G31" s="33">
        <f>ROUND(MAX(0, (F31 + (1 * $C$7)) - E31), 2)</f>
      </c>
    </row>
    <row r="32" ht="20" customHeight="1" spans="2:7" x14ac:dyDescent="0.25">
      <c r="B32" s="14" t="s">
        <v>183</v>
      </c>
      <c r="C32" s="14" t="s">
        <v>85</v>
      </c>
      <c r="D32" s="14" t="s">
        <v>139</v>
      </c>
      <c r="E32" s="27">
        <v>0</v>
      </c>
      <c r="F32" s="27">
        <f>ROUND(0.5 * $C$6, 2)</f>
      </c>
      <c r="G32" s="34">
        <f>ROUND(MAX(0, (F32 + (0.5 * $C$7)) - E32), 2)</f>
      </c>
    </row>
    <row r="33" ht="20" customHeight="1" spans="2:7" x14ac:dyDescent="0.25">
      <c r="B33" s="12" t="s">
        <v>185</v>
      </c>
      <c r="C33" s="12" t="s">
        <v>61</v>
      </c>
      <c r="D33" s="12" t="s">
        <v>135</v>
      </c>
      <c r="E33" s="25">
        <v>78</v>
      </c>
      <c r="F33" s="25">
        <f>ROUND(2 * $C$6, 2)</f>
      </c>
      <c r="G33" s="33">
        <f>ROUND(MAX(0, (F33 + (2 * $C$7)) - E33), 2)</f>
      </c>
    </row>
    <row r="34" ht="20" customHeight="1" spans="2:7" x14ac:dyDescent="0.25">
      <c r="B34" s="14" t="s">
        <v>187</v>
      </c>
      <c r="C34" s="14" t="s">
        <v>55</v>
      </c>
      <c r="D34" s="14" t="s">
        <v>139</v>
      </c>
      <c r="E34" s="27">
        <v>66.93998</v>
      </c>
      <c r="F34" s="27">
        <f>ROUND(50.15 * $C$6, 2)</f>
      </c>
      <c r="G34" s="34">
        <f>ROUND(MAX(0, (F34 + (50.15 * $C$7)) - E34), 2)</f>
      </c>
    </row>
    <row r="35" ht="20" customHeight="1" spans="2:7" x14ac:dyDescent="0.25">
      <c r="B35" s="12" t="s">
        <v>189</v>
      </c>
      <c r="C35" s="12" t="s">
        <v>45</v>
      </c>
      <c r="D35" s="12" t="s">
        <v>139</v>
      </c>
      <c r="E35" s="25">
        <v>51</v>
      </c>
      <c r="F35" s="25">
        <f>ROUND(2.6 * $C$6, 2)</f>
      </c>
      <c r="G35" s="33">
        <f>ROUND(MAX(0, (F35 + (2.6 * $C$7)) - E35), 2)</f>
      </c>
    </row>
    <row r="36" ht="20" customHeight="1" spans="2:7" x14ac:dyDescent="0.25">
      <c r="B36" s="14" t="s">
        <v>191</v>
      </c>
      <c r="C36" s="14" t="s">
        <v>85</v>
      </c>
      <c r="D36" s="14" t="s">
        <v>139</v>
      </c>
      <c r="E36" s="27">
        <v>27.100002</v>
      </c>
      <c r="F36" s="27">
        <f>ROUND(1.3 * $C$6, 2)</f>
      </c>
      <c r="G36" s="34">
        <f>ROUND(MAX(0, (F36 + (1.3 * $C$7)) - E36), 2)</f>
      </c>
    </row>
    <row r="37" ht="20" customHeight="1" spans="2:7" x14ac:dyDescent="0.25">
      <c r="B37" s="12" t="s">
        <v>194</v>
      </c>
      <c r="C37" s="12" t="s">
        <v>61</v>
      </c>
      <c r="D37" s="12" t="s">
        <v>135</v>
      </c>
      <c r="E37" s="25">
        <v>0</v>
      </c>
      <c r="F37" s="25">
        <f>ROUND(3.2 * $C$6, 2)</f>
      </c>
      <c r="G37" s="33">
        <f>ROUND(MAX(0, (F37 + (3.2 * $C$7)) - E37), 2)</f>
      </c>
    </row>
    <row r="38" ht="20" customHeight="1" spans="2:7" x14ac:dyDescent="0.25">
      <c r="B38" s="14" t="s">
        <v>196</v>
      </c>
      <c r="C38" s="14" t="s">
        <v>85</v>
      </c>
      <c r="D38" s="14" t="s">
        <v>139</v>
      </c>
      <c r="E38" s="27">
        <v>21.1</v>
      </c>
      <c r="F38" s="27">
        <f>ROUND(2.18 * $C$6, 2)</f>
      </c>
      <c r="G38" s="34">
        <f>ROUND(MAX(0, (F38 + (2.18 * $C$7)) - E38), 2)</f>
      </c>
    </row>
    <row r="39" ht="20" customHeight="1" spans="2:7" x14ac:dyDescent="0.25">
      <c r="B39" s="12" t="s">
        <v>198</v>
      </c>
      <c r="C39" s="12" t="s">
        <v>97</v>
      </c>
      <c r="D39" s="12" t="s">
        <v>139</v>
      </c>
      <c r="E39" s="25">
        <v>666.8</v>
      </c>
      <c r="F39" s="25">
        <f>ROUND(11.2 * $C$6, 2)</f>
      </c>
      <c r="G39" s="33">
        <f>ROUND(MAX(0, (F39 + (11.2 * $C$7)) - E39), 2)</f>
      </c>
    </row>
    <row r="40" ht="20" customHeight="1" spans="2:7" x14ac:dyDescent="0.25">
      <c r="B40" s="14" t="s">
        <v>200</v>
      </c>
      <c r="C40" s="14" t="s">
        <v>73</v>
      </c>
      <c r="D40" s="14" t="s">
        <v>179</v>
      </c>
      <c r="E40" s="27">
        <v>809</v>
      </c>
      <c r="F40" s="27">
        <f>ROUND(4.6 * $C$6, 2)</f>
      </c>
      <c r="G40" s="34">
        <f>ROUND(MAX(0, (F40 + (4.6 * $C$7)) - E40), 2)</f>
      </c>
    </row>
    <row r="41" ht="20" customHeight="1" spans="2:7" x14ac:dyDescent="0.25">
      <c r="B41" s="12" t="s">
        <v>202</v>
      </c>
      <c r="C41" s="12" t="s">
        <v>85</v>
      </c>
      <c r="D41" s="12" t="s">
        <v>139</v>
      </c>
      <c r="E41" s="25">
        <v>7</v>
      </c>
      <c r="F41" s="25">
        <f>ROUND(1.8 * $C$6, 2)</f>
      </c>
      <c r="G41" s="33">
        <f>ROUND(MAX(0, (F41 + (1.8 * $C$7)) - E41), 2)</f>
      </c>
    </row>
    <row r="42" ht="20" customHeight="1" spans="2:7" x14ac:dyDescent="0.25">
      <c r="B42" s="14" t="s">
        <v>204</v>
      </c>
      <c r="C42" s="14" t="s">
        <v>67</v>
      </c>
      <c r="D42" s="14" t="s">
        <v>127</v>
      </c>
      <c r="E42" s="27">
        <v>7668</v>
      </c>
      <c r="F42" s="27">
        <f>ROUND(204 * $C$6, 2)</f>
      </c>
      <c r="G42" s="34">
        <f>ROUND(MAX(0, (F42 + (204 * $C$7)) - E42), 2)</f>
      </c>
    </row>
    <row r="43" ht="20" customHeight="1" spans="2:7" x14ac:dyDescent="0.25">
      <c r="B43" s="12" t="s">
        <v>206</v>
      </c>
      <c r="C43" s="12" t="s">
        <v>67</v>
      </c>
      <c r="D43" s="12" t="s">
        <v>127</v>
      </c>
      <c r="E43" s="25">
        <v>4496</v>
      </c>
      <c r="F43" s="25">
        <f>ROUND(224.8 * $C$6, 2)</f>
      </c>
      <c r="G43" s="33">
        <f>ROUND(MAX(0, (F43 + (224.8 * $C$7)) - E43), 2)</f>
      </c>
    </row>
    <row r="44" ht="20" customHeight="1" spans="2:7" x14ac:dyDescent="0.25">
      <c r="B44" s="14" t="s">
        <v>208</v>
      </c>
      <c r="C44" s="14" t="s">
        <v>45</v>
      </c>
      <c r="D44" s="14" t="s">
        <v>127</v>
      </c>
      <c r="E44" s="27">
        <v>1600</v>
      </c>
      <c r="F44" s="27">
        <f>ROUND(80 * $C$6, 2)</f>
      </c>
      <c r="G44" s="34">
        <f>ROUND(MAX(0, (F44 + (80 * $C$7)) - E44), 2)</f>
      </c>
    </row>
    <row r="45" ht="20" customHeight="1" spans="2:7" x14ac:dyDescent="0.25">
      <c r="B45" s="12" t="s">
        <v>210</v>
      </c>
      <c r="C45" s="12" t="s">
        <v>45</v>
      </c>
      <c r="D45" s="12" t="s">
        <v>127</v>
      </c>
      <c r="E45" s="25">
        <v>9504</v>
      </c>
      <c r="F45" s="25">
        <f>ROUND(475.2 * $C$6, 2)</f>
      </c>
      <c r="G45" s="33">
        <f>ROUND(MAX(0, (F45 + (475.2 * $C$7)) - E45), 2)</f>
      </c>
    </row>
    <row r="46" ht="20" customHeight="1" spans="2:7" x14ac:dyDescent="0.25">
      <c r="B46" s="14" t="s">
        <v>212</v>
      </c>
      <c r="C46" s="14" t="s">
        <v>45</v>
      </c>
      <c r="D46" s="14" t="s">
        <v>127</v>
      </c>
      <c r="E46" s="27">
        <v>3712</v>
      </c>
      <c r="F46" s="27">
        <f>ROUND(185.6 * $C$6, 2)</f>
      </c>
      <c r="G46" s="34">
        <f>ROUND(MAX(0, (F46 + (185.6 * $C$7)) - E46), 2)</f>
      </c>
    </row>
    <row r="47" ht="20" customHeight="1" spans="2:7" x14ac:dyDescent="0.25">
      <c r="B47" s="12" t="s">
        <v>214</v>
      </c>
      <c r="C47" s="12" t="s">
        <v>55</v>
      </c>
      <c r="D47" s="12" t="s">
        <v>127</v>
      </c>
      <c r="E47" s="25">
        <v>7200</v>
      </c>
      <c r="F47" s="25">
        <f>ROUND(360 * $C$6, 2)</f>
      </c>
      <c r="G47" s="33">
        <f>ROUND(MAX(0, (F47 + (360 * $C$7)) - E47), 2)</f>
      </c>
    </row>
    <row r="48" ht="20" customHeight="1" spans="2:7" x14ac:dyDescent="0.25">
      <c r="B48" s="14" t="s">
        <v>216</v>
      </c>
      <c r="C48" s="14" t="s">
        <v>45</v>
      </c>
      <c r="D48" s="14" t="s">
        <v>127</v>
      </c>
      <c r="E48" s="27">
        <v>3600</v>
      </c>
      <c r="F48" s="27">
        <f>ROUND(180 * $C$6, 2)</f>
      </c>
      <c r="G48" s="34">
        <f>ROUND(MAX(0, (F48 + (180 * $C$7)) - E48), 2)</f>
      </c>
    </row>
    <row r="49" ht="20" customHeight="1" spans="2:7" x14ac:dyDescent="0.25">
      <c r="B49" s="12" t="s">
        <v>218</v>
      </c>
      <c r="C49" s="12" t="s">
        <v>67</v>
      </c>
      <c r="D49" s="12" t="s">
        <v>127</v>
      </c>
      <c r="E49" s="25">
        <v>10400</v>
      </c>
      <c r="F49" s="25">
        <f>ROUND(520 * $C$6, 2)</f>
      </c>
      <c r="G49" s="33">
        <f>ROUND(MAX(0, (F49 + (520 * $C$7)) - E49), 2)</f>
      </c>
    </row>
    <row r="50" ht="20" customHeight="1" spans="2:7" x14ac:dyDescent="0.25">
      <c r="B50" s="14" t="s">
        <v>220</v>
      </c>
      <c r="C50" s="14" t="s">
        <v>85</v>
      </c>
      <c r="D50" s="14" t="s">
        <v>179</v>
      </c>
      <c r="E50" s="27">
        <v>1.5100002</v>
      </c>
      <c r="F50" s="27">
        <f>ROUND(1 * $C$6, 2)</f>
      </c>
      <c r="G50" s="34">
        <f>ROUND(MAX(0, (F50 + (1 * $C$7)) - E50), 2)</f>
      </c>
    </row>
    <row r="51" ht="20" customHeight="1" spans="2:7" x14ac:dyDescent="0.25">
      <c r="B51" s="12" t="s">
        <v>223</v>
      </c>
      <c r="C51" s="12" t="s">
        <v>61</v>
      </c>
      <c r="D51" s="12" t="s">
        <v>179</v>
      </c>
      <c r="E51" s="25">
        <v>80</v>
      </c>
      <c r="F51" s="25">
        <f>ROUND(9.6 * $C$6, 2)</f>
      </c>
      <c r="G51" s="33">
        <f>ROUND(MAX(0, (F51 + (9.6 * $C$7)) - E51), 2)</f>
      </c>
    </row>
    <row r="52" ht="20" customHeight="1" spans="2:7" x14ac:dyDescent="0.25">
      <c r="B52" s="14" t="s">
        <v>225</v>
      </c>
      <c r="C52" s="14" t="s">
        <v>85</v>
      </c>
      <c r="D52" s="14" t="s">
        <v>139</v>
      </c>
      <c r="E52" s="27">
        <v>792</v>
      </c>
      <c r="F52" s="27">
        <f>ROUND(63.36 * $C$6, 2)</f>
      </c>
      <c r="G52" s="34">
        <f>ROUND(MAX(0, (F52 + (63.36 * $C$7)) - E52), 2)</f>
      </c>
    </row>
    <row r="53" ht="20" customHeight="1" spans="2:7" x14ac:dyDescent="0.25">
      <c r="B53" s="12" t="s">
        <v>227</v>
      </c>
      <c r="C53" s="12" t="s">
        <v>67</v>
      </c>
      <c r="D53" s="12" t="s">
        <v>139</v>
      </c>
      <c r="E53" s="25">
        <v>168.80002</v>
      </c>
      <c r="F53" s="25">
        <f>ROUND(20.26 * $C$6, 2)</f>
      </c>
      <c r="G53" s="33">
        <f>ROUND(MAX(0, (F53 + (20.26 * $C$7)) - E53), 2)</f>
      </c>
    </row>
    <row r="54" ht="20" customHeight="1" spans="2:7" x14ac:dyDescent="0.25">
      <c r="B54" s="14" t="s">
        <v>229</v>
      </c>
      <c r="C54" s="14" t="s">
        <v>61</v>
      </c>
      <c r="D54" s="14" t="s">
        <v>139</v>
      </c>
      <c r="E54" s="27">
        <v>14.399998</v>
      </c>
      <c r="F54" s="27">
        <f>ROUND(2.88 * $C$6, 2)</f>
      </c>
      <c r="G54" s="34">
        <f>ROUND(MAX(0, (F54 + (2.88 * $C$7)) - E54), 2)</f>
      </c>
    </row>
    <row r="55" ht="20" customHeight="1" spans="2:7" x14ac:dyDescent="0.25">
      <c r="B55" s="12" t="s">
        <v>231</v>
      </c>
      <c r="C55" s="12" t="s">
        <v>45</v>
      </c>
      <c r="D55" s="12" t="s">
        <v>179</v>
      </c>
      <c r="E55" s="25">
        <v>80</v>
      </c>
      <c r="F55" s="25">
        <f>ROUND(9.6 * $C$6, 2)</f>
      </c>
      <c r="G55" s="33">
        <f>ROUND(MAX(0, (F55 + (9.6 * $C$7)) - E55), 2)</f>
      </c>
    </row>
    <row r="56" ht="20" customHeight="1" spans="2:7" x14ac:dyDescent="0.25">
      <c r="B56" s="14" t="s">
        <v>233</v>
      </c>
      <c r="C56" s="14" t="s">
        <v>61</v>
      </c>
      <c r="D56" s="14" t="s">
        <v>127</v>
      </c>
      <c r="E56" s="27">
        <v>1.5100002</v>
      </c>
      <c r="F56" s="27">
        <f>ROUND(1 * $C$6, 2)</f>
      </c>
      <c r="G56" s="34">
        <f>ROUND(MAX(0, (F56 + (1 * $C$7)) - E56), 2)</f>
      </c>
    </row>
    <row r="57" ht="20" customHeight="1" spans="2:7" x14ac:dyDescent="0.25">
      <c r="B57" s="12" t="s">
        <v>235</v>
      </c>
      <c r="C57" s="12" t="s">
        <v>61</v>
      </c>
      <c r="D57" s="12" t="s">
        <v>127</v>
      </c>
      <c r="E57" s="25">
        <v>192</v>
      </c>
      <c r="F57" s="25">
        <f>ROUND(23.04 * $C$6, 2)</f>
      </c>
      <c r="G57" s="33">
        <f>ROUND(MAX(0, (F57 + (23.04 * $C$7)) - E57), 2)</f>
      </c>
    </row>
    <row r="58" ht="20" customHeight="1" spans="2:7" x14ac:dyDescent="0.25">
      <c r="B58" s="14" t="s">
        <v>237</v>
      </c>
      <c r="C58" s="14" t="s">
        <v>97</v>
      </c>
      <c r="D58" s="14" t="s">
        <v>127</v>
      </c>
      <c r="E58" s="27">
        <v>656</v>
      </c>
      <c r="F58" s="27">
        <f>ROUND(1 * $C$6, 2)</f>
      </c>
      <c r="G58" s="34">
        <f>ROUND(MAX(0, (F58 + (1 * $C$7)) - E58), 2)</f>
      </c>
    </row>
    <row r="59" ht="20" customHeight="1" spans="2:7" x14ac:dyDescent="0.25">
      <c r="B59" s="12" t="s">
        <v>240</v>
      </c>
      <c r="C59" s="12" t="s">
        <v>97</v>
      </c>
      <c r="D59" s="12" t="s">
        <v>127</v>
      </c>
      <c r="E59" s="25">
        <v>880</v>
      </c>
      <c r="F59" s="25">
        <f>ROUND(70.4 * $C$6, 2)</f>
      </c>
      <c r="G59" s="33">
        <f>ROUND(MAX(0, (F59 + (70.4 * $C$7)) - E59), 2)</f>
      </c>
    </row>
    <row r="60" ht="20" customHeight="1" spans="2:7" x14ac:dyDescent="0.25">
      <c r="B60" s="14" t="s">
        <v>242</v>
      </c>
      <c r="C60" s="14" t="s">
        <v>45</v>
      </c>
      <c r="D60" s="14" t="s">
        <v>179</v>
      </c>
      <c r="E60" s="27">
        <v>48</v>
      </c>
      <c r="F60" s="27">
        <f>ROUND(9.6 * $C$6, 2)</f>
      </c>
      <c r="G60" s="34">
        <f>ROUND(MAX(0, (F60 + (9.6 * $C$7)) - E60), 2)</f>
      </c>
    </row>
  </sheetData>
  <mergeCells count="2">
    <mergeCell ref="B2:G2"/>
    <mergeCell ref="B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Dept x Day Patterns</vt:lpstr>
      <vt:lpstr>Item-by-Item Indent Engine</vt:lpstr>
      <vt:lpstr>Recipe Explosion Matrix</vt:lpstr>
      <vt:lpstr>Auto-Indent Simulator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Hotel Kapila Multi-Agent Automation System</dc:creator>
  <dc:title/>
  <dc:subject/>
  <dc:description/>
  <cp:keywords/>
  <cp:category/>
  <cp:lastModifiedBy>QA Test Agent</cp:lastModifiedBy>
  <dcterms:created xsi:type="dcterms:W3CDTF">2026-09-08T13:53:51Z</dcterms:created>
  <dcterms:modified xsi:type="dcterms:W3CDTF">2026-09-08T13:53:51Z</dcterms:modified>
</cp:coreProperties>
</file>