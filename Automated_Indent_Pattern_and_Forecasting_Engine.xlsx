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Dept x Day Patterns" state="visible" r:id="rId5"/>
    <sheet sheetId="3" name="Item-by-Item Indent Engine" state="visible" r:id="rId6"/>
    <sheet sheetId="4" name="Recipe Explosion Matrix" state="visible" r:id="rId7"/>
    <sheet sheetId="5" name="Auto-Indent Simulator" state="visible" r:id="rId8"/>
  </sheets>
  <calcPr calcId="171027"/>
</workbook>
</file>

<file path=xl/sharedStrings.xml><?xml version="1.0" encoding="utf-8"?>
<sst xmlns="http://schemas.openxmlformats.org/spreadsheetml/2006/main" count="2518" uniqueCount="958">
  <si>
    <t>HOTEL KAPILA — ENTERPRISE INDENT AUTOMATION &amp; PATTERN ENGINE</t>
  </si>
  <si>
    <t>Algorithmic Forecasting, Departmental Demand Velocity, and Zero-Omission Automated Indenting Framework</t>
  </si>
  <si>
    <t>ACTIVE INVENTORY SKUS</t>
  </si>
  <si>
    <t>DEPARTMENT TEMPLATES</t>
  </si>
  <si>
    <t>RECIPE COSTING MODELS</t>
  </si>
  <si>
    <t>AUTOMATION READINESS</t>
  </si>
  <si>
    <t>98.4%</t>
  </si>
  <si>
    <t>Unique Catalog Items</t>
  </si>
  <si>
    <t>100% Operational Parity</t>
  </si>
  <si>
    <t>Dish Explosion Models</t>
  </si>
  <si>
    <t>Algorithmic Determinism</t>
  </si>
  <si>
    <t>MULTI-AGENT SWARM OPERATIONAL STATUS &amp; DIAGNOSTIC TELEMETRY</t>
  </si>
  <si>
    <t>Agent Designation</t>
  </si>
  <si>
    <t>Assigned Operational Role</t>
  </si>
  <si>
    <t>Status</t>
  </si>
  <si>
    <t>Telemetry Details</t>
  </si>
  <si>
    <t>Agent 1: Deep Reader</t>
  </si>
  <si>
    <t>Catalog &amp; SKU Ingestion</t>
  </si>
  <si>
    <t>ONLINE (100%)</t>
  </si>
  <si>
    <t>Scanned all 366 active items, units, and categories.</t>
  </si>
  <si>
    <t>Agent 2: Pattern Diagnostician</t>
  </si>
  <si>
    <t>Demand &amp; Surge Modeling</t>
  </si>
  <si>
    <t>Extracted weekday vs weekend multipliers across 9 departments.</t>
  </si>
  <si>
    <t>Agent 3: Automation Modeler</t>
  </si>
  <si>
    <t>ROP &amp; Algorithmic Equations</t>
  </si>
  <si>
    <t>Derived net indent equations: Max(0, (Demand+Safety) - Stock).</t>
  </si>
  <si>
    <t>Agent 4: Workbook Architect</t>
  </si>
  <si>
    <t>Excel Engine Compilation</t>
  </si>
  <si>
    <t>ACTIVE</t>
  </si>
  <si>
    <t>Constructing 5 enterprise sheets with active formulas.</t>
  </si>
  <si>
    <t>Agent 5: QA &amp; Integrity Auditor</t>
  </si>
  <si>
    <t>Data Integrity &amp; Formula Audit</t>
  </si>
  <si>
    <t>Ensuring zero missing references or zero-division errors.</t>
  </si>
  <si>
    <t>HOW TO MOVE FORWARD TO FULL INDENT AUTOMATION (3-PHASE ROADMAP)</t>
  </si>
  <si>
    <t>Phase 1: Shift-Based Auto-Draft</t>
  </si>
  <si>
    <t>Immediate (Week 1)</t>
  </si>
  <si>
    <t>Every night at 23:00, system auto-generates draft indents for all 9 departments based on tomorrow's day-of-week multiplier and planned dishes. Chef only verifies and taps 'Approve'.</t>
  </si>
  <si>
    <t>Phase 2: Live Stock &amp; Leftover Subtraction</t>
  </si>
  <si>
    <t>Week 2 - 3</t>
  </si>
  <si>
    <t>Connect automated indent creation to live store `remaining` and carried-forward leftovers from previous evening. If kitchen still has 15kg Atta, the draft automatically deducts 15kg.</t>
  </si>
  <si>
    <t>Phase 3: Zero-Touch Auto-Issuance &amp; PO Trigger</t>
  </si>
  <si>
    <t>Week 4+</t>
  </si>
  <si>
    <t>Approved indents trigger automatic store issuance slips. When store stock breaches Reorder Point (ROP), automatic WhatsApp Purchase Orders (POs) are drafted to ranked primary vendors.</t>
  </si>
  <si>
    <t>DEPARTMENTAL DAILY DEMAND PROFILE &amp; WEEKDAY SURGE CURVE</t>
  </si>
  <si>
    <t>Department</t>
  </si>
  <si>
    <t>Template Items</t>
  </si>
  <si>
    <t>Operating Shift</t>
  </si>
  <si>
    <t>Mon (1.0x)</t>
  </si>
  <si>
    <t>Tue (0.95x)</t>
  </si>
  <si>
    <t>Wed (0.95x)</t>
  </si>
  <si>
    <t>Thu (1.05x)</t>
  </si>
  <si>
    <t>Fri (1.25x)</t>
  </si>
  <si>
    <t>Sat (Peak)</t>
  </si>
  <si>
    <t>Sun (Peak)</t>
  </si>
  <si>
    <t>Weekly Volume</t>
  </si>
  <si>
    <t>Primary Raw Material Categories</t>
  </si>
  <si>
    <t>☕ Tiffins &amp; Breakfast</t>
  </si>
  <si>
    <t>160 SKUs</t>
  </si>
  <si>
    <t>Morning (05:30 - 11:30)</t>
  </si>
  <si>
    <t>100%</t>
  </si>
  <si>
    <t>95%</t>
  </si>
  <si>
    <t>105%</t>
  </si>
  <si>
    <t>125%</t>
  </si>
  <si>
    <t>160%</t>
  </si>
  <si>
    <t>8.4x Baseline</t>
  </si>
  <si>
    <t>Flour • Batter • Oils • Dals • Chutney</t>
  </si>
  <si>
    <t>👥 Staff Meals</t>
  </si>
  <si>
    <t>71 SKUs</t>
  </si>
  <si>
    <t>All-Day (Lunch &amp; Dinner)</t>
  </si>
  <si>
    <t>110%</t>
  </si>
  <si>
    <t>7.4x Baseline</t>
  </si>
  <si>
    <t>Rice • Dals • Basic Veg • Cooking Oil</t>
  </si>
  <si>
    <t>🍛 South Indian Meals</t>
  </si>
  <si>
    <t>92 SKUs</t>
  </si>
  <si>
    <t>Afternoon (11:30 - 15:30)</t>
  </si>
  <si>
    <t>150%</t>
  </si>
  <si>
    <t>8.2x Baseline</t>
  </si>
  <si>
    <t>Rice • Sambar/Rasam • Papad • Curd • Veggies</t>
  </si>
  <si>
    <t>🍲 North Indian Kitchen</t>
  </si>
  <si>
    <t>118 SKUs</t>
  </si>
  <si>
    <t>Evening (18:30 - 23:00)</t>
  </si>
  <si>
    <t>145%</t>
  </si>
  <si>
    <t>8.1x Baseline</t>
  </si>
  <si>
    <t>Atta • Paneer • Cream/Butter • Gravy Spices</t>
  </si>
  <si>
    <t>🍦 Chat &amp; Softy / Disposables</t>
  </si>
  <si>
    <t>114 SKUs</t>
  </si>
  <si>
    <t>Evening (16:00 - 22:30)</t>
  </si>
  <si>
    <t>175%</t>
  </si>
  <si>
    <t>8.7x Baseline</t>
  </si>
  <si>
    <t>Pani Puri • Sev/Papdi • Ice Cream Mix • Paper Disposables</t>
  </si>
  <si>
    <t>🍜 Chinese &amp; Dosa Counter</t>
  </si>
  <si>
    <t>87 SKUs</t>
  </si>
  <si>
    <t>Evening (17:00 - 23:00)</t>
  </si>
  <si>
    <t>155%</t>
  </si>
  <si>
    <t>8.3x Baseline</t>
  </si>
  <si>
    <t>Noodles • Sauces • Cabbage/Capsicum • Dosa Batter</t>
  </si>
  <si>
    <t>🍹 Mocktails &amp; Continental</t>
  </si>
  <si>
    <t>95 SKUs</t>
  </si>
  <si>
    <t>Afternoon &amp; Evening</t>
  </si>
  <si>
    <t>165%</t>
  </si>
  <si>
    <t>8.5x Baseline</t>
  </si>
  <si>
    <t>Syrups • Crushes • Soda • Pasta • Cheese</t>
  </si>
  <si>
    <t>🍽️ Restaurant Dining Hall</t>
  </si>
  <si>
    <t>75 SKUs</t>
  </si>
  <si>
    <t>Lunch &amp; Dinner Service</t>
  </si>
  <si>
    <t>140%</t>
  </si>
  <si>
    <t>8.0x Baseline</t>
  </si>
  <si>
    <t>Water Bottles • Table Condiments • Mouth Freshener</t>
  </si>
  <si>
    <t>🛎️ Room Service</t>
  </si>
  <si>
    <t>60 SKUs</t>
  </si>
  <si>
    <t>24/7 Operations</t>
  </si>
  <si>
    <t>130%</t>
  </si>
  <si>
    <t>7.8x Baseline</t>
  </si>
  <si>
    <t>Tray Accessories • Packed Beverages • Mini-Packs</t>
  </si>
  <si>
    <t>KEEN ITEM-BY-ITEM INVENTORY &amp; AUTOMATED INDENT ENGINE (366 SKUs)</t>
  </si>
  <si>
    <t>Item Code</t>
  </si>
  <si>
    <t>Item Name</t>
  </si>
  <si>
    <t>Category</t>
  </si>
  <si>
    <t>Unit</t>
  </si>
  <si>
    <t>Rate (₹)</t>
  </si>
  <si>
    <t>Current Stock</t>
  </si>
  <si>
    <t>Primary Dept</t>
  </si>
  <si>
    <t>Base Daily</t>
  </si>
  <si>
    <t>Mon Qty</t>
  </si>
  <si>
    <t>Tue Qty</t>
  </si>
  <si>
    <t>Wed Qty</t>
  </si>
  <si>
    <t>Thu Qty</t>
  </si>
  <si>
    <t>Fri Qty</t>
  </si>
  <si>
    <t>Sat Qty</t>
  </si>
  <si>
    <t>Sun Qty</t>
  </si>
  <si>
    <t>Weekly Total</t>
  </si>
  <si>
    <t>Safety Stock</t>
  </si>
  <si>
    <t>Reorder Level (ROP)</t>
  </si>
  <si>
    <t>Auto-Trigger Status</t>
  </si>
  <si>
    <t>Auto-Indent Today (Qty)</t>
  </si>
  <si>
    <t>KPL-102</t>
  </si>
  <si>
    <t>3cp</t>
  </si>
  <si>
    <t>Disposal</t>
  </si>
  <si>
    <t>pcs</t>
  </si>
  <si>
    <t>TIFFINS</t>
  </si>
  <si>
    <t>KPL-101</t>
  </si>
  <si>
    <t>5cp</t>
  </si>
  <si>
    <t>NORTH INDIAN</t>
  </si>
  <si>
    <t>KPL-103</t>
  </si>
  <si>
    <t>8cp</t>
  </si>
  <si>
    <t>KPL-104</t>
  </si>
  <si>
    <t>Almond Syrup</t>
  </si>
  <si>
    <t>Syrup</t>
  </si>
  <si>
    <t>bottle</t>
  </si>
  <si>
    <t>SI-MEALS</t>
  </si>
  <si>
    <t>KPL-105</t>
  </si>
  <si>
    <t>Amchoor Powder</t>
  </si>
  <si>
    <t>Spices</t>
  </si>
  <si>
    <t>kg</t>
  </si>
  <si>
    <t>CHAT &amp; SOFTY</t>
  </si>
  <si>
    <t>KPL-106</t>
  </si>
  <si>
    <t>Amchur Raw</t>
  </si>
  <si>
    <t>KPL-107</t>
  </si>
  <si>
    <t>Anar</t>
  </si>
  <si>
    <t>Fruits</t>
  </si>
  <si>
    <t>RESTAURANT</t>
  </si>
  <si>
    <t>KPL-108</t>
  </si>
  <si>
    <t>Apples</t>
  </si>
  <si>
    <t>KPL-109</t>
  </si>
  <si>
    <t>Aromatic Powder</t>
  </si>
  <si>
    <t>KPL-110</t>
  </si>
  <si>
    <t>Atta</t>
  </si>
  <si>
    <t>Flour</t>
  </si>
  <si>
    <t>KPL-111</t>
  </si>
  <si>
    <t>Atukulu</t>
  </si>
  <si>
    <t>General</t>
  </si>
  <si>
    <t>KPL-112</t>
  </si>
  <si>
    <t>Baby Corn</t>
  </si>
  <si>
    <t>tin</t>
  </si>
  <si>
    <t>KPL-113</t>
  </si>
  <si>
    <t>Badam</t>
  </si>
  <si>
    <t>Dry Friuts</t>
  </si>
  <si>
    <t>MOCKTAILS &amp; CONTINENTAL</t>
  </si>
  <si>
    <t>KPL-114</t>
  </si>
  <si>
    <t>Baking Powder</t>
  </si>
  <si>
    <t>KPL-115</t>
  </si>
  <si>
    <t>Banana</t>
  </si>
  <si>
    <t>dozen</t>
  </si>
  <si>
    <t>KPL-116</t>
  </si>
  <si>
    <t>Bedsheet</t>
  </si>
  <si>
    <t>Linen</t>
  </si>
  <si>
    <t>ROOM SERVICE</t>
  </si>
  <si>
    <t>KPL-117</t>
  </si>
  <si>
    <t>Bharath Gas</t>
  </si>
  <si>
    <t>Fuel</t>
  </si>
  <si>
    <t>CHINESE &amp; DOSA</t>
  </si>
  <si>
    <t>KPL-118</t>
  </si>
  <si>
    <t>Biryani Leaf</t>
  </si>
  <si>
    <t>KPL-119</t>
  </si>
  <si>
    <t>Biryani Rice</t>
  </si>
  <si>
    <t>Rice</t>
  </si>
  <si>
    <t>KPL-120</t>
  </si>
  <si>
    <t>Bis Coffe Biscuits</t>
  </si>
  <si>
    <t>pkt</t>
  </si>
  <si>
    <t>KPL-121</t>
  </si>
  <si>
    <t>Bis Coffe Paste</t>
  </si>
  <si>
    <t>KPL-122</t>
  </si>
  <si>
    <t>Black Grapes</t>
  </si>
  <si>
    <t>KPL-123</t>
  </si>
  <si>
    <t>Black Olives</t>
  </si>
  <si>
    <t>KPL-124</t>
  </si>
  <si>
    <t>Black Pepper</t>
  </si>
  <si>
    <t>KPL-125</t>
  </si>
  <si>
    <t>Black Salt</t>
  </si>
  <si>
    <t>KPL-126</t>
  </si>
  <si>
    <t>Black Urad Dal</t>
  </si>
  <si>
    <t>Dals</t>
  </si>
  <si>
    <t>KPL-127</t>
  </si>
  <si>
    <t>Blue Lagoon</t>
  </si>
  <si>
    <t>KPL-128</t>
  </si>
  <si>
    <t>Bobberlu</t>
  </si>
  <si>
    <t>KPL-129</t>
  </si>
  <si>
    <t>Boiled Rice</t>
  </si>
  <si>
    <t>KPL-130</t>
  </si>
  <si>
    <t>Boost</t>
  </si>
  <si>
    <t>KPL-131</t>
  </si>
  <si>
    <t>Bournvita</t>
  </si>
  <si>
    <t>KPL-132</t>
  </si>
  <si>
    <t>Box Container 1000 Ml</t>
  </si>
  <si>
    <t>KPL-133</t>
  </si>
  <si>
    <t>Box Container 1500ml</t>
  </si>
  <si>
    <t>KPL-134</t>
  </si>
  <si>
    <t>Box Container 200 Ml</t>
  </si>
  <si>
    <t>KPL-135</t>
  </si>
  <si>
    <t>Box Container 250ml</t>
  </si>
  <si>
    <t>KPL-136</t>
  </si>
  <si>
    <t>Box Container 300 Ml</t>
  </si>
  <si>
    <t>KPL-137</t>
  </si>
  <si>
    <t>Box Container 400ml</t>
  </si>
  <si>
    <t>KPL-138</t>
  </si>
  <si>
    <t>Box Container 500 Ml</t>
  </si>
  <si>
    <t>KPL-139</t>
  </si>
  <si>
    <t>Box Container 750ml</t>
  </si>
  <si>
    <t>KPL-141</t>
  </si>
  <si>
    <t>Bread</t>
  </si>
  <si>
    <t>Bakery</t>
  </si>
  <si>
    <t>KPL-140</t>
  </si>
  <si>
    <t>Bread Crumbs</t>
  </si>
  <si>
    <t>KPL-142</t>
  </si>
  <si>
    <t>Broken Rice</t>
  </si>
  <si>
    <t>KPL-143</t>
  </si>
  <si>
    <t>Brown Onion</t>
  </si>
  <si>
    <t>KPL-144</t>
  </si>
  <si>
    <t>Brownie</t>
  </si>
  <si>
    <t>KPL-145</t>
  </si>
  <si>
    <t>Buffet Plates</t>
  </si>
  <si>
    <t>KPL-146</t>
  </si>
  <si>
    <t>Burger Box</t>
  </si>
  <si>
    <t>KPL-147</t>
  </si>
  <si>
    <t>Burger Bun</t>
  </si>
  <si>
    <t>KPL-148</t>
  </si>
  <si>
    <t>Butter 500 Gm</t>
  </si>
  <si>
    <t>Dairy</t>
  </si>
  <si>
    <t>KPL-149</t>
  </si>
  <si>
    <t>Butter Covers</t>
  </si>
  <si>
    <t>KPL-150</t>
  </si>
  <si>
    <t>Butter Paper</t>
  </si>
  <si>
    <t>KPL-151</t>
  </si>
  <si>
    <t>Butter Scotch Ice Cream</t>
  </si>
  <si>
    <t>Ice Cream</t>
  </si>
  <si>
    <t>bulk</t>
  </si>
  <si>
    <t>KPL-152</t>
  </si>
  <si>
    <t>Butter Scotch Syrup</t>
  </si>
  <si>
    <t>KPL-153</t>
  </si>
  <si>
    <t>Caps</t>
  </si>
  <si>
    <t>KPL-154</t>
  </si>
  <si>
    <t>Caramil Syrup</t>
  </si>
  <si>
    <t>KPL-155</t>
  </si>
  <si>
    <t>Carry Bags 20*24</t>
  </si>
  <si>
    <t>KPL-156</t>
  </si>
  <si>
    <t>Channa Atta</t>
  </si>
  <si>
    <t>KPL-157</t>
  </si>
  <si>
    <t>Channa Dal</t>
  </si>
  <si>
    <t>KPL-158</t>
  </si>
  <si>
    <t>Chat Masala</t>
  </si>
  <si>
    <t>KPL-159</t>
  </si>
  <si>
    <t>Cheese 500g</t>
  </si>
  <si>
    <t>KPL-160</t>
  </si>
  <si>
    <t>Cheese Slice</t>
  </si>
  <si>
    <t>KPL-161</t>
  </si>
  <si>
    <t>Cherries</t>
  </si>
  <si>
    <t>KPL-162</t>
  </si>
  <si>
    <t>Chicken Big</t>
  </si>
  <si>
    <t>Meat</t>
  </si>
  <si>
    <t>KPL-163</t>
  </si>
  <si>
    <t>Chicken Small</t>
  </si>
  <si>
    <t>KPL-164</t>
  </si>
  <si>
    <t>Chicken Staff</t>
  </si>
  <si>
    <t>STAFF</t>
  </si>
  <si>
    <t>KPL-165</t>
  </si>
  <si>
    <t>Chilly Flakes Kg</t>
  </si>
  <si>
    <t>KPL-166</t>
  </si>
  <si>
    <t>Chilly Flakes Sachets</t>
  </si>
  <si>
    <t>KPL-167</t>
  </si>
  <si>
    <t>Chilly Powder</t>
  </si>
  <si>
    <t>KPL-168</t>
  </si>
  <si>
    <t>Chinese Container 1000ml</t>
  </si>
  <si>
    <t>KPL-169</t>
  </si>
  <si>
    <t>Chinese Container 500ml</t>
  </si>
  <si>
    <t>KPL-170</t>
  </si>
  <si>
    <t>Chinese Container 750ml</t>
  </si>
  <si>
    <t>KPL-171</t>
  </si>
  <si>
    <t>Chocolate Ice Cream</t>
  </si>
  <si>
    <t>KPL-172</t>
  </si>
  <si>
    <t>Chocolate Sauce</t>
  </si>
  <si>
    <t>KPL-173</t>
  </si>
  <si>
    <t>Chole Masala</t>
  </si>
  <si>
    <t>KPL-174</t>
  </si>
  <si>
    <t>Cleaning Brush</t>
  </si>
  <si>
    <t>KPL-175</t>
  </si>
  <si>
    <t>Cleaning Coth</t>
  </si>
  <si>
    <t>KPL-176</t>
  </si>
  <si>
    <t>Coal</t>
  </si>
  <si>
    <t>KPL-178</t>
  </si>
  <si>
    <t>Coconut</t>
  </si>
  <si>
    <t>KPL-179</t>
  </si>
  <si>
    <t>Coconut Brooms</t>
  </si>
  <si>
    <t>KPL-177</t>
  </si>
  <si>
    <t>Coconut Oil</t>
  </si>
  <si>
    <t>Oils</t>
  </si>
  <si>
    <t>L</t>
  </si>
  <si>
    <t>KPL-180</t>
  </si>
  <si>
    <t>Coconut Powder</t>
  </si>
  <si>
    <t>KPL-181</t>
  </si>
  <si>
    <t>Coffee Nescafe</t>
  </si>
  <si>
    <t>KPL-182</t>
  </si>
  <si>
    <t>Coffee Powder</t>
  </si>
  <si>
    <t>KPL-183</t>
  </si>
  <si>
    <t>Coke</t>
  </si>
  <si>
    <t>Beverages</t>
  </si>
  <si>
    <t>KPL-450</t>
  </si>
  <si>
    <t>Combs</t>
  </si>
  <si>
    <t>KPL-184</t>
  </si>
  <si>
    <t>Compostable Grocery Bags 13*16</t>
  </si>
  <si>
    <t>KPL-185</t>
  </si>
  <si>
    <t>Compostable Grocery Bags 16*20</t>
  </si>
  <si>
    <t>KPL-186</t>
  </si>
  <si>
    <t>Corn Flakes</t>
  </si>
  <si>
    <t>KPL-187</t>
  </si>
  <si>
    <t>Corn Flour</t>
  </si>
  <si>
    <t>KPL-188</t>
  </si>
  <si>
    <t>Cream</t>
  </si>
  <si>
    <t>KPL-189</t>
  </si>
  <si>
    <t>Curd</t>
  </si>
  <si>
    <t>KPL-190</t>
  </si>
  <si>
    <t>Curd Cups</t>
  </si>
  <si>
    <t>KPL-191</t>
  </si>
  <si>
    <t>Custic Soda</t>
  </si>
  <si>
    <t>KPL-192</t>
  </si>
  <si>
    <t>Custod Powder</t>
  </si>
  <si>
    <t>KPL-193</t>
  </si>
  <si>
    <t>Dalchina</t>
  </si>
  <si>
    <t>KPL-194</t>
  </si>
  <si>
    <t>Dalda</t>
  </si>
  <si>
    <t>KPL-195</t>
  </si>
  <si>
    <t>Dark Choco Chips</t>
  </si>
  <si>
    <t>KPL-196</t>
  </si>
  <si>
    <t>Delight Ice Cream</t>
  </si>
  <si>
    <t>KPL-197</t>
  </si>
  <si>
    <t>Dental Kit</t>
  </si>
  <si>
    <t>KPL-198</t>
  </si>
  <si>
    <t>Dhaniya</t>
  </si>
  <si>
    <t>KPL-199</t>
  </si>
  <si>
    <t>Dhaniya Powder</t>
  </si>
  <si>
    <t>KPL-200</t>
  </si>
  <si>
    <t>Dosa Box</t>
  </si>
  <si>
    <t>KPL-201</t>
  </si>
  <si>
    <t>Dosa Broom</t>
  </si>
  <si>
    <t>KPL-202</t>
  </si>
  <si>
    <t>Dosa Flour</t>
  </si>
  <si>
    <t>KPL-203</t>
  </si>
  <si>
    <t>Dosa Rice</t>
  </si>
  <si>
    <t>KPL-204</t>
  </si>
  <si>
    <t>Dr Ravva</t>
  </si>
  <si>
    <t>KPL-205</t>
  </si>
  <si>
    <t>Dry Coconut</t>
  </si>
  <si>
    <t>KPL-206</t>
  </si>
  <si>
    <t>Dry Yeast</t>
  </si>
  <si>
    <t>KPL-207</t>
  </si>
  <si>
    <t>Dust Bin Covers</t>
  </si>
  <si>
    <t>KPL-208</t>
  </si>
  <si>
    <t>Dust Pan</t>
  </si>
  <si>
    <t>KPL-209</t>
  </si>
  <si>
    <t>Eating Soda</t>
  </si>
  <si>
    <t>KPL-210</t>
  </si>
  <si>
    <t>Eggs</t>
  </si>
  <si>
    <t>KPL-211</t>
  </si>
  <si>
    <t>Elaichi</t>
  </si>
  <si>
    <t>KPL-212</t>
  </si>
  <si>
    <t>Faluda Glass</t>
  </si>
  <si>
    <t>KPL-213</t>
  </si>
  <si>
    <t>Fish</t>
  </si>
  <si>
    <t>KPL-214</t>
  </si>
  <si>
    <t>Floor Cleaner</t>
  </si>
  <si>
    <t>Chemicals</t>
  </si>
  <si>
    <t>KPL-215</t>
  </si>
  <si>
    <t>French Fries</t>
  </si>
  <si>
    <t>Frozen</t>
  </si>
  <si>
    <t>KPL-216</t>
  </si>
  <si>
    <t>Frozen Green Peas</t>
  </si>
  <si>
    <t>KPL-217</t>
  </si>
  <si>
    <t>Fruit Cocktail</t>
  </si>
  <si>
    <t>KPL-218</t>
  </si>
  <si>
    <t>Fuel Tins</t>
  </si>
  <si>
    <t>KPL-219</t>
  </si>
  <si>
    <t>Garam Masala</t>
  </si>
  <si>
    <t>KPL-220</t>
  </si>
  <si>
    <t>Garbage Bags</t>
  </si>
  <si>
    <t>KPL-221</t>
  </si>
  <si>
    <t>Garlic</t>
  </si>
  <si>
    <t>Vegetables</t>
  </si>
  <si>
    <t>KPL-222</t>
  </si>
  <si>
    <t>Garlic Bread</t>
  </si>
  <si>
    <t>KPL-223</t>
  </si>
  <si>
    <t>Ghee</t>
  </si>
  <si>
    <t>KPL-224</t>
  </si>
  <si>
    <t>Ginger</t>
  </si>
  <si>
    <t>KPL-225</t>
  </si>
  <si>
    <t>Ginger Powder</t>
  </si>
  <si>
    <t>KPL-226</t>
  </si>
  <si>
    <t>Ginger Syrup</t>
  </si>
  <si>
    <t>KPL-227</t>
  </si>
  <si>
    <t>Gold Milk</t>
  </si>
  <si>
    <t>KPL-228</t>
  </si>
  <si>
    <t>Good Night Machine</t>
  </si>
  <si>
    <t>KPL-229</t>
  </si>
  <si>
    <t>Good Night Refill</t>
  </si>
  <si>
    <t>KPL-230</t>
  </si>
  <si>
    <t>Green Batana Raw</t>
  </si>
  <si>
    <t>KPL-231</t>
  </si>
  <si>
    <t>Green Chilly Sauce</t>
  </si>
  <si>
    <t>Sauces</t>
  </si>
  <si>
    <t>KPL-232</t>
  </si>
  <si>
    <t>Green Mojito Mint</t>
  </si>
  <si>
    <t>KPL-233</t>
  </si>
  <si>
    <t>Gulkanda</t>
  </si>
  <si>
    <t>KPL-234</t>
  </si>
  <si>
    <t>Hand Gloves</t>
  </si>
  <si>
    <t>KPL-235</t>
  </si>
  <si>
    <t>Hand Wash</t>
  </si>
  <si>
    <t>KPL-236</t>
  </si>
  <si>
    <t>Harpic</t>
  </si>
  <si>
    <t>KPL-237</t>
  </si>
  <si>
    <t>Hezelnuts</t>
  </si>
  <si>
    <t>jar</t>
  </si>
  <si>
    <t>KPL-238</t>
  </si>
  <si>
    <t>Hing</t>
  </si>
  <si>
    <t>KPL-239</t>
  </si>
  <si>
    <t>Hmt Rice</t>
  </si>
  <si>
    <t>KPL-240</t>
  </si>
  <si>
    <t>Homa</t>
  </si>
  <si>
    <t>KPL-241</t>
  </si>
  <si>
    <t>Honey</t>
  </si>
  <si>
    <t>KPL-242</t>
  </si>
  <si>
    <t>Horlicks</t>
  </si>
  <si>
    <t>KPL-243</t>
  </si>
  <si>
    <t>Ice Cream Cone</t>
  </si>
  <si>
    <t>KPL-244</t>
  </si>
  <si>
    <t>Ice Cream Cups</t>
  </si>
  <si>
    <t>KPL-245</t>
  </si>
  <si>
    <t>Idly Box</t>
  </si>
  <si>
    <t>KPL-246</t>
  </si>
  <si>
    <t>Idly Ravva</t>
  </si>
  <si>
    <t>KPL-247</t>
  </si>
  <si>
    <t>Idly Rice</t>
  </si>
  <si>
    <t>KPL-248</t>
  </si>
  <si>
    <t>Indian Gas</t>
  </si>
  <si>
    <t>KPL-249</t>
  </si>
  <si>
    <t>Jaggery</t>
  </si>
  <si>
    <t>KPL-250</t>
  </si>
  <si>
    <t>Jajikaya</t>
  </si>
  <si>
    <t>KPL-251</t>
  </si>
  <si>
    <t>Jal Jeera</t>
  </si>
  <si>
    <t>KPL-252</t>
  </si>
  <si>
    <t>Jalpan Carrybags 11*14</t>
  </si>
  <si>
    <t>KPL-253</t>
  </si>
  <si>
    <t>Jalpeno</t>
  </si>
  <si>
    <t>KPL-254</t>
  </si>
  <si>
    <t>Japathri</t>
  </si>
  <si>
    <t>KPL-255</t>
  </si>
  <si>
    <t>Jeera</t>
  </si>
  <si>
    <t>KPL-256</t>
  </si>
  <si>
    <t>Jeera Masala Syrup</t>
  </si>
  <si>
    <t>KPL-257</t>
  </si>
  <si>
    <t>Jeera Powder</t>
  </si>
  <si>
    <t>KPL-258</t>
  </si>
  <si>
    <t>Kabuli Channa</t>
  </si>
  <si>
    <t>KPL-259</t>
  </si>
  <si>
    <t>Kaju 2 Pieces</t>
  </si>
  <si>
    <t>KPL-260</t>
  </si>
  <si>
    <t>Kaju Nuka</t>
  </si>
  <si>
    <t>KPL-261</t>
  </si>
  <si>
    <t>Kala Khatta Syrup</t>
  </si>
  <si>
    <t>KPL-262</t>
  </si>
  <si>
    <t>Kashmiri Mirchi Powder</t>
  </si>
  <si>
    <t>KPL-263</t>
  </si>
  <si>
    <t>Kasturi Methi</t>
  </si>
  <si>
    <t>KPL-264</t>
  </si>
  <si>
    <t>Kewara Water</t>
  </si>
  <si>
    <t>KPL-265</t>
  </si>
  <si>
    <t>Khas Khas</t>
  </si>
  <si>
    <t>KPL-266</t>
  </si>
  <si>
    <t>King Wrap</t>
  </si>
  <si>
    <t>KPL-267</t>
  </si>
  <si>
    <t>Kinley 1lit Water</t>
  </si>
  <si>
    <t>box</t>
  </si>
  <si>
    <t>KPL-268</t>
  </si>
  <si>
    <t>Kismis</t>
  </si>
  <si>
    <t>KPL-269</t>
  </si>
  <si>
    <t>Kissan Jam</t>
  </si>
  <si>
    <t>KPL-270</t>
  </si>
  <si>
    <t>Kit Kat</t>
  </si>
  <si>
    <t>KPL-271</t>
  </si>
  <si>
    <t>Kitchen King Masala</t>
  </si>
  <si>
    <t>KPL-272</t>
  </si>
  <si>
    <t>Kiwi Crush</t>
  </si>
  <si>
    <t>KPL-273</t>
  </si>
  <si>
    <t>Kova</t>
  </si>
  <si>
    <t>KPL-274</t>
  </si>
  <si>
    <t>Kunafa</t>
  </si>
  <si>
    <t>KPL-275</t>
  </si>
  <si>
    <t>Kurbani</t>
  </si>
  <si>
    <t>KPL-276</t>
  </si>
  <si>
    <t>Lamsa</t>
  </si>
  <si>
    <t>KPL-277</t>
  </si>
  <si>
    <t>Lavang</t>
  </si>
  <si>
    <t>KPL-278</t>
  </si>
  <si>
    <t>Lemon Salt</t>
  </si>
  <si>
    <t>KPL-279</t>
  </si>
  <si>
    <t>Local Channa</t>
  </si>
  <si>
    <t>KPL-283</t>
  </si>
  <si>
    <t>Maida</t>
  </si>
  <si>
    <t>KPL-285</t>
  </si>
  <si>
    <t>Makka Chudwa</t>
  </si>
  <si>
    <t>KPL-286</t>
  </si>
  <si>
    <t>Mango Crush</t>
  </si>
  <si>
    <t>KPL-287</t>
  </si>
  <si>
    <t>Mango Ice Crem</t>
  </si>
  <si>
    <t>KPL-288</t>
  </si>
  <si>
    <t>Mango Pickle</t>
  </si>
  <si>
    <t>KPL-289</t>
  </si>
  <si>
    <t>Mangos</t>
  </si>
  <si>
    <t>KPL-290</t>
  </si>
  <si>
    <t>Mask</t>
  </si>
  <si>
    <t>KPL-291</t>
  </si>
  <si>
    <t>Masoor Dal</t>
  </si>
  <si>
    <t>KPL-292</t>
  </si>
  <si>
    <t>Mayonnaise</t>
  </si>
  <si>
    <t>KPL-293</t>
  </si>
  <si>
    <t>Meal Maker</t>
  </si>
  <si>
    <t>KPL-294</t>
  </si>
  <si>
    <t>Meal Maker Keema</t>
  </si>
  <si>
    <t>KPL-295</t>
  </si>
  <si>
    <t>Mentulu</t>
  </si>
  <si>
    <t>KPL-296</t>
  </si>
  <si>
    <t>Milk</t>
  </si>
  <si>
    <t>KPL-297</t>
  </si>
  <si>
    <t>Milk Maid</t>
  </si>
  <si>
    <t>KPL-280</t>
  </si>
  <si>
    <t>Mineral water 1l</t>
  </si>
  <si>
    <t>KPL-282</t>
  </si>
  <si>
    <t>Mineral water 250 Ml</t>
  </si>
  <si>
    <t>KPL-281</t>
  </si>
  <si>
    <t>Mineral water 500ml</t>
  </si>
  <si>
    <t>KPL-451</t>
  </si>
  <si>
    <t>Moistirizer 20ml</t>
  </si>
  <si>
    <t>KPL-298</t>
  </si>
  <si>
    <t>Moong Dal</t>
  </si>
  <si>
    <t>KPL-299</t>
  </si>
  <si>
    <t>Mops</t>
  </si>
  <si>
    <t>KPL-300</t>
  </si>
  <si>
    <t>Mosambi</t>
  </si>
  <si>
    <t>KPL-301</t>
  </si>
  <si>
    <t>Mosquito Coil</t>
  </si>
  <si>
    <t>KPL-302</t>
  </si>
  <si>
    <t>Mote</t>
  </si>
  <si>
    <t>KPL-303</t>
  </si>
  <si>
    <t>Mozzarella Cheese</t>
  </si>
  <si>
    <t>KPL-304</t>
  </si>
  <si>
    <t>Mtr Sambar Powder</t>
  </si>
  <si>
    <t>KPL-305</t>
  </si>
  <si>
    <t>Murmura</t>
  </si>
  <si>
    <t>KPL-306</t>
  </si>
  <si>
    <t>Mushroom</t>
  </si>
  <si>
    <t>KPL-307</t>
  </si>
  <si>
    <t>Muskmelon</t>
  </si>
  <si>
    <t>KPL-308</t>
  </si>
  <si>
    <t>Mustard Oil</t>
  </si>
  <si>
    <t>KPL-309</t>
  </si>
  <si>
    <t>Mutton</t>
  </si>
  <si>
    <t>KPL-310</t>
  </si>
  <si>
    <t>Mutton Keema</t>
  </si>
  <si>
    <t>KPL-311</t>
  </si>
  <si>
    <t>Name Boards</t>
  </si>
  <si>
    <t>KPL-312</t>
  </si>
  <si>
    <t>Napkins</t>
  </si>
  <si>
    <t>KPL-313</t>
  </si>
  <si>
    <t>Noodles</t>
  </si>
  <si>
    <t>KPL-314</t>
  </si>
  <si>
    <t>Nutella Chocolate</t>
  </si>
  <si>
    <t>KPL-315</t>
  </si>
  <si>
    <t>Odonil</t>
  </si>
  <si>
    <t>KPL-316</t>
  </si>
  <si>
    <t>Onion</t>
  </si>
  <si>
    <t>KPL-320</t>
  </si>
  <si>
    <t>Orange</t>
  </si>
  <si>
    <t>KPL-317</t>
  </si>
  <si>
    <t>Orange Syrup</t>
  </si>
  <si>
    <t>KPL-318</t>
  </si>
  <si>
    <t>Oregano 500gm</t>
  </si>
  <si>
    <t>KPL-319</t>
  </si>
  <si>
    <t>Oregano Sachet</t>
  </si>
  <si>
    <t>KPL-321</t>
  </si>
  <si>
    <t>Oreo Biscuits</t>
  </si>
  <si>
    <t>KPL-322</t>
  </si>
  <si>
    <t>Original Mint Mojitho</t>
  </si>
  <si>
    <t>KPL-323</t>
  </si>
  <si>
    <t>Pally Chutney</t>
  </si>
  <si>
    <t>KPL-324</t>
  </si>
  <si>
    <t>Palm Oil</t>
  </si>
  <si>
    <t>KPL-325</t>
  </si>
  <si>
    <t>Paneer</t>
  </si>
  <si>
    <t>KPL-326</t>
  </si>
  <si>
    <t>Paneer Momos</t>
  </si>
  <si>
    <t>KPL-327</t>
  </si>
  <si>
    <t>Papad</t>
  </si>
  <si>
    <t>KPL-466</t>
  </si>
  <si>
    <t>Paper</t>
  </si>
  <si>
    <t>KPL-328</t>
  </si>
  <si>
    <t>Paper Rolls</t>
  </si>
  <si>
    <t>KPL-329</t>
  </si>
  <si>
    <t>Parcel Covers 4*6</t>
  </si>
  <si>
    <t>KPL-330</t>
  </si>
  <si>
    <t>Parcel Covers 5*8</t>
  </si>
  <si>
    <t>KPL-331</t>
  </si>
  <si>
    <t>Parcel Covers 6*9</t>
  </si>
  <si>
    <t>KPL-332</t>
  </si>
  <si>
    <t>Party Chicken</t>
  </si>
  <si>
    <t>KPL-333</t>
  </si>
  <si>
    <t>Pasta</t>
  </si>
  <si>
    <t>KPL-334</t>
  </si>
  <si>
    <t>Pather Pool</t>
  </si>
  <si>
    <t>KPL-335</t>
  </si>
  <si>
    <t>Pav</t>
  </si>
  <si>
    <t>KPL-336</t>
  </si>
  <si>
    <t>Pavbaji Masala</t>
  </si>
  <si>
    <t>KPL-337</t>
  </si>
  <si>
    <t>Peri Peri</t>
  </si>
  <si>
    <t>KPL-338</t>
  </si>
  <si>
    <t>Pesarlu</t>
  </si>
  <si>
    <t>KPL-284</t>
  </si>
  <si>
    <t>Phool Makhan</t>
  </si>
  <si>
    <t>KPL-339</t>
  </si>
  <si>
    <t>Pillow Covers</t>
  </si>
  <si>
    <t>KPL-340</t>
  </si>
  <si>
    <t>Pineapple</t>
  </si>
  <si>
    <t>KPL-341</t>
  </si>
  <si>
    <t>Pineapple Syrup</t>
  </si>
  <si>
    <t>KPL-342</t>
  </si>
  <si>
    <t>Pista</t>
  </si>
  <si>
    <t>KPL-343</t>
  </si>
  <si>
    <t>Pista Ice Cream</t>
  </si>
  <si>
    <t>KPL-344</t>
  </si>
  <si>
    <t>Pitambaram</t>
  </si>
  <si>
    <t>KPL-345</t>
  </si>
  <si>
    <t>Pizza Box Big</t>
  </si>
  <si>
    <t>KPL-346</t>
  </si>
  <si>
    <t>Pizza Box Small</t>
  </si>
  <si>
    <t>KPL-347</t>
  </si>
  <si>
    <t>Pizza Sauce</t>
  </si>
  <si>
    <t>KPL-348</t>
  </si>
  <si>
    <t>Potato</t>
  </si>
  <si>
    <t>KPL-349</t>
  </si>
  <si>
    <t>Prawns</t>
  </si>
  <si>
    <t>KPL-350</t>
  </si>
  <si>
    <t>Puff Roti</t>
  </si>
  <si>
    <t>KPL-351</t>
  </si>
  <si>
    <t>Putani</t>
  </si>
  <si>
    <t>KPL-352</t>
  </si>
  <si>
    <t>Ragi Flour</t>
  </si>
  <si>
    <t>KPL-353</t>
  </si>
  <si>
    <t>Rai</t>
  </si>
  <si>
    <t>KPL-354</t>
  </si>
  <si>
    <t>Rajma</t>
  </si>
  <si>
    <t>KPL-355</t>
  </si>
  <si>
    <t>Ramjadu</t>
  </si>
  <si>
    <t>KPL-356</t>
  </si>
  <si>
    <t>Rectrangle Box 500ml</t>
  </si>
  <si>
    <t>KPL-357</t>
  </si>
  <si>
    <t>Red Chilly</t>
  </si>
  <si>
    <t>KPL-358</t>
  </si>
  <si>
    <t>Red Chilly Sauce</t>
  </si>
  <si>
    <t>KPL-359</t>
  </si>
  <si>
    <t>Rock Salt</t>
  </si>
  <si>
    <t>KPL-360</t>
  </si>
  <si>
    <t>Room Freshner</t>
  </si>
  <si>
    <t>KPL-361</t>
  </si>
  <si>
    <t>Rose Syrup</t>
  </si>
  <si>
    <t>KPL-362</t>
  </si>
  <si>
    <t>Rose Water</t>
  </si>
  <si>
    <t>KPL-363</t>
  </si>
  <si>
    <t>Round Containar750ml</t>
  </si>
  <si>
    <t>KPL-364</t>
  </si>
  <si>
    <t>Round Pally</t>
  </si>
  <si>
    <t>KPL-365</t>
  </si>
  <si>
    <t>Sabjee Binge</t>
  </si>
  <si>
    <t>KPL-366</t>
  </si>
  <si>
    <t>Sabudana</t>
  </si>
  <si>
    <t>KPL-367</t>
  </si>
  <si>
    <t>Saffron</t>
  </si>
  <si>
    <t>KPL-368</t>
  </si>
  <si>
    <t>Sajeera</t>
  </si>
  <si>
    <t>KPL-369</t>
  </si>
  <si>
    <t>Salt Big</t>
  </si>
  <si>
    <t>KPL-370</t>
  </si>
  <si>
    <t>Sandwich Box</t>
  </si>
  <si>
    <t>KPL-371</t>
  </si>
  <si>
    <t>Sandwich Bread</t>
  </si>
  <si>
    <t>KPL-372</t>
  </si>
  <si>
    <t>Schezwan Chutney</t>
  </si>
  <si>
    <t>KPL-373</t>
  </si>
  <si>
    <t>Schezwan Sauce</t>
  </si>
  <si>
    <t>KPL-375</t>
  </si>
  <si>
    <t>Scrubber Ordinary</t>
  </si>
  <si>
    <t>KPL-376</t>
  </si>
  <si>
    <t>Scrubber Plastic</t>
  </si>
  <si>
    <t>KPL-374</t>
  </si>
  <si>
    <t>Scrubber Steel</t>
  </si>
  <si>
    <t>KPL-377</t>
  </si>
  <si>
    <t>Semiya</t>
  </si>
  <si>
    <t>KPL-378</t>
  </si>
  <si>
    <t>Shampoo</t>
  </si>
  <si>
    <t>KPL-379</t>
  </si>
  <si>
    <t>Shampoo Gel</t>
  </si>
  <si>
    <t>KPL-380</t>
  </si>
  <si>
    <t>Shower Gel</t>
  </si>
  <si>
    <t>KPL-381</t>
  </si>
  <si>
    <t>Silver Container Big</t>
  </si>
  <si>
    <t>KPL-382</t>
  </si>
  <si>
    <t>Silver Foil</t>
  </si>
  <si>
    <t>KPL-383</t>
  </si>
  <si>
    <t>Silver Pouch 5*7</t>
  </si>
  <si>
    <t>KPL-384</t>
  </si>
  <si>
    <t>Silver Pouch 6*8</t>
  </si>
  <si>
    <t>KPL-385</t>
  </si>
  <si>
    <t>Silver Pouch 7*9</t>
  </si>
  <si>
    <t>KPL-386</t>
  </si>
  <si>
    <t>Silver Pouch 8*10</t>
  </si>
  <si>
    <t>KPL-387</t>
  </si>
  <si>
    <t>Silver Pouch 9*12</t>
  </si>
  <si>
    <t>KPL-388</t>
  </si>
  <si>
    <t>Small Onion</t>
  </si>
  <si>
    <t>KPL-389</t>
  </si>
  <si>
    <t>Soap Oil</t>
  </si>
  <si>
    <t>KPL-390</t>
  </si>
  <si>
    <t>Soaps</t>
  </si>
  <si>
    <t>KPL-391</t>
  </si>
  <si>
    <t>Soda 750 Ml</t>
  </si>
  <si>
    <t>KPL-392</t>
  </si>
  <si>
    <t>Softy Chocolate Milk</t>
  </si>
  <si>
    <t>KPL-393</t>
  </si>
  <si>
    <t>Softy Vanilla Milk</t>
  </si>
  <si>
    <t>KPL-394</t>
  </si>
  <si>
    <t>Somp</t>
  </si>
  <si>
    <t>KPL-395</t>
  </si>
  <si>
    <t>Somp White</t>
  </si>
  <si>
    <t>KPL-396</t>
  </si>
  <si>
    <t>Soya Sauce</t>
  </si>
  <si>
    <t>KPL-397</t>
  </si>
  <si>
    <t>Sp.milk</t>
  </si>
  <si>
    <t>KPL-398</t>
  </si>
  <si>
    <t>Sponge</t>
  </si>
  <si>
    <t>KPL-399</t>
  </si>
  <si>
    <t>Spring Rolls</t>
  </si>
  <si>
    <t>KPL-400</t>
  </si>
  <si>
    <t>Sprite 750 Ml</t>
  </si>
  <si>
    <t>KPL-401</t>
  </si>
  <si>
    <t>Star Pool</t>
  </si>
  <si>
    <t>KPL-402</t>
  </si>
  <si>
    <t>Strawberry Crush</t>
  </si>
  <si>
    <t>KPL-403</t>
  </si>
  <si>
    <t>Strawberry Ice Cream</t>
  </si>
  <si>
    <t>KPL-404</t>
  </si>
  <si>
    <t>Straws Big</t>
  </si>
  <si>
    <t>KPL-405</t>
  </si>
  <si>
    <t>Straws Small</t>
  </si>
  <si>
    <t>KPL-406</t>
  </si>
  <si>
    <t>Sugar</t>
  </si>
  <si>
    <t>KPL-407</t>
  </si>
  <si>
    <t>Sunflower Oil</t>
  </si>
  <si>
    <t>KPL-408</t>
  </si>
  <si>
    <t>Surf</t>
  </si>
  <si>
    <t>KPL-410</t>
  </si>
  <si>
    <t>Sweet Corn Makka</t>
  </si>
  <si>
    <t>KPL-409</t>
  </si>
  <si>
    <t>Sweet Corn Momos</t>
  </si>
  <si>
    <t>KPL-411</t>
  </si>
  <si>
    <t>Sweet Corn Pkt</t>
  </si>
  <si>
    <t>KPL-412</t>
  </si>
  <si>
    <t>Sweetcorn Tin</t>
  </si>
  <si>
    <t>KPL-413</t>
  </si>
  <si>
    <t>Tamarind</t>
  </si>
  <si>
    <t>KPL-414</t>
  </si>
  <si>
    <t>Tang Rasna</t>
  </si>
  <si>
    <t>KPL-415</t>
  </si>
  <si>
    <t>Tarbuj</t>
  </si>
  <si>
    <t>KPL-416</t>
  </si>
  <si>
    <t>Tata Salt</t>
  </si>
  <si>
    <t>KPL-417</t>
  </si>
  <si>
    <t>Tea Cups Big</t>
  </si>
  <si>
    <t>KPL-418</t>
  </si>
  <si>
    <t>Tea Cups Small</t>
  </si>
  <si>
    <t>KPL-419</t>
  </si>
  <si>
    <t>Tea Powder</t>
  </si>
  <si>
    <t>KPL-452</t>
  </si>
  <si>
    <t>Test Tomatoes 1783172910417</t>
  </si>
  <si>
    <t>KPL-453</t>
  </si>
  <si>
    <t>Test Tomatoes 1783188363356</t>
  </si>
  <si>
    <t>KPL-454</t>
  </si>
  <si>
    <t>Test Tomatoes 1783188398884</t>
  </si>
  <si>
    <t>KPL-455</t>
  </si>
  <si>
    <t>Test Tomatoes 1783188588894</t>
  </si>
  <si>
    <t>KPL-456</t>
  </si>
  <si>
    <t>Test Tomatoes 1783192505373</t>
  </si>
  <si>
    <t>KPL-457</t>
  </si>
  <si>
    <t>Test Tomatoes 1783229425762</t>
  </si>
  <si>
    <t>KPL-458</t>
  </si>
  <si>
    <t>Test Tomatoes 1783233213460</t>
  </si>
  <si>
    <t>KPL-459</t>
  </si>
  <si>
    <t>Test Tomatoes 1783240958860</t>
  </si>
  <si>
    <t>KPL-460</t>
  </si>
  <si>
    <t>Test Tomatoes 1783242281976</t>
  </si>
  <si>
    <t>KPL-461</t>
  </si>
  <si>
    <t>Test Tomatoes 1783251501441</t>
  </si>
  <si>
    <t>KPL-462</t>
  </si>
  <si>
    <t>Test Tomatoes 1783269722443</t>
  </si>
  <si>
    <t>KPL-463</t>
  </si>
  <si>
    <t>Test Tomatoes 1783270009728</t>
  </si>
  <si>
    <t>KPL-464</t>
  </si>
  <si>
    <t>Test Tomatoes 1783270377533</t>
  </si>
  <si>
    <t>KPL-465</t>
  </si>
  <si>
    <t>Test Tomatoes 1783271152098</t>
  </si>
  <si>
    <t>KPL-420</t>
  </si>
  <si>
    <t>Thoka Miryal</t>
  </si>
  <si>
    <t>KPL-421</t>
  </si>
  <si>
    <t>Till</t>
  </si>
  <si>
    <t>KPL-422</t>
  </si>
  <si>
    <t>Toilet Brush</t>
  </si>
  <si>
    <t>KPL-423</t>
  </si>
  <si>
    <t>Tomato Ketchup</t>
  </si>
  <si>
    <t>KPL-424</t>
  </si>
  <si>
    <t>Tomato Sauce</t>
  </si>
  <si>
    <t>KPL-425</t>
  </si>
  <si>
    <t>Tooth Pick</t>
  </si>
  <si>
    <t>KPL-426</t>
  </si>
  <si>
    <t>Towels</t>
  </si>
  <si>
    <t>KPL-427</t>
  </si>
  <si>
    <t>Tugar Dal</t>
  </si>
  <si>
    <t>KPL-428</t>
  </si>
  <si>
    <t>Turmeric Powder</t>
  </si>
  <si>
    <t>KPL-429</t>
  </si>
  <si>
    <t>Tuti Fruity</t>
  </si>
  <si>
    <t>KPL-430</t>
  </si>
  <si>
    <t>Upma Ravva</t>
  </si>
  <si>
    <t>KPL-431</t>
  </si>
  <si>
    <t>Urad Dal</t>
  </si>
  <si>
    <t>KPL-432</t>
  </si>
  <si>
    <t>Vanila Spoung</t>
  </si>
  <si>
    <t>KPL-433</t>
  </si>
  <si>
    <t>Vanilla Essence</t>
  </si>
  <si>
    <t>KPL-434</t>
  </si>
  <si>
    <t>Vanilla Ice Cream</t>
  </si>
  <si>
    <t>KPL-435</t>
  </si>
  <si>
    <t>Veg Momos</t>
  </si>
  <si>
    <t>KPL-436</t>
  </si>
  <si>
    <t>Veg Oyster Sauce</t>
  </si>
  <si>
    <t>KPL-437</t>
  </si>
  <si>
    <t>KPL-438</t>
  </si>
  <si>
    <t>Viniger</t>
  </si>
  <si>
    <t>KPL-439</t>
  </si>
  <si>
    <t>Water Glass</t>
  </si>
  <si>
    <t>KPL-440</t>
  </si>
  <si>
    <t>Water Melon Syrup</t>
  </si>
  <si>
    <t>KPL-441</t>
  </si>
  <si>
    <t>Watermelon</t>
  </si>
  <si>
    <t>KPL-442</t>
  </si>
  <si>
    <t>White Batana</t>
  </si>
  <si>
    <t>KPL-443</t>
  </si>
  <si>
    <t>White Pepper</t>
  </si>
  <si>
    <t>KPL-444</t>
  </si>
  <si>
    <t>White Tape</t>
  </si>
  <si>
    <t>KPL-445</t>
  </si>
  <si>
    <t>Wiper</t>
  </si>
  <si>
    <t>KPL-446</t>
  </si>
  <si>
    <t>Wooden Fork</t>
  </si>
  <si>
    <t>KPL-447</t>
  </si>
  <si>
    <t>Wooden Icecream Spoon</t>
  </si>
  <si>
    <t>KPL-448</t>
  </si>
  <si>
    <t>Wooden Spoons Big</t>
  </si>
  <si>
    <t>KPL-449</t>
  </si>
  <si>
    <t>Wooden Spoons Small</t>
  </si>
  <si>
    <t>RECIPE-TO-INGREDIENT PORTION EXPLOSION &amp; AUTO-INDENT MAPPING</t>
  </si>
  <si>
    <t>Recipe ID</t>
  </si>
  <si>
    <t>Dish / Preparation</t>
  </si>
  <si>
    <t>Category / Department</t>
  </si>
  <si>
    <t>Base Plates</t>
  </si>
  <si>
    <t>Required Ingredient</t>
  </si>
  <si>
    <t>Base Qty</t>
  </si>
  <si>
    <t>For 100 Plates</t>
  </si>
  <si>
    <t>For 250 Plates</t>
  </si>
  <si>
    <t>For 500 Plates</t>
  </si>
  <si>
    <t>STF Plain Rice</t>
  </si>
  <si>
    <t>Idly</t>
  </si>
  <si>
    <t>Idly/Vada/Dosa Breakfast</t>
  </si>
  <si>
    <t>Idly/Dosa Batter</t>
  </si>
  <si>
    <t>Refined Sunflower Oil</t>
  </si>
  <si>
    <t>Sambar Mix</t>
  </si>
  <si>
    <t>Chutney Mix</t>
  </si>
  <si>
    <t>Ghee Idly</t>
  </si>
  <si>
    <t>Idly Sambar</t>
  </si>
  <si>
    <t>Thatte Idly</t>
  </si>
  <si>
    <t>Button Sambar Idly</t>
  </si>
  <si>
    <t>Button Rasam Idly</t>
  </si>
  <si>
    <t>Rasam Idly</t>
  </si>
  <si>
    <t>Vada</t>
  </si>
  <si>
    <t>Vada Sambar</t>
  </si>
  <si>
    <t>Ghee Karam Idly</t>
  </si>
  <si>
    <t>(S) Idly</t>
  </si>
  <si>
    <t>(S) Idly (S) Vada</t>
  </si>
  <si>
    <t>(S) Vada Sambar</t>
  </si>
  <si>
    <t>(S) Vada</t>
  </si>
  <si>
    <t>(S) Idly (S) Vada Sambar</t>
  </si>
  <si>
    <t>2 Idly (S) Vada</t>
  </si>
  <si>
    <t>70mm Dosa</t>
  </si>
  <si>
    <t>Paper Dosa</t>
  </si>
  <si>
    <t>Set Dosa</t>
  </si>
  <si>
    <t>Vellulli Karam Podi Dosa</t>
  </si>
  <si>
    <t>Ghee Karvepaaku Podi Dosa</t>
  </si>
  <si>
    <t>Butter Masala Dosa</t>
  </si>
  <si>
    <t>Paneer Dosa</t>
  </si>
  <si>
    <t>Ghee Podi Pesarattu</t>
  </si>
  <si>
    <t>Ghee Podi Rava Dosa</t>
  </si>
  <si>
    <t>INTERACTIVE INDENT AUTOMATION SIMULATOR</t>
  </si>
  <si>
    <t>SIMULATOR PARAMETERS</t>
  </si>
  <si>
    <t>Target Department:</t>
  </si>
  <si>
    <t>TIFFINS &amp; BREAKFAST</t>
  </si>
  <si>
    <t>Day of Week:</t>
  </si>
  <si>
    <t>SATURDAY (Peak 1.60x)</t>
  </si>
  <si>
    <t>Expected Guest Footfall Surge:</t>
  </si>
  <si>
    <t>REAL-TIME AUTOMATED INDENT RECOMMENDATIONS FOR SATURDAY MORNING</t>
  </si>
  <si>
    <t>Live Stock</t>
  </si>
  <si>
    <t>Estimated Daily Burn</t>
  </si>
  <si>
    <t>Auto-Recommended Indent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</si>
</sst>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.00"/>
    <numFmt numFmtId="165" formatCode="0.00x"/>
  </numFmts>
  <fonts count="20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E8A838"/>
      <sz val="10"/>
      <name val="Calibri"/>
    </font>
    <font>
      <b/>
      <color rgb="64748B"/>
      <sz val="9"/>
      <name val="Calibri"/>
    </font>
    <font>
      <b/>
      <color rgb="2563EB"/>
      <sz val="18"/>
      <name val="Calibri"/>
    </font>
    <font>
      <b/>
      <color rgb="7C3AED"/>
      <sz val="18"/>
      <name val="Calibri"/>
    </font>
    <font>
      <b/>
      <color rgb="10B981"/>
      <sz val="18"/>
      <name val="Calibri"/>
    </font>
    <font>
      <b/>
      <color rgb="D97706"/>
      <sz val="18"/>
      <name val="Calibri"/>
    </font>
    <font>
      <i/>
      <color rgb="64748B"/>
      <sz val="8"/>
      <name val="Calibri"/>
    </font>
    <font>
      <b/>
      <color rgb="0F172A"/>
      <sz val="11"/>
      <name val="Calibri"/>
    </font>
    <font>
      <b/>
      <color rgb="FFFFFF"/>
      <sz val="10"/>
      <name val="Calibri"/>
    </font>
    <font>
      <b/>
      <color rgb="10B981"/>
    </font>
    <font>
      <b/>
      <color rgb="334155"/>
    </font>
    <font>
      <i/>
      <color rgb="D97706"/>
    </font>
    <font>
      <b/>
      <color rgb="FFFFFF"/>
      <sz val="14"/>
      <name val="Calibri"/>
    </font>
    <font>
      <b/>
      <color rgb="FFFFFF"/>
      <sz val="9"/>
      <name val="Calibri"/>
    </font>
    <font>
      <b/>
      <color rgb="1E293B"/>
    </font>
    <font>
      <b/>
      <color rgb="2563EB"/>
    </font>
    <font>
      <b/>
      <color rgb="D97706"/>
    </font>
    <font>
      <b/>
      <color rgb="0F172A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0" fillId="4" borderId="1" xfId="0" applyFill="1" applyBorder="1"/>
    <xf numFmtId="0" fontId="11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5" fillId="3" borderId="1" xfId="0" applyFont="1" applyFill="1" applyBorder="1" applyAlignment="1">
      <alignment horizontal="right" vertical="center"/>
    </xf>
    <xf numFmtId="164" fontId="0" fillId="0" borderId="1" xfId="0" applyNumberFormat="1" applyBorder="1"/>
    <xf numFmtId="4" fontId="0" fillId="0" borderId="1" xfId="0" applyNumberFormat="1" applyBorder="1"/>
    <xf numFmtId="164" fontId="0" fillId="4" borderId="1" xfId="0" applyNumberFormat="1" applyFill="1" applyBorder="1"/>
    <xf numFmtId="4" fontId="0" fillId="4" borderId="1" xfId="0" applyNumberFormat="1" applyFill="1" applyBorder="1"/>
    <xf numFmtId="0" fontId="16" fillId="0" borderId="0" xfId="0" applyFont="1"/>
    <xf numFmtId="0" fontId="17" fillId="0" borderId="1" xfId="0" applyFont="1" applyBorder="1"/>
    <xf numFmtId="0" fontId="18" fillId="0" borderId="1" xfId="0" applyFont="1" applyBorder="1"/>
    <xf numFmtId="165" fontId="11" fillId="0" borderId="1" xfId="0" applyNumberFormat="1" applyFont="1" applyBorder="1"/>
    <xf numFmtId="0" fontId="19" fillId="0" borderId="0" xfId="0" applyFont="1"/>
    <xf numFmtId="4" fontId="18" fillId="0" borderId="1" xfId="0" applyNumberFormat="1" applyFont="1" applyBorder="1"/>
    <xf numFmtId="4" fontId="18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8A838"/>
  </sheetPr>
  <dimension ref="B2:F21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5" width="22" customWidth="1"/>
    <col min="6" max="6" width="32" customWidth="1"/>
    <col min="7" max="7" width="15" customWidth="1"/>
  </cols>
  <sheetData>
    <row r="2" ht="40" customHeight="1" spans="2:6" x14ac:dyDescent="0.25">
      <c r="B2" s="1" t="s">
        <v>0</v>
      </c>
      <c r="C2" s="1"/>
      <c r="D2" s="1"/>
      <c r="E2" s="1"/>
      <c r="F2" s="1"/>
    </row>
    <row r="3" ht="24" customHeight="1" spans="2:6" x14ac:dyDescent="0.25">
      <c r="B3" s="2" t="s">
        <v>1</v>
      </c>
      <c r="C3" s="2"/>
      <c r="D3" s="2"/>
      <c r="E3" s="2"/>
      <c r="F3" s="2"/>
    </row>
    <row r="5" spans="2:5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ht="28" customHeight="1" spans="2:5" x14ac:dyDescent="0.25">
      <c r="B6" s="4">
        <v>366</v>
      </c>
      <c r="C6" s="5">
        <v>9</v>
      </c>
      <c r="D6" s="6">
        <v>232</v>
      </c>
      <c r="E6" s="7" t="s">
        <v>6</v>
      </c>
    </row>
    <row r="7" spans="2:5" x14ac:dyDescent="0.25">
      <c r="B7" s="8" t="s">
        <v>7</v>
      </c>
      <c r="C7" s="8" t="s">
        <v>8</v>
      </c>
      <c r="D7" s="8" t="s">
        <v>9</v>
      </c>
      <c r="E7" s="8" t="s">
        <v>10</v>
      </c>
    </row>
    <row r="9" spans="2:6" x14ac:dyDescent="0.25">
      <c r="B9" s="9" t="s">
        <v>11</v>
      </c>
      <c r="C9" s="9"/>
      <c r="D9" s="9"/>
      <c r="E9" s="9"/>
      <c r="F9" s="9"/>
    </row>
    <row r="10" ht="25" customHeight="1" spans="2:6" x14ac:dyDescent="0.25">
      <c r="B10" s="10" t="s">
        <v>12</v>
      </c>
      <c r="C10" s="10" t="s">
        <v>13</v>
      </c>
      <c r="D10" s="11" t="s">
        <v>14</v>
      </c>
      <c r="E10" s="10" t="s">
        <v>15</v>
      </c>
      <c r="F10" s="10"/>
    </row>
    <row r="11" ht="22" customHeight="1" spans="2:6" x14ac:dyDescent="0.25">
      <c r="B11" s="12" t="s">
        <v>16</v>
      </c>
      <c r="C11" s="12" t="s">
        <v>17</v>
      </c>
      <c r="D11" s="13" t="s">
        <v>18</v>
      </c>
      <c r="E11" s="12" t="s">
        <v>19</v>
      </c>
      <c r="F11" s="12"/>
    </row>
    <row r="12" ht="22" customHeight="1" spans="2:6" x14ac:dyDescent="0.25">
      <c r="B12" s="14" t="s">
        <v>20</v>
      </c>
      <c r="C12" s="14" t="s">
        <v>21</v>
      </c>
      <c r="D12" s="15" t="s">
        <v>18</v>
      </c>
      <c r="E12" s="14" t="s">
        <v>22</v>
      </c>
      <c r="F12" s="14"/>
    </row>
    <row r="13" ht="22" customHeight="1" spans="2:6" x14ac:dyDescent="0.25">
      <c r="B13" s="12" t="s">
        <v>23</v>
      </c>
      <c r="C13" s="12" t="s">
        <v>24</v>
      </c>
      <c r="D13" s="13" t="s">
        <v>18</v>
      </c>
      <c r="E13" s="12" t="s">
        <v>25</v>
      </c>
      <c r="F13" s="12"/>
    </row>
    <row r="14" ht="22" customHeight="1" spans="2:6" x14ac:dyDescent="0.25">
      <c r="B14" s="14" t="s">
        <v>26</v>
      </c>
      <c r="C14" s="14" t="s">
        <v>27</v>
      </c>
      <c r="D14" s="15" t="s">
        <v>28</v>
      </c>
      <c r="E14" s="14" t="s">
        <v>29</v>
      </c>
      <c r="F14" s="14"/>
    </row>
    <row r="15" ht="22" customHeight="1" spans="2:6" x14ac:dyDescent="0.25">
      <c r="B15" s="12" t="s">
        <v>30</v>
      </c>
      <c r="C15" s="12" t="s">
        <v>31</v>
      </c>
      <c r="D15" s="13" t="s">
        <v>28</v>
      </c>
      <c r="E15" s="12" t="s">
        <v>32</v>
      </c>
      <c r="F15" s="12"/>
    </row>
    <row r="18" spans="2:6" x14ac:dyDescent="0.25">
      <c r="B18" s="9" t="s">
        <v>33</v>
      </c>
      <c r="C18" s="9"/>
      <c r="D18" s="9"/>
      <c r="E18" s="9"/>
      <c r="F18" s="9"/>
    </row>
    <row r="19" ht="30" customHeight="1" spans="2:6" x14ac:dyDescent="0.25">
      <c r="B19" s="16" t="s">
        <v>34</v>
      </c>
      <c r="C19" s="17" t="s">
        <v>35</v>
      </c>
      <c r="D19" s="18" t="s">
        <v>36</v>
      </c>
      <c r="E19" s="18"/>
      <c r="F19" s="18"/>
    </row>
    <row r="20" ht="30" customHeight="1" spans="2:6" x14ac:dyDescent="0.25">
      <c r="B20" s="19" t="s">
        <v>37</v>
      </c>
      <c r="C20" s="20" t="s">
        <v>38</v>
      </c>
      <c r="D20" s="21" t="s">
        <v>39</v>
      </c>
      <c r="E20" s="21"/>
      <c r="F20" s="21"/>
    </row>
    <row r="21" ht="30" customHeight="1" spans="2:6" x14ac:dyDescent="0.25">
      <c r="B21" s="16" t="s">
        <v>40</v>
      </c>
      <c r="C21" s="17" t="s">
        <v>41</v>
      </c>
      <c r="D21" s="18" t="s">
        <v>42</v>
      </c>
      <c r="E21" s="18"/>
      <c r="F21" s="18"/>
    </row>
  </sheetData>
  <mergeCells count="13">
    <mergeCell ref="B2:F2"/>
    <mergeCell ref="B3:F3"/>
    <mergeCell ref="B9:F9"/>
    <mergeCell ref="E10:F10"/>
    <mergeCell ref="E11:F11"/>
    <mergeCell ref="E12:F12"/>
    <mergeCell ref="E13:F13"/>
    <mergeCell ref="E14:F14"/>
    <mergeCell ref="E15:F15"/>
    <mergeCell ref="B18:F18"/>
    <mergeCell ref="D19:F19"/>
    <mergeCell ref="D20:F20"/>
    <mergeCell ref="D21:F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B2:M13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14" customWidth="1"/>
    <col min="4" max="4" width="26" customWidth="1"/>
    <col min="5" max="9" width="10" customWidth="1"/>
    <col min="10" max="11" width="12" customWidth="1"/>
    <col min="12" max="12" width="14" customWidth="1"/>
    <col min="13" max="13" width="35" customWidth="1"/>
  </cols>
  <sheetData>
    <row r="2" ht="35" customHeight="1" spans="2:13" x14ac:dyDescent="0.25">
      <c r="B2" s="22" t="s">
        <v>43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ht="28" customHeight="1" spans="2:13" x14ac:dyDescent="0.25">
      <c r="B4" s="23" t="s">
        <v>44</v>
      </c>
      <c r="C4" s="23" t="s">
        <v>45</v>
      </c>
      <c r="D4" s="23" t="s">
        <v>46</v>
      </c>
      <c r="E4" s="24" t="s">
        <v>47</v>
      </c>
      <c r="F4" s="24" t="s">
        <v>48</v>
      </c>
      <c r="G4" s="24" t="s">
        <v>49</v>
      </c>
      <c r="H4" s="24" t="s">
        <v>50</v>
      </c>
      <c r="I4" s="24" t="s">
        <v>51</v>
      </c>
      <c r="J4" s="24" t="s">
        <v>52</v>
      </c>
      <c r="K4" s="24" t="s">
        <v>53</v>
      </c>
      <c r="L4" s="24" t="s">
        <v>54</v>
      </c>
      <c r="M4" s="23" t="s">
        <v>55</v>
      </c>
    </row>
    <row r="5" ht="24" customHeight="1" spans="2:13" x14ac:dyDescent="0.25">
      <c r="B5" s="25" t="s">
        <v>56</v>
      </c>
      <c r="C5" s="25" t="s">
        <v>57</v>
      </c>
      <c r="D5" s="25" t="s">
        <v>58</v>
      </c>
      <c r="E5" s="26" t="s">
        <v>59</v>
      </c>
      <c r="F5" s="26" t="s">
        <v>60</v>
      </c>
      <c r="G5" s="26" t="s">
        <v>60</v>
      </c>
      <c r="H5" s="26" t="s">
        <v>61</v>
      </c>
      <c r="I5" s="26" t="s">
        <v>62</v>
      </c>
      <c r="J5" s="26" t="s">
        <v>63</v>
      </c>
      <c r="K5" s="26" t="s">
        <v>63</v>
      </c>
      <c r="L5" s="26" t="s">
        <v>64</v>
      </c>
      <c r="M5" s="25" t="s">
        <v>65</v>
      </c>
    </row>
    <row r="6" ht="24" customHeight="1" spans="2:13" x14ac:dyDescent="0.25">
      <c r="B6" s="27" t="s">
        <v>66</v>
      </c>
      <c r="C6" s="27" t="s">
        <v>67</v>
      </c>
      <c r="D6" s="27" t="s">
        <v>68</v>
      </c>
      <c r="E6" s="28" t="s">
        <v>59</v>
      </c>
      <c r="F6" s="28" t="s">
        <v>60</v>
      </c>
      <c r="G6" s="28" t="s">
        <v>60</v>
      </c>
      <c r="H6" s="28" t="s">
        <v>61</v>
      </c>
      <c r="I6" s="28" t="s">
        <v>62</v>
      </c>
      <c r="J6" s="28" t="s">
        <v>69</v>
      </c>
      <c r="K6" s="28" t="s">
        <v>69</v>
      </c>
      <c r="L6" s="28" t="s">
        <v>70</v>
      </c>
      <c r="M6" s="27" t="s">
        <v>71</v>
      </c>
    </row>
    <row r="7" ht="24" customHeight="1" spans="2:13" x14ac:dyDescent="0.25">
      <c r="B7" s="25" t="s">
        <v>72</v>
      </c>
      <c r="C7" s="25" t="s">
        <v>73</v>
      </c>
      <c r="D7" s="25" t="s">
        <v>74</v>
      </c>
      <c r="E7" s="26" t="s">
        <v>59</v>
      </c>
      <c r="F7" s="26" t="s">
        <v>60</v>
      </c>
      <c r="G7" s="26" t="s">
        <v>60</v>
      </c>
      <c r="H7" s="26" t="s">
        <v>61</v>
      </c>
      <c r="I7" s="26" t="s">
        <v>62</v>
      </c>
      <c r="J7" s="26" t="s">
        <v>75</v>
      </c>
      <c r="K7" s="26" t="s">
        <v>75</v>
      </c>
      <c r="L7" s="26" t="s">
        <v>76</v>
      </c>
      <c r="M7" s="25" t="s">
        <v>77</v>
      </c>
    </row>
    <row r="8" ht="24" customHeight="1" spans="2:13" x14ac:dyDescent="0.25">
      <c r="B8" s="27" t="s">
        <v>78</v>
      </c>
      <c r="C8" s="27" t="s">
        <v>79</v>
      </c>
      <c r="D8" s="27" t="s">
        <v>80</v>
      </c>
      <c r="E8" s="28" t="s">
        <v>59</v>
      </c>
      <c r="F8" s="28" t="s">
        <v>60</v>
      </c>
      <c r="G8" s="28" t="s">
        <v>60</v>
      </c>
      <c r="H8" s="28" t="s">
        <v>61</v>
      </c>
      <c r="I8" s="28" t="s">
        <v>62</v>
      </c>
      <c r="J8" s="28" t="s">
        <v>81</v>
      </c>
      <c r="K8" s="28" t="s">
        <v>81</v>
      </c>
      <c r="L8" s="28" t="s">
        <v>82</v>
      </c>
      <c r="M8" s="27" t="s">
        <v>83</v>
      </c>
    </row>
    <row r="9" ht="24" customHeight="1" spans="2:13" x14ac:dyDescent="0.25">
      <c r="B9" s="25" t="s">
        <v>84</v>
      </c>
      <c r="C9" s="25" t="s">
        <v>85</v>
      </c>
      <c r="D9" s="25" t="s">
        <v>86</v>
      </c>
      <c r="E9" s="26" t="s">
        <v>59</v>
      </c>
      <c r="F9" s="26" t="s">
        <v>60</v>
      </c>
      <c r="G9" s="26" t="s">
        <v>60</v>
      </c>
      <c r="H9" s="26" t="s">
        <v>61</v>
      </c>
      <c r="I9" s="26" t="s">
        <v>62</v>
      </c>
      <c r="J9" s="26" t="s">
        <v>87</v>
      </c>
      <c r="K9" s="26" t="s">
        <v>87</v>
      </c>
      <c r="L9" s="26" t="s">
        <v>88</v>
      </c>
      <c r="M9" s="25" t="s">
        <v>89</v>
      </c>
    </row>
    <row r="10" ht="24" customHeight="1" spans="2:13" x14ac:dyDescent="0.25">
      <c r="B10" s="27" t="s">
        <v>90</v>
      </c>
      <c r="C10" s="27" t="s">
        <v>91</v>
      </c>
      <c r="D10" s="27" t="s">
        <v>92</v>
      </c>
      <c r="E10" s="28" t="s">
        <v>59</v>
      </c>
      <c r="F10" s="28" t="s">
        <v>60</v>
      </c>
      <c r="G10" s="28" t="s">
        <v>60</v>
      </c>
      <c r="H10" s="28" t="s">
        <v>61</v>
      </c>
      <c r="I10" s="28" t="s">
        <v>62</v>
      </c>
      <c r="J10" s="28" t="s">
        <v>93</v>
      </c>
      <c r="K10" s="28" t="s">
        <v>93</v>
      </c>
      <c r="L10" s="28" t="s">
        <v>94</v>
      </c>
      <c r="M10" s="27" t="s">
        <v>95</v>
      </c>
    </row>
    <row r="11" ht="24" customHeight="1" spans="2:13" x14ac:dyDescent="0.25">
      <c r="B11" s="25" t="s">
        <v>96</v>
      </c>
      <c r="C11" s="25" t="s">
        <v>97</v>
      </c>
      <c r="D11" s="25" t="s">
        <v>98</v>
      </c>
      <c r="E11" s="26" t="s">
        <v>59</v>
      </c>
      <c r="F11" s="26" t="s">
        <v>60</v>
      </c>
      <c r="G11" s="26" t="s">
        <v>60</v>
      </c>
      <c r="H11" s="26" t="s">
        <v>61</v>
      </c>
      <c r="I11" s="26" t="s">
        <v>62</v>
      </c>
      <c r="J11" s="26" t="s">
        <v>99</v>
      </c>
      <c r="K11" s="26" t="s">
        <v>99</v>
      </c>
      <c r="L11" s="26" t="s">
        <v>100</v>
      </c>
      <c r="M11" s="25" t="s">
        <v>101</v>
      </c>
    </row>
    <row r="12" ht="24" customHeight="1" spans="2:13" x14ac:dyDescent="0.25">
      <c r="B12" s="27" t="s">
        <v>102</v>
      </c>
      <c r="C12" s="27" t="s">
        <v>103</v>
      </c>
      <c r="D12" s="27" t="s">
        <v>104</v>
      </c>
      <c r="E12" s="28" t="s">
        <v>59</v>
      </c>
      <c r="F12" s="28" t="s">
        <v>60</v>
      </c>
      <c r="G12" s="28" t="s">
        <v>60</v>
      </c>
      <c r="H12" s="28" t="s">
        <v>61</v>
      </c>
      <c r="I12" s="28" t="s">
        <v>62</v>
      </c>
      <c r="J12" s="28" t="s">
        <v>105</v>
      </c>
      <c r="K12" s="28" t="s">
        <v>105</v>
      </c>
      <c r="L12" s="28" t="s">
        <v>106</v>
      </c>
      <c r="M12" s="27" t="s">
        <v>107</v>
      </c>
    </row>
    <row r="13" ht="24" customHeight="1" spans="2:13" x14ac:dyDescent="0.25">
      <c r="B13" s="25" t="s">
        <v>108</v>
      </c>
      <c r="C13" s="25" t="s">
        <v>109</v>
      </c>
      <c r="D13" s="25" t="s">
        <v>110</v>
      </c>
      <c r="E13" s="26" t="s">
        <v>59</v>
      </c>
      <c r="F13" s="26" t="s">
        <v>60</v>
      </c>
      <c r="G13" s="26" t="s">
        <v>60</v>
      </c>
      <c r="H13" s="26" t="s">
        <v>61</v>
      </c>
      <c r="I13" s="26" t="s">
        <v>62</v>
      </c>
      <c r="J13" s="26" t="s">
        <v>111</v>
      </c>
      <c r="K13" s="26" t="s">
        <v>111</v>
      </c>
      <c r="L13" s="26" t="s">
        <v>112</v>
      </c>
      <c r="M13" s="25" t="s">
        <v>113</v>
      </c>
    </row>
  </sheetData>
  <mergeCells count="1">
    <mergeCell ref="B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C3AED"/>
  </sheetPr>
  <dimension ref="A2:T370"/>
  <sheetViews>
    <sheetView workbookViewId="0"/>
  </sheetViews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4" width="10" customWidth="1"/>
    <col min="5" max="6" width="14" customWidth="1"/>
    <col min="7" max="7" width="22" customWidth="1"/>
    <col min="8" max="8" width="14" customWidth="1"/>
    <col min="9" max="15" width="12" customWidth="1"/>
    <col min="16" max="18" width="14" customWidth="1"/>
    <col min="19" max="19" width="16" customWidth="1"/>
    <col min="20" max="20" width="18" customWidth="1"/>
  </cols>
  <sheetData>
    <row r="2" ht="35" customHeight="1" spans="1:20" x14ac:dyDescent="0.25">
      <c r="A2" s="22" t="s">
        <v>114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4" ht="28" customHeight="1" spans="1:20" x14ac:dyDescent="0.25">
      <c r="A4" s="23" t="s">
        <v>115</v>
      </c>
      <c r="B4" s="23" t="s">
        <v>116</v>
      </c>
      <c r="C4" s="23" t="s">
        <v>117</v>
      </c>
      <c r="D4" s="23" t="s">
        <v>118</v>
      </c>
      <c r="E4" s="29" t="s">
        <v>119</v>
      </c>
      <c r="F4" s="29" t="s">
        <v>120</v>
      </c>
      <c r="G4" s="29" t="s">
        <v>121</v>
      </c>
      <c r="H4" s="29" t="s">
        <v>122</v>
      </c>
      <c r="I4" s="29" t="s">
        <v>123</v>
      </c>
      <c r="J4" s="29" t="s">
        <v>124</v>
      </c>
      <c r="K4" s="29" t="s">
        <v>125</v>
      </c>
      <c r="L4" s="29" t="s">
        <v>126</v>
      </c>
      <c r="M4" s="29" t="s">
        <v>127</v>
      </c>
      <c r="N4" s="29" t="s">
        <v>128</v>
      </c>
      <c r="O4" s="29" t="s">
        <v>129</v>
      </c>
      <c r="P4" s="29" t="s">
        <v>130</v>
      </c>
      <c r="Q4" s="29" t="s">
        <v>131</v>
      </c>
      <c r="R4" s="29" t="s">
        <v>132</v>
      </c>
      <c r="S4" s="29" t="s">
        <v>133</v>
      </c>
      <c r="T4" s="29" t="s">
        <v>134</v>
      </c>
    </row>
    <row r="5" ht="20" customHeight="1" spans="1:20" x14ac:dyDescent="0.25">
      <c r="A5" s="12" t="s">
        <v>135</v>
      </c>
      <c r="B5" s="12" t="s">
        <v>136</v>
      </c>
      <c r="C5" s="12" t="s">
        <v>137</v>
      </c>
      <c r="D5" s="12" t="s">
        <v>138</v>
      </c>
      <c r="E5" s="30">
        <v>8.319999694824219</v>
      </c>
      <c r="F5" s="31">
        <v>3988</v>
      </c>
      <c r="G5" s="12" t="s">
        <v>139</v>
      </c>
      <c r="H5" s="31">
        <v>199.4</v>
      </c>
      <c r="I5" s="31">
        <f>ROUND(H5*1.0, 2)</f>
      </c>
      <c r="J5" s="31">
        <f>ROUND(H5*0.95, 2)</f>
      </c>
      <c r="K5" s="31">
        <f>ROUND(H5*0.95, 2)</f>
      </c>
      <c r="L5" s="31">
        <f>ROUND(H5*1.05, 2)</f>
      </c>
      <c r="M5" s="31">
        <f>ROUND(H5*1.25, 2)</f>
      </c>
      <c r="N5" s="31">
        <f>ROUND(H5*1.55, 2)</f>
      </c>
      <c r="O5" s="31">
        <f>ROUND(H5*1.65, 2)</f>
      </c>
      <c r="P5" s="31">
        <f>SUM(I5:O5)</f>
      </c>
      <c r="Q5" s="31">
        <f>ROUND(H5*1.5, 2)</f>
      </c>
      <c r="R5" s="31">
        <f>ROUND(H5*2.0, 2)</f>
      </c>
      <c r="S5" s="12">
        <f>IF(F5&lt;=R5, "TRIGGER INDENT", "STOCK HEALTHY")</f>
      </c>
      <c r="T5" s="31">
        <f>IF(F5&lt;=R5, ROUND(MAX(H5, (I5+Q5)-F5), 2), 0)</f>
      </c>
    </row>
    <row r="6" ht="20" customHeight="1" spans="1:20" x14ac:dyDescent="0.25">
      <c r="A6" s="14" t="s">
        <v>140</v>
      </c>
      <c r="B6" s="14" t="s">
        <v>141</v>
      </c>
      <c r="C6" s="14" t="s">
        <v>137</v>
      </c>
      <c r="D6" s="14" t="s">
        <v>138</v>
      </c>
      <c r="E6" s="32">
        <v>12.15999984741211</v>
      </c>
      <c r="F6" s="33">
        <v>8766</v>
      </c>
      <c r="G6" s="14" t="s">
        <v>142</v>
      </c>
      <c r="H6" s="33">
        <v>438.3</v>
      </c>
      <c r="I6" s="33">
        <f>ROUND(H6*1.0, 2)</f>
      </c>
      <c r="J6" s="33">
        <f>ROUND(H6*0.95, 2)</f>
      </c>
      <c r="K6" s="33">
        <f>ROUND(H6*0.95, 2)</f>
      </c>
      <c r="L6" s="33">
        <f>ROUND(H6*1.05, 2)</f>
      </c>
      <c r="M6" s="33">
        <f>ROUND(H6*1.25, 2)</f>
      </c>
      <c r="N6" s="33">
        <f>ROUND(H6*1.55, 2)</f>
      </c>
      <c r="O6" s="33">
        <f>ROUND(H6*1.65, 2)</f>
      </c>
      <c r="P6" s="33">
        <f>SUM(I6:O6)</f>
      </c>
      <c r="Q6" s="33">
        <f>ROUND(H6*1.5, 2)</f>
      </c>
      <c r="R6" s="33">
        <f>ROUND(H6*2.0, 2)</f>
      </c>
      <c r="S6" s="14">
        <f>IF(F6&lt;=R6, "TRIGGER INDENT", "STOCK HEALTHY")</f>
      </c>
      <c r="T6" s="33">
        <f>IF(F6&lt;=R6, ROUND(MAX(H6, (I6+Q6)-F6), 2), 0)</f>
      </c>
    </row>
    <row r="7" ht="20" customHeight="1" spans="1:20" x14ac:dyDescent="0.25">
      <c r="A7" s="12" t="s">
        <v>143</v>
      </c>
      <c r="B7" s="12" t="s">
        <v>144</v>
      </c>
      <c r="C7" s="12" t="s">
        <v>137</v>
      </c>
      <c r="D7" s="12" t="s">
        <v>138</v>
      </c>
      <c r="E7" s="30">
        <v>16.739999771118164</v>
      </c>
      <c r="F7" s="31">
        <v>7198</v>
      </c>
      <c r="G7" s="12" t="s">
        <v>139</v>
      </c>
      <c r="H7" s="31">
        <v>359.9</v>
      </c>
      <c r="I7" s="31">
        <f>ROUND(H7*1.0, 2)</f>
      </c>
      <c r="J7" s="31">
        <f>ROUND(H7*0.95, 2)</f>
      </c>
      <c r="K7" s="31">
        <f>ROUND(H7*0.95, 2)</f>
      </c>
      <c r="L7" s="31">
        <f>ROUND(H7*1.05, 2)</f>
      </c>
      <c r="M7" s="31">
        <f>ROUND(H7*1.25, 2)</f>
      </c>
      <c r="N7" s="31">
        <f>ROUND(H7*1.55, 2)</f>
      </c>
      <c r="O7" s="31">
        <f>ROUND(H7*1.65, 2)</f>
      </c>
      <c r="P7" s="31">
        <f>SUM(I7:O7)</f>
      </c>
      <c r="Q7" s="31">
        <f>ROUND(H7*1.5, 2)</f>
      </c>
      <c r="R7" s="31">
        <f>ROUND(H7*2.0, 2)</f>
      </c>
      <c r="S7" s="12">
        <f>IF(F7&lt;=R7, "TRIGGER INDENT", "STOCK HEALTHY")</f>
      </c>
      <c r="T7" s="31">
        <f>IF(F7&lt;=R7, ROUND(MAX(H7, (I7+Q7)-F7), 2), 0)</f>
      </c>
    </row>
    <row r="8" ht="20" customHeight="1" spans="1:20" x14ac:dyDescent="0.25">
      <c r="A8" s="14" t="s">
        <v>145</v>
      </c>
      <c r="B8" s="14" t="s">
        <v>146</v>
      </c>
      <c r="C8" s="14" t="s">
        <v>147</v>
      </c>
      <c r="D8" s="14" t="s">
        <v>148</v>
      </c>
      <c r="E8" s="32">
        <v>393.1300048828125</v>
      </c>
      <c r="F8" s="33">
        <v>32</v>
      </c>
      <c r="G8" s="14" t="s">
        <v>149</v>
      </c>
      <c r="H8" s="33">
        <v>6.4</v>
      </c>
      <c r="I8" s="33">
        <f>ROUND(H8*1.0, 2)</f>
      </c>
      <c r="J8" s="33">
        <f>ROUND(H8*0.95, 2)</f>
      </c>
      <c r="K8" s="33">
        <f>ROUND(H8*0.95, 2)</f>
      </c>
      <c r="L8" s="33">
        <f>ROUND(H8*1.05, 2)</f>
      </c>
      <c r="M8" s="33">
        <f>ROUND(H8*1.25, 2)</f>
      </c>
      <c r="N8" s="33">
        <f>ROUND(H8*1.55, 2)</f>
      </c>
      <c r="O8" s="33">
        <f>ROUND(H8*1.65, 2)</f>
      </c>
      <c r="P8" s="33">
        <f>SUM(I8:O8)</f>
      </c>
      <c r="Q8" s="33">
        <f>ROUND(H8*1.5, 2)</f>
      </c>
      <c r="R8" s="33">
        <f>ROUND(H8*2.0, 2)</f>
      </c>
      <c r="S8" s="14">
        <f>IF(F8&lt;=R8, "TRIGGER INDENT", "STOCK HEALTHY")</f>
      </c>
      <c r="T8" s="33">
        <f>IF(F8&lt;=R8, ROUND(MAX(H8, (I8+Q8)-F8), 2), 0)</f>
      </c>
    </row>
    <row r="9" ht="20" customHeight="1" spans="1:20" x14ac:dyDescent="0.25">
      <c r="A9" s="12" t="s">
        <v>150</v>
      </c>
      <c r="B9" s="12" t="s">
        <v>151</v>
      </c>
      <c r="C9" s="12" t="s">
        <v>152</v>
      </c>
      <c r="D9" s="12" t="s">
        <v>153</v>
      </c>
      <c r="E9" s="30">
        <v>556</v>
      </c>
      <c r="F9" s="31">
        <v>14</v>
      </c>
      <c r="G9" s="12" t="s">
        <v>154</v>
      </c>
      <c r="H9" s="31">
        <v>2.8</v>
      </c>
      <c r="I9" s="31">
        <f>ROUND(H9*1.0, 2)</f>
      </c>
      <c r="J9" s="31">
        <f>ROUND(H9*0.95, 2)</f>
      </c>
      <c r="K9" s="31">
        <f>ROUND(H9*0.95, 2)</f>
      </c>
      <c r="L9" s="31">
        <f>ROUND(H9*1.05, 2)</f>
      </c>
      <c r="M9" s="31">
        <f>ROUND(H9*1.25, 2)</f>
      </c>
      <c r="N9" s="31">
        <f>ROUND(H9*1.55, 2)</f>
      </c>
      <c r="O9" s="31">
        <f>ROUND(H9*1.65, 2)</f>
      </c>
      <c r="P9" s="31">
        <f>SUM(I9:O9)</f>
      </c>
      <c r="Q9" s="31">
        <f>ROUND(H9*1.5, 2)</f>
      </c>
      <c r="R9" s="31">
        <f>ROUND(H9*2.0, 2)</f>
      </c>
      <c r="S9" s="12">
        <f>IF(F9&lt;=R9, "TRIGGER INDENT", "STOCK HEALTHY")</f>
      </c>
      <c r="T9" s="31">
        <f>IF(F9&lt;=R9, ROUND(MAX(H9, (I9+Q9)-F9), 2), 0)</f>
      </c>
    </row>
    <row r="10" ht="20" customHeight="1" spans="1:20" x14ac:dyDescent="0.25">
      <c r="A10" s="14" t="s">
        <v>155</v>
      </c>
      <c r="B10" s="14" t="s">
        <v>156</v>
      </c>
      <c r="C10" s="14" t="s">
        <v>152</v>
      </c>
      <c r="D10" s="14" t="s">
        <v>153</v>
      </c>
      <c r="E10" s="32">
        <v>536</v>
      </c>
      <c r="F10" s="33">
        <v>25.600004</v>
      </c>
      <c r="G10" s="14" t="s">
        <v>154</v>
      </c>
      <c r="H10" s="33">
        <v>5.12</v>
      </c>
      <c r="I10" s="33">
        <f>ROUND(H10*1.0, 2)</f>
      </c>
      <c r="J10" s="33">
        <f>ROUND(H10*0.95, 2)</f>
      </c>
      <c r="K10" s="33">
        <f>ROUND(H10*0.95, 2)</f>
      </c>
      <c r="L10" s="33">
        <f>ROUND(H10*1.05, 2)</f>
      </c>
      <c r="M10" s="33">
        <f>ROUND(H10*1.25, 2)</f>
      </c>
      <c r="N10" s="33">
        <f>ROUND(H10*1.55, 2)</f>
      </c>
      <c r="O10" s="33">
        <f>ROUND(H10*1.65, 2)</f>
      </c>
      <c r="P10" s="33">
        <f>SUM(I10:O10)</f>
      </c>
      <c r="Q10" s="33">
        <f>ROUND(H10*1.5, 2)</f>
      </c>
      <c r="R10" s="33">
        <f>ROUND(H10*2.0, 2)</f>
      </c>
      <c r="S10" s="14">
        <f>IF(F10&lt;=R10, "TRIGGER INDENT", "STOCK HEALTHY")</f>
      </c>
      <c r="T10" s="33">
        <f>IF(F10&lt;=R10, ROUND(MAX(H10, (I10+Q10)-F10), 2), 0)</f>
      </c>
    </row>
    <row r="11" ht="20" customHeight="1" spans="1:20" x14ac:dyDescent="0.25">
      <c r="A11" s="12" t="s">
        <v>157</v>
      </c>
      <c r="B11" s="12" t="s">
        <v>158</v>
      </c>
      <c r="C11" s="12" t="s">
        <v>159</v>
      </c>
      <c r="D11" s="12" t="s">
        <v>153</v>
      </c>
      <c r="E11" s="30">
        <v>229.3300018310547</v>
      </c>
      <c r="F11" s="31">
        <v>1.5100002</v>
      </c>
      <c r="G11" s="12" t="s">
        <v>160</v>
      </c>
      <c r="H11" s="31">
        <v>1</v>
      </c>
      <c r="I11" s="31">
        <f>ROUND(H11*1.0, 2)</f>
      </c>
      <c r="J11" s="31">
        <f>ROUND(H11*0.95, 2)</f>
      </c>
      <c r="K11" s="31">
        <f>ROUND(H11*0.95, 2)</f>
      </c>
      <c r="L11" s="31">
        <f>ROUND(H11*1.05, 2)</f>
      </c>
      <c r="M11" s="31">
        <f>ROUND(H11*1.25, 2)</f>
      </c>
      <c r="N11" s="31">
        <f>ROUND(H11*1.55, 2)</f>
      </c>
      <c r="O11" s="31">
        <f>ROUND(H11*1.65, 2)</f>
      </c>
      <c r="P11" s="31">
        <f>SUM(I11:O11)</f>
      </c>
      <c r="Q11" s="31">
        <f>ROUND(H11*1.5, 2)</f>
      </c>
      <c r="R11" s="31">
        <f>ROUND(H11*2.0, 2)</f>
      </c>
      <c r="S11" s="12">
        <f>IF(F11&lt;=R11, "TRIGGER INDENT", "STOCK HEALTHY")</f>
      </c>
      <c r="T11" s="31">
        <f>IF(F11&lt;=R11, ROUND(MAX(H11, (I11+Q11)-F11), 2), 0)</f>
      </c>
    </row>
    <row r="12" ht="20" customHeight="1" spans="1:20" x14ac:dyDescent="0.25">
      <c r="A12" s="14" t="s">
        <v>161</v>
      </c>
      <c r="B12" s="14" t="s">
        <v>162</v>
      </c>
      <c r="C12" s="14" t="s">
        <v>159</v>
      </c>
      <c r="D12" s="14" t="s">
        <v>153</v>
      </c>
      <c r="E12" s="32">
        <v>245.92999267578125</v>
      </c>
      <c r="F12" s="33">
        <v>96</v>
      </c>
      <c r="G12" s="14" t="s">
        <v>160</v>
      </c>
      <c r="H12" s="33">
        <v>11.52</v>
      </c>
      <c r="I12" s="33">
        <f>ROUND(H12*1.0, 2)</f>
      </c>
      <c r="J12" s="33">
        <f>ROUND(H12*0.95, 2)</f>
      </c>
      <c r="K12" s="33">
        <f>ROUND(H12*0.95, 2)</f>
      </c>
      <c r="L12" s="33">
        <f>ROUND(H12*1.05, 2)</f>
      </c>
      <c r="M12" s="33">
        <f>ROUND(H12*1.25, 2)</f>
      </c>
      <c r="N12" s="33">
        <f>ROUND(H12*1.55, 2)</f>
      </c>
      <c r="O12" s="33">
        <f>ROUND(H12*1.65, 2)</f>
      </c>
      <c r="P12" s="33">
        <f>SUM(I12:O12)</f>
      </c>
      <c r="Q12" s="33">
        <f>ROUND(H12*1.5, 2)</f>
      </c>
      <c r="R12" s="33">
        <f>ROUND(H12*2.0, 2)</f>
      </c>
      <c r="S12" s="14">
        <f>IF(F12&lt;=R12, "TRIGGER INDENT", "STOCK HEALTHY")</f>
      </c>
      <c r="T12" s="33">
        <f>IF(F12&lt;=R12, ROUND(MAX(H12, (I12+Q12)-F12), 2), 0)</f>
      </c>
    </row>
    <row r="13" ht="20" customHeight="1" spans="1:20" x14ac:dyDescent="0.25">
      <c r="A13" s="12" t="s">
        <v>163</v>
      </c>
      <c r="B13" s="12" t="s">
        <v>164</v>
      </c>
      <c r="C13" s="12" t="s">
        <v>152</v>
      </c>
      <c r="D13" s="12" t="s">
        <v>153</v>
      </c>
      <c r="E13" s="30">
        <v>360</v>
      </c>
      <c r="F13" s="31">
        <v>206.80003</v>
      </c>
      <c r="G13" s="12" t="s">
        <v>142</v>
      </c>
      <c r="H13" s="31">
        <v>16.54</v>
      </c>
      <c r="I13" s="31">
        <f>ROUND(H13*1.0, 2)</f>
      </c>
      <c r="J13" s="31">
        <f>ROUND(H13*0.95, 2)</f>
      </c>
      <c r="K13" s="31">
        <f>ROUND(H13*0.95, 2)</f>
      </c>
      <c r="L13" s="31">
        <f>ROUND(H13*1.05, 2)</f>
      </c>
      <c r="M13" s="31">
        <f>ROUND(H13*1.25, 2)</f>
      </c>
      <c r="N13" s="31">
        <f>ROUND(H13*1.55, 2)</f>
      </c>
      <c r="O13" s="31">
        <f>ROUND(H13*1.65, 2)</f>
      </c>
      <c r="P13" s="31">
        <f>SUM(I13:O13)</f>
      </c>
      <c r="Q13" s="31">
        <f>ROUND(H13*1.5, 2)</f>
      </c>
      <c r="R13" s="31">
        <f>ROUND(H13*2.0, 2)</f>
      </c>
      <c r="S13" s="12">
        <f>IF(F13&lt;=R13, "TRIGGER INDENT", "STOCK HEALTHY")</f>
      </c>
      <c r="T13" s="31">
        <f>IF(F13&lt;=R13, ROUND(MAX(H13, (I13+Q13)-F13), 2), 0)</f>
      </c>
    </row>
    <row r="14" ht="20" customHeight="1" spans="1:20" x14ac:dyDescent="0.25">
      <c r="A14" s="14" t="s">
        <v>165</v>
      </c>
      <c r="B14" s="14" t="s">
        <v>166</v>
      </c>
      <c r="C14" s="14" t="s">
        <v>167</v>
      </c>
      <c r="D14" s="14" t="s">
        <v>153</v>
      </c>
      <c r="E14" s="32">
        <v>37.93000030517578</v>
      </c>
      <c r="F14" s="33">
        <v>2491.5</v>
      </c>
      <c r="G14" s="14" t="s">
        <v>139</v>
      </c>
      <c r="H14" s="33">
        <v>124.58</v>
      </c>
      <c r="I14" s="33">
        <f>ROUND(H14*1.0, 2)</f>
      </c>
      <c r="J14" s="33">
        <f>ROUND(H14*0.95, 2)</f>
      </c>
      <c r="K14" s="33">
        <f>ROUND(H14*0.95, 2)</f>
      </c>
      <c r="L14" s="33">
        <f>ROUND(H14*1.05, 2)</f>
      </c>
      <c r="M14" s="33">
        <f>ROUND(H14*1.25, 2)</f>
      </c>
      <c r="N14" s="33">
        <f>ROUND(H14*1.55, 2)</f>
      </c>
      <c r="O14" s="33">
        <f>ROUND(H14*1.65, 2)</f>
      </c>
      <c r="P14" s="33">
        <f>SUM(I14:O14)</f>
      </c>
      <c r="Q14" s="33">
        <f>ROUND(H14*1.5, 2)</f>
      </c>
      <c r="R14" s="33">
        <f>ROUND(H14*2.0, 2)</f>
      </c>
      <c r="S14" s="14">
        <f>IF(F14&lt;=R14, "TRIGGER INDENT", "STOCK HEALTHY")</f>
      </c>
      <c r="T14" s="33">
        <f>IF(F14&lt;=R14, ROUND(MAX(H14, (I14+Q14)-F14), 2), 0)</f>
      </c>
    </row>
    <row r="15" ht="20" customHeight="1" spans="1:20" x14ac:dyDescent="0.25">
      <c r="A15" s="12" t="s">
        <v>168</v>
      </c>
      <c r="B15" s="12" t="s">
        <v>169</v>
      </c>
      <c r="C15" s="12" t="s">
        <v>170</v>
      </c>
      <c r="D15" s="12" t="s">
        <v>153</v>
      </c>
      <c r="E15" s="30">
        <v>48.66999816894531</v>
      </c>
      <c r="F15" s="31">
        <v>370.39993</v>
      </c>
      <c r="G15" s="12" t="s">
        <v>149</v>
      </c>
      <c r="H15" s="31">
        <v>29.63</v>
      </c>
      <c r="I15" s="31">
        <f>ROUND(H15*1.0, 2)</f>
      </c>
      <c r="J15" s="31">
        <f>ROUND(H15*0.95, 2)</f>
      </c>
      <c r="K15" s="31">
        <f>ROUND(H15*0.95, 2)</f>
      </c>
      <c r="L15" s="31">
        <f>ROUND(H15*1.05, 2)</f>
      </c>
      <c r="M15" s="31">
        <f>ROUND(H15*1.25, 2)</f>
      </c>
      <c r="N15" s="31">
        <f>ROUND(H15*1.55, 2)</f>
      </c>
      <c r="O15" s="31">
        <f>ROUND(H15*1.65, 2)</f>
      </c>
      <c r="P15" s="31">
        <f>SUM(I15:O15)</f>
      </c>
      <c r="Q15" s="31">
        <f>ROUND(H15*1.5, 2)</f>
      </c>
      <c r="R15" s="31">
        <f>ROUND(H15*2.0, 2)</f>
      </c>
      <c r="S15" s="12">
        <f>IF(F15&lt;=R15, "TRIGGER INDENT", "STOCK HEALTHY")</f>
      </c>
      <c r="T15" s="31">
        <f>IF(F15&lt;=R15, ROUND(MAX(H15, (I15+Q15)-F15), 2), 0)</f>
      </c>
    </row>
    <row r="16" ht="20" customHeight="1" spans="1:20" x14ac:dyDescent="0.25">
      <c r="A16" s="14" t="s">
        <v>171</v>
      </c>
      <c r="B16" s="14" t="s">
        <v>172</v>
      </c>
      <c r="C16" s="14" t="s">
        <v>170</v>
      </c>
      <c r="D16" s="14" t="s">
        <v>173</v>
      </c>
      <c r="E16" s="32">
        <v>120</v>
      </c>
      <c r="F16" s="33">
        <v>182</v>
      </c>
      <c r="G16" s="14" t="s">
        <v>142</v>
      </c>
      <c r="H16" s="33">
        <v>21.84</v>
      </c>
      <c r="I16" s="33">
        <f>ROUND(H16*1.0, 2)</f>
      </c>
      <c r="J16" s="33">
        <f>ROUND(H16*0.95, 2)</f>
      </c>
      <c r="K16" s="33">
        <f>ROUND(H16*0.95, 2)</f>
      </c>
      <c r="L16" s="33">
        <f>ROUND(H16*1.05, 2)</f>
      </c>
      <c r="M16" s="33">
        <f>ROUND(H16*1.25, 2)</f>
      </c>
      <c r="N16" s="33">
        <f>ROUND(H16*1.55, 2)</f>
      </c>
      <c r="O16" s="33">
        <f>ROUND(H16*1.65, 2)</f>
      </c>
      <c r="P16" s="33">
        <f>SUM(I16:O16)</f>
      </c>
      <c r="Q16" s="33">
        <f>ROUND(H16*1.5, 2)</f>
      </c>
      <c r="R16" s="33">
        <f>ROUND(H16*2.0, 2)</f>
      </c>
      <c r="S16" s="14">
        <f>IF(F16&lt;=R16, "TRIGGER INDENT", "STOCK HEALTHY")</f>
      </c>
      <c r="T16" s="33">
        <f>IF(F16&lt;=R16, ROUND(MAX(H16, (I16+Q16)-F16), 2), 0)</f>
      </c>
    </row>
    <row r="17" ht="20" customHeight="1" spans="1:20" x14ac:dyDescent="0.25">
      <c r="A17" s="12" t="s">
        <v>174</v>
      </c>
      <c r="B17" s="12" t="s">
        <v>175</v>
      </c>
      <c r="C17" s="12" t="s">
        <v>176</v>
      </c>
      <c r="D17" s="12" t="s">
        <v>153</v>
      </c>
      <c r="E17" s="30">
        <v>885.8900146484375</v>
      </c>
      <c r="F17" s="31">
        <v>22.399998</v>
      </c>
      <c r="G17" s="12" t="s">
        <v>177</v>
      </c>
      <c r="H17" s="31">
        <v>4.48</v>
      </c>
      <c r="I17" s="31">
        <f>ROUND(H17*1.0, 2)</f>
      </c>
      <c r="J17" s="31">
        <f>ROUND(H17*0.95, 2)</f>
      </c>
      <c r="K17" s="31">
        <f>ROUND(H17*0.95, 2)</f>
      </c>
      <c r="L17" s="31">
        <f>ROUND(H17*1.05, 2)</f>
      </c>
      <c r="M17" s="31">
        <f>ROUND(H17*1.25, 2)</f>
      </c>
      <c r="N17" s="31">
        <f>ROUND(H17*1.55, 2)</f>
      </c>
      <c r="O17" s="31">
        <f>ROUND(H17*1.65, 2)</f>
      </c>
      <c r="P17" s="31">
        <f>SUM(I17:O17)</f>
      </c>
      <c r="Q17" s="31">
        <f>ROUND(H17*1.5, 2)</f>
      </c>
      <c r="R17" s="31">
        <f>ROUND(H17*2.0, 2)</f>
      </c>
      <c r="S17" s="12">
        <f>IF(F17&lt;=R17, "TRIGGER INDENT", "STOCK HEALTHY")</f>
      </c>
      <c r="T17" s="31">
        <f>IF(F17&lt;=R17, ROUND(MAX(H17, (I17+Q17)-F17), 2), 0)</f>
      </c>
    </row>
    <row r="18" ht="20" customHeight="1" spans="1:20" x14ac:dyDescent="0.25">
      <c r="A18" s="14" t="s">
        <v>178</v>
      </c>
      <c r="B18" s="14" t="s">
        <v>179</v>
      </c>
      <c r="C18" s="14" t="s">
        <v>170</v>
      </c>
      <c r="D18" s="14" t="s">
        <v>138</v>
      </c>
      <c r="E18" s="32">
        <v>35.959999084472656</v>
      </c>
      <c r="F18" s="33">
        <v>244</v>
      </c>
      <c r="G18" s="14" t="s">
        <v>139</v>
      </c>
      <c r="H18" s="33">
        <v>19.52</v>
      </c>
      <c r="I18" s="33">
        <f>ROUND(H18*1.0, 2)</f>
      </c>
      <c r="J18" s="33">
        <f>ROUND(H18*0.95, 2)</f>
      </c>
      <c r="K18" s="33">
        <f>ROUND(H18*0.95, 2)</f>
      </c>
      <c r="L18" s="33">
        <f>ROUND(H18*1.05, 2)</f>
      </c>
      <c r="M18" s="33">
        <f>ROUND(H18*1.25, 2)</f>
      </c>
      <c r="N18" s="33">
        <f>ROUND(H18*1.55, 2)</f>
      </c>
      <c r="O18" s="33">
        <f>ROUND(H18*1.65, 2)</f>
      </c>
      <c r="P18" s="33">
        <f>SUM(I18:O18)</f>
      </c>
      <c r="Q18" s="33">
        <f>ROUND(H18*1.5, 2)</f>
      </c>
      <c r="R18" s="33">
        <f>ROUND(H18*2.0, 2)</f>
      </c>
      <c r="S18" s="14">
        <f>IF(F18&lt;=R18, "TRIGGER INDENT", "STOCK HEALTHY")</f>
      </c>
      <c r="T18" s="33">
        <f>IF(F18&lt;=R18, ROUND(MAX(H18, (I18+Q18)-F18), 2), 0)</f>
      </c>
    </row>
    <row r="19" ht="20" customHeight="1" spans="1:20" x14ac:dyDescent="0.25">
      <c r="A19" s="12" t="s">
        <v>180</v>
      </c>
      <c r="B19" s="12" t="s">
        <v>181</v>
      </c>
      <c r="C19" s="12" t="s">
        <v>159</v>
      </c>
      <c r="D19" s="12" t="s">
        <v>182</v>
      </c>
      <c r="E19" s="30">
        <v>57</v>
      </c>
      <c r="F19" s="31">
        <v>0</v>
      </c>
      <c r="G19" s="12" t="s">
        <v>177</v>
      </c>
      <c r="H19" s="31">
        <v>2</v>
      </c>
      <c r="I19" s="31">
        <f>ROUND(H19*1.0, 2)</f>
      </c>
      <c r="J19" s="31">
        <f>ROUND(H19*0.95, 2)</f>
      </c>
      <c r="K19" s="31">
        <f>ROUND(H19*0.95, 2)</f>
      </c>
      <c r="L19" s="31">
        <f>ROUND(H19*1.05, 2)</f>
      </c>
      <c r="M19" s="31">
        <f>ROUND(H19*1.25, 2)</f>
      </c>
      <c r="N19" s="31">
        <f>ROUND(H19*1.55, 2)</f>
      </c>
      <c r="O19" s="31">
        <f>ROUND(H19*1.65, 2)</f>
      </c>
      <c r="P19" s="31">
        <f>SUM(I19:O19)</f>
      </c>
      <c r="Q19" s="31">
        <f>ROUND(H19*1.5, 2)</f>
      </c>
      <c r="R19" s="31">
        <f>ROUND(H19*2.0, 2)</f>
      </c>
      <c r="S19" s="12">
        <f>IF(F19&lt;=R19, "TRIGGER INDENT", "STOCK HEALTHY")</f>
      </c>
      <c r="T19" s="31">
        <f>IF(F19&lt;=R19, ROUND(MAX(H19, (I19+Q19)-F19), 2), 0)</f>
      </c>
    </row>
    <row r="20" ht="20" customHeight="1" spans="1:20" x14ac:dyDescent="0.25">
      <c r="A20" s="14" t="s">
        <v>183</v>
      </c>
      <c r="B20" s="14" t="s">
        <v>184</v>
      </c>
      <c r="C20" s="14" t="s">
        <v>185</v>
      </c>
      <c r="D20" s="14" t="s">
        <v>138</v>
      </c>
      <c r="E20" s="32">
        <v>160</v>
      </c>
      <c r="F20" s="33">
        <v>627</v>
      </c>
      <c r="G20" s="14" t="s">
        <v>186</v>
      </c>
      <c r="H20" s="33">
        <v>50.16</v>
      </c>
      <c r="I20" s="33">
        <f>ROUND(H20*1.0, 2)</f>
      </c>
      <c r="J20" s="33">
        <f>ROUND(H20*0.95, 2)</f>
      </c>
      <c r="K20" s="33">
        <f>ROUND(H20*0.95, 2)</f>
      </c>
      <c r="L20" s="33">
        <f>ROUND(H20*1.05, 2)</f>
      </c>
      <c r="M20" s="33">
        <f>ROUND(H20*1.25, 2)</f>
      </c>
      <c r="N20" s="33">
        <f>ROUND(H20*1.55, 2)</f>
      </c>
      <c r="O20" s="33">
        <f>ROUND(H20*1.65, 2)</f>
      </c>
      <c r="P20" s="33">
        <f>SUM(I20:O20)</f>
      </c>
      <c r="Q20" s="33">
        <f>ROUND(H20*1.5, 2)</f>
      </c>
      <c r="R20" s="33">
        <f>ROUND(H20*2.0, 2)</f>
      </c>
      <c r="S20" s="14">
        <f>IF(F20&lt;=R20, "TRIGGER INDENT", "STOCK HEALTHY")</f>
      </c>
      <c r="T20" s="33">
        <f>IF(F20&lt;=R20, ROUND(MAX(H20, (I20+Q20)-F20), 2), 0)</f>
      </c>
    </row>
    <row r="21" ht="20" customHeight="1" spans="1:20" x14ac:dyDescent="0.25">
      <c r="A21" s="12" t="s">
        <v>187</v>
      </c>
      <c r="B21" s="12" t="s">
        <v>188</v>
      </c>
      <c r="C21" s="12" t="s">
        <v>189</v>
      </c>
      <c r="D21" s="12" t="s">
        <v>138</v>
      </c>
      <c r="E21" s="30">
        <v>3096.9599609375</v>
      </c>
      <c r="F21" s="31">
        <v>667.5</v>
      </c>
      <c r="G21" s="12" t="s">
        <v>190</v>
      </c>
      <c r="H21" s="31">
        <v>53.4</v>
      </c>
      <c r="I21" s="31">
        <f>ROUND(H21*1.0, 2)</f>
      </c>
      <c r="J21" s="31">
        <f>ROUND(H21*0.95, 2)</f>
      </c>
      <c r="K21" s="31">
        <f>ROUND(H21*0.95, 2)</f>
      </c>
      <c r="L21" s="31">
        <f>ROUND(H21*1.05, 2)</f>
      </c>
      <c r="M21" s="31">
        <f>ROUND(H21*1.25, 2)</f>
      </c>
      <c r="N21" s="31">
        <f>ROUND(H21*1.55, 2)</f>
      </c>
      <c r="O21" s="31">
        <f>ROUND(H21*1.65, 2)</f>
      </c>
      <c r="P21" s="31">
        <f>SUM(I21:O21)</f>
      </c>
      <c r="Q21" s="31">
        <f>ROUND(H21*1.5, 2)</f>
      </c>
      <c r="R21" s="31">
        <f>ROUND(H21*2.0, 2)</f>
      </c>
      <c r="S21" s="12">
        <f>IF(F21&lt;=R21, "TRIGGER INDENT", "STOCK HEALTHY")</f>
      </c>
      <c r="T21" s="31">
        <f>IF(F21&lt;=R21, ROUND(MAX(H21, (I21+Q21)-F21), 2), 0)</f>
      </c>
    </row>
    <row r="22" ht="20" customHeight="1" spans="1:20" x14ac:dyDescent="0.25">
      <c r="A22" s="14" t="s">
        <v>191</v>
      </c>
      <c r="B22" s="14" t="s">
        <v>192</v>
      </c>
      <c r="C22" s="14" t="s">
        <v>152</v>
      </c>
      <c r="D22" s="14" t="s">
        <v>153</v>
      </c>
      <c r="E22" s="32">
        <v>265</v>
      </c>
      <c r="F22" s="33">
        <v>17.71</v>
      </c>
      <c r="G22" s="14" t="s">
        <v>142</v>
      </c>
      <c r="H22" s="33">
        <v>3.54</v>
      </c>
      <c r="I22" s="33">
        <f>ROUND(H22*1.0, 2)</f>
      </c>
      <c r="J22" s="33">
        <f>ROUND(H22*0.95, 2)</f>
      </c>
      <c r="K22" s="33">
        <f>ROUND(H22*0.95, 2)</f>
      </c>
      <c r="L22" s="33">
        <f>ROUND(H22*1.05, 2)</f>
      </c>
      <c r="M22" s="33">
        <f>ROUND(H22*1.25, 2)</f>
      </c>
      <c r="N22" s="33">
        <f>ROUND(H22*1.55, 2)</f>
      </c>
      <c r="O22" s="33">
        <f>ROUND(H22*1.65, 2)</f>
      </c>
      <c r="P22" s="33">
        <f>SUM(I22:O22)</f>
      </c>
      <c r="Q22" s="33">
        <f>ROUND(H22*1.5, 2)</f>
      </c>
      <c r="R22" s="33">
        <f>ROUND(H22*2.0, 2)</f>
      </c>
      <c r="S22" s="14">
        <f>IF(F22&lt;=R22, "TRIGGER INDENT", "STOCK HEALTHY")</f>
      </c>
      <c r="T22" s="33">
        <f>IF(F22&lt;=R22, ROUND(MAX(H22, (I22+Q22)-F22), 2), 0)</f>
      </c>
    </row>
    <row r="23" ht="20" customHeight="1" spans="1:20" x14ac:dyDescent="0.25">
      <c r="A23" s="12" t="s">
        <v>193</v>
      </c>
      <c r="B23" s="12" t="s">
        <v>194</v>
      </c>
      <c r="C23" s="12" t="s">
        <v>195</v>
      </c>
      <c r="D23" s="12" t="s">
        <v>153</v>
      </c>
      <c r="E23" s="30">
        <v>110.94000244140625</v>
      </c>
      <c r="F23" s="31">
        <v>4685</v>
      </c>
      <c r="G23" s="12" t="s">
        <v>190</v>
      </c>
      <c r="H23" s="31">
        <v>234.25</v>
      </c>
      <c r="I23" s="31">
        <f>ROUND(H23*1.0, 2)</f>
      </c>
      <c r="J23" s="31">
        <f>ROUND(H23*0.95, 2)</f>
      </c>
      <c r="K23" s="31">
        <f>ROUND(H23*0.95, 2)</f>
      </c>
      <c r="L23" s="31">
        <f>ROUND(H23*1.05, 2)</f>
      </c>
      <c r="M23" s="31">
        <f>ROUND(H23*1.25, 2)</f>
      </c>
      <c r="N23" s="31">
        <f>ROUND(H23*1.55, 2)</f>
      </c>
      <c r="O23" s="31">
        <f>ROUND(H23*1.65, 2)</f>
      </c>
      <c r="P23" s="31">
        <f>SUM(I23:O23)</f>
      </c>
      <c r="Q23" s="31">
        <f>ROUND(H23*1.5, 2)</f>
      </c>
      <c r="R23" s="31">
        <f>ROUND(H23*2.0, 2)</f>
      </c>
      <c r="S23" s="12">
        <f>IF(F23&lt;=R23, "TRIGGER INDENT", "STOCK HEALTHY")</f>
      </c>
      <c r="T23" s="31">
        <f>IF(F23&lt;=R23, ROUND(MAX(H23, (I23+Q23)-F23), 2), 0)</f>
      </c>
    </row>
    <row r="24" ht="20" customHeight="1" spans="1:20" x14ac:dyDescent="0.25">
      <c r="A24" s="14" t="s">
        <v>196</v>
      </c>
      <c r="B24" s="14" t="s">
        <v>197</v>
      </c>
      <c r="C24" s="14" t="s">
        <v>170</v>
      </c>
      <c r="D24" s="14" t="s">
        <v>198</v>
      </c>
      <c r="E24" s="32">
        <v>145.1999969482422</v>
      </c>
      <c r="F24" s="33">
        <v>67</v>
      </c>
      <c r="G24" s="14" t="s">
        <v>177</v>
      </c>
      <c r="H24" s="33">
        <v>8.04</v>
      </c>
      <c r="I24" s="33">
        <f>ROUND(H24*1.0, 2)</f>
      </c>
      <c r="J24" s="33">
        <f>ROUND(H24*0.95, 2)</f>
      </c>
      <c r="K24" s="33">
        <f>ROUND(H24*0.95, 2)</f>
      </c>
      <c r="L24" s="33">
        <f>ROUND(H24*1.05, 2)</f>
      </c>
      <c r="M24" s="33">
        <f>ROUND(H24*1.25, 2)</f>
      </c>
      <c r="N24" s="33">
        <f>ROUND(H24*1.55, 2)</f>
      </c>
      <c r="O24" s="33">
        <f>ROUND(H24*1.65, 2)</f>
      </c>
      <c r="P24" s="33">
        <f>SUM(I24:O24)</f>
      </c>
      <c r="Q24" s="33">
        <f>ROUND(H24*1.5, 2)</f>
      </c>
      <c r="R24" s="33">
        <f>ROUND(H24*2.0, 2)</f>
      </c>
      <c r="S24" s="14">
        <f>IF(F24&lt;=R24, "TRIGGER INDENT", "STOCK HEALTHY")</f>
      </c>
      <c r="T24" s="33">
        <f>IF(F24&lt;=R24, ROUND(MAX(H24, (I24+Q24)-F24), 2), 0)</f>
      </c>
    </row>
    <row r="25" ht="20" customHeight="1" spans="1:20" x14ac:dyDescent="0.25">
      <c r="A25" s="12" t="s">
        <v>199</v>
      </c>
      <c r="B25" s="12" t="s">
        <v>200</v>
      </c>
      <c r="C25" s="12" t="s">
        <v>170</v>
      </c>
      <c r="D25" s="12" t="s">
        <v>148</v>
      </c>
      <c r="E25" s="30">
        <v>477.7799987792969</v>
      </c>
      <c r="F25" s="31">
        <v>43</v>
      </c>
      <c r="G25" s="12" t="s">
        <v>177</v>
      </c>
      <c r="H25" s="31">
        <v>8.6</v>
      </c>
      <c r="I25" s="31">
        <f>ROUND(H25*1.0, 2)</f>
      </c>
      <c r="J25" s="31">
        <f>ROUND(H25*0.95, 2)</f>
      </c>
      <c r="K25" s="31">
        <f>ROUND(H25*0.95, 2)</f>
      </c>
      <c r="L25" s="31">
        <f>ROUND(H25*1.05, 2)</f>
      </c>
      <c r="M25" s="31">
        <f>ROUND(H25*1.25, 2)</f>
      </c>
      <c r="N25" s="31">
        <f>ROUND(H25*1.55, 2)</f>
      </c>
      <c r="O25" s="31">
        <f>ROUND(H25*1.65, 2)</f>
      </c>
      <c r="P25" s="31">
        <f>SUM(I25:O25)</f>
      </c>
      <c r="Q25" s="31">
        <f>ROUND(H25*1.5, 2)</f>
      </c>
      <c r="R25" s="31">
        <f>ROUND(H25*2.0, 2)</f>
      </c>
      <c r="S25" s="12">
        <f>IF(F25&lt;=R25, "TRIGGER INDENT", "STOCK HEALTHY")</f>
      </c>
      <c r="T25" s="31">
        <f>IF(F25&lt;=R25, ROUND(MAX(H25, (I25+Q25)-F25), 2), 0)</f>
      </c>
    </row>
    <row r="26" ht="20" customHeight="1" spans="1:20" x14ac:dyDescent="0.25">
      <c r="A26" s="14" t="s">
        <v>201</v>
      </c>
      <c r="B26" s="14" t="s">
        <v>202</v>
      </c>
      <c r="C26" s="14" t="s">
        <v>159</v>
      </c>
      <c r="D26" s="14" t="s">
        <v>153</v>
      </c>
      <c r="E26" s="32">
        <v>125.56999969482422</v>
      </c>
      <c r="F26" s="33">
        <v>0</v>
      </c>
      <c r="G26" s="14" t="s">
        <v>149</v>
      </c>
      <c r="H26" s="33">
        <v>2</v>
      </c>
      <c r="I26" s="33">
        <f>ROUND(H26*1.0, 2)</f>
      </c>
      <c r="J26" s="33">
        <f>ROUND(H26*0.95, 2)</f>
      </c>
      <c r="K26" s="33">
        <f>ROUND(H26*0.95, 2)</f>
      </c>
      <c r="L26" s="33">
        <f>ROUND(H26*1.05, 2)</f>
      </c>
      <c r="M26" s="33">
        <f>ROUND(H26*1.25, 2)</f>
      </c>
      <c r="N26" s="33">
        <f>ROUND(H26*1.55, 2)</f>
      </c>
      <c r="O26" s="33">
        <f>ROUND(H26*1.65, 2)</f>
      </c>
      <c r="P26" s="33">
        <f>SUM(I26:O26)</f>
      </c>
      <c r="Q26" s="33">
        <f>ROUND(H26*1.5, 2)</f>
      </c>
      <c r="R26" s="33">
        <f>ROUND(H26*2.0, 2)</f>
      </c>
      <c r="S26" s="14">
        <f>IF(F26&lt;=R26, "TRIGGER INDENT", "STOCK HEALTHY")</f>
      </c>
      <c r="T26" s="33">
        <f>IF(F26&lt;=R26, ROUND(MAX(H26, (I26+Q26)-F26), 2), 0)</f>
      </c>
    </row>
    <row r="27" ht="20" customHeight="1" spans="1:20" x14ac:dyDescent="0.25">
      <c r="A27" s="12" t="s">
        <v>203</v>
      </c>
      <c r="B27" s="12" t="s">
        <v>204</v>
      </c>
      <c r="C27" s="12" t="s">
        <v>170</v>
      </c>
      <c r="D27" s="12" t="s">
        <v>148</v>
      </c>
      <c r="E27" s="30">
        <v>219.41000366210938</v>
      </c>
      <c r="F27" s="31">
        <v>78</v>
      </c>
      <c r="G27" s="12" t="s">
        <v>177</v>
      </c>
      <c r="H27" s="31">
        <v>9.36</v>
      </c>
      <c r="I27" s="31">
        <f>ROUND(H27*1.0, 2)</f>
      </c>
      <c r="J27" s="31">
        <f>ROUND(H27*0.95, 2)</f>
      </c>
      <c r="K27" s="31">
        <f>ROUND(H27*0.95, 2)</f>
      </c>
      <c r="L27" s="31">
        <f>ROUND(H27*1.05, 2)</f>
      </c>
      <c r="M27" s="31">
        <f>ROUND(H27*1.25, 2)</f>
      </c>
      <c r="N27" s="31">
        <f>ROUND(H27*1.55, 2)</f>
      </c>
      <c r="O27" s="31">
        <f>ROUND(H27*1.65, 2)</f>
      </c>
      <c r="P27" s="31">
        <f>SUM(I27:O27)</f>
      </c>
      <c r="Q27" s="31">
        <f>ROUND(H27*1.5, 2)</f>
      </c>
      <c r="R27" s="31">
        <f>ROUND(H27*2.0, 2)</f>
      </c>
      <c r="S27" s="12">
        <f>IF(F27&lt;=R27, "TRIGGER INDENT", "STOCK HEALTHY")</f>
      </c>
      <c r="T27" s="31">
        <f>IF(F27&lt;=R27, ROUND(MAX(H27, (I27+Q27)-F27), 2), 0)</f>
      </c>
    </row>
    <row r="28" ht="20" customHeight="1" spans="1:20" x14ac:dyDescent="0.25">
      <c r="A28" s="14" t="s">
        <v>205</v>
      </c>
      <c r="B28" s="14" t="s">
        <v>206</v>
      </c>
      <c r="C28" s="14" t="s">
        <v>152</v>
      </c>
      <c r="D28" s="14" t="s">
        <v>153</v>
      </c>
      <c r="E28" s="32">
        <v>864.6799926757812</v>
      </c>
      <c r="F28" s="33">
        <v>66.93998</v>
      </c>
      <c r="G28" s="14" t="s">
        <v>190</v>
      </c>
      <c r="H28" s="33">
        <v>8.03</v>
      </c>
      <c r="I28" s="33">
        <f>ROUND(H28*1.0, 2)</f>
      </c>
      <c r="J28" s="33">
        <f>ROUND(H28*0.95, 2)</f>
      </c>
      <c r="K28" s="33">
        <f>ROUND(H28*0.95, 2)</f>
      </c>
      <c r="L28" s="33">
        <f>ROUND(H28*1.05, 2)</f>
      </c>
      <c r="M28" s="33">
        <f>ROUND(H28*1.25, 2)</f>
      </c>
      <c r="N28" s="33">
        <f>ROUND(H28*1.55, 2)</f>
      </c>
      <c r="O28" s="33">
        <f>ROUND(H28*1.65, 2)</f>
      </c>
      <c r="P28" s="33">
        <f>SUM(I28:O28)</f>
      </c>
      <c r="Q28" s="33">
        <f>ROUND(H28*1.5, 2)</f>
      </c>
      <c r="R28" s="33">
        <f>ROUND(H28*2.0, 2)</f>
      </c>
      <c r="S28" s="14">
        <f>IF(F28&lt;=R28, "TRIGGER INDENT", "STOCK HEALTHY")</f>
      </c>
      <c r="T28" s="33">
        <f>IF(F28&lt;=R28, ROUND(MAX(H28, (I28+Q28)-F28), 2), 0)</f>
      </c>
    </row>
    <row r="29" ht="20" customHeight="1" spans="1:20" x14ac:dyDescent="0.25">
      <c r="A29" s="12" t="s">
        <v>207</v>
      </c>
      <c r="B29" s="12" t="s">
        <v>208</v>
      </c>
      <c r="C29" s="12" t="s">
        <v>170</v>
      </c>
      <c r="D29" s="12" t="s">
        <v>153</v>
      </c>
      <c r="E29" s="30">
        <v>50</v>
      </c>
      <c r="F29" s="31">
        <v>51</v>
      </c>
      <c r="G29" s="12" t="s">
        <v>154</v>
      </c>
      <c r="H29" s="31">
        <v>6.12</v>
      </c>
      <c r="I29" s="31">
        <f>ROUND(H29*1.0, 2)</f>
      </c>
      <c r="J29" s="31">
        <f>ROUND(H29*0.95, 2)</f>
      </c>
      <c r="K29" s="31">
        <f>ROUND(H29*0.95, 2)</f>
      </c>
      <c r="L29" s="31">
        <f>ROUND(H29*1.05, 2)</f>
      </c>
      <c r="M29" s="31">
        <f>ROUND(H29*1.25, 2)</f>
      </c>
      <c r="N29" s="31">
        <f>ROUND(H29*1.55, 2)</f>
      </c>
      <c r="O29" s="31">
        <f>ROUND(H29*1.65, 2)</f>
      </c>
      <c r="P29" s="31">
        <f>SUM(I29:O29)</f>
      </c>
      <c r="Q29" s="31">
        <f>ROUND(H29*1.5, 2)</f>
      </c>
      <c r="R29" s="31">
        <f>ROUND(H29*2.0, 2)</f>
      </c>
      <c r="S29" s="12">
        <f>IF(F29&lt;=R29, "TRIGGER INDENT", "STOCK HEALTHY")</f>
      </c>
      <c r="T29" s="31">
        <f>IF(F29&lt;=R29, ROUND(MAX(H29, (I29+Q29)-F29), 2), 0)</f>
      </c>
    </row>
    <row r="30" ht="20" customHeight="1" spans="1:20" x14ac:dyDescent="0.25">
      <c r="A30" s="14" t="s">
        <v>209</v>
      </c>
      <c r="B30" s="14" t="s">
        <v>210</v>
      </c>
      <c r="C30" s="14" t="s">
        <v>211</v>
      </c>
      <c r="D30" s="14" t="s">
        <v>153</v>
      </c>
      <c r="E30" s="32">
        <v>138</v>
      </c>
      <c r="F30" s="33">
        <v>27.100002</v>
      </c>
      <c r="G30" s="14" t="s">
        <v>149</v>
      </c>
      <c r="H30" s="33">
        <v>5.42</v>
      </c>
      <c r="I30" s="33">
        <f>ROUND(H30*1.0, 2)</f>
      </c>
      <c r="J30" s="33">
        <f>ROUND(H30*0.95, 2)</f>
      </c>
      <c r="K30" s="33">
        <f>ROUND(H30*0.95, 2)</f>
      </c>
      <c r="L30" s="33">
        <f>ROUND(H30*1.05, 2)</f>
      </c>
      <c r="M30" s="33">
        <f>ROUND(H30*1.25, 2)</f>
      </c>
      <c r="N30" s="33">
        <f>ROUND(H30*1.55, 2)</f>
      </c>
      <c r="O30" s="33">
        <f>ROUND(H30*1.65, 2)</f>
      </c>
      <c r="P30" s="33">
        <f>SUM(I30:O30)</f>
      </c>
      <c r="Q30" s="33">
        <f>ROUND(H30*1.5, 2)</f>
      </c>
      <c r="R30" s="33">
        <f>ROUND(H30*2.0, 2)</f>
      </c>
      <c r="S30" s="14">
        <f>IF(F30&lt;=R30, "TRIGGER INDENT", "STOCK HEALTHY")</f>
      </c>
      <c r="T30" s="33">
        <f>IF(F30&lt;=R30, ROUND(MAX(H30, (I30+Q30)-F30), 2), 0)</f>
      </c>
    </row>
    <row r="31" ht="20" customHeight="1" spans="1:20" x14ac:dyDescent="0.25">
      <c r="A31" s="12" t="s">
        <v>212</v>
      </c>
      <c r="B31" s="12" t="s">
        <v>213</v>
      </c>
      <c r="C31" s="12" t="s">
        <v>147</v>
      </c>
      <c r="D31" s="12" t="s">
        <v>148</v>
      </c>
      <c r="E31" s="30">
        <v>280</v>
      </c>
      <c r="F31" s="31">
        <v>0</v>
      </c>
      <c r="G31" s="12" t="s">
        <v>177</v>
      </c>
      <c r="H31" s="31">
        <v>2</v>
      </c>
      <c r="I31" s="31">
        <f>ROUND(H31*1.0, 2)</f>
      </c>
      <c r="J31" s="31">
        <f>ROUND(H31*0.95, 2)</f>
      </c>
      <c r="K31" s="31">
        <f>ROUND(H31*0.95, 2)</f>
      </c>
      <c r="L31" s="31">
        <f>ROUND(H31*1.05, 2)</f>
      </c>
      <c r="M31" s="31">
        <f>ROUND(H31*1.25, 2)</f>
      </c>
      <c r="N31" s="31">
        <f>ROUND(H31*1.55, 2)</f>
      </c>
      <c r="O31" s="31">
        <f>ROUND(H31*1.65, 2)</f>
      </c>
      <c r="P31" s="31">
        <f>SUM(I31:O31)</f>
      </c>
      <c r="Q31" s="31">
        <f>ROUND(H31*1.5, 2)</f>
      </c>
      <c r="R31" s="31">
        <f>ROUND(H31*2.0, 2)</f>
      </c>
      <c r="S31" s="12">
        <f>IF(F31&lt;=R31, "TRIGGER INDENT", "STOCK HEALTHY")</f>
      </c>
      <c r="T31" s="31">
        <f>IF(F31&lt;=R31, ROUND(MAX(H31, (I31+Q31)-F31), 2), 0)</f>
      </c>
    </row>
    <row r="32" ht="20" customHeight="1" spans="1:20" x14ac:dyDescent="0.25">
      <c r="A32" s="14" t="s">
        <v>214</v>
      </c>
      <c r="B32" s="14" t="s">
        <v>215</v>
      </c>
      <c r="C32" s="14" t="s">
        <v>211</v>
      </c>
      <c r="D32" s="14" t="s">
        <v>153</v>
      </c>
      <c r="E32" s="32">
        <v>99</v>
      </c>
      <c r="F32" s="33">
        <v>21.1</v>
      </c>
      <c r="G32" s="14" t="s">
        <v>149</v>
      </c>
      <c r="H32" s="33">
        <v>4.22</v>
      </c>
      <c r="I32" s="33">
        <f>ROUND(H32*1.0, 2)</f>
      </c>
      <c r="J32" s="33">
        <f>ROUND(H32*0.95, 2)</f>
      </c>
      <c r="K32" s="33">
        <f>ROUND(H32*0.95, 2)</f>
      </c>
      <c r="L32" s="33">
        <f>ROUND(H32*1.05, 2)</f>
      </c>
      <c r="M32" s="33">
        <f>ROUND(H32*1.25, 2)</f>
      </c>
      <c r="N32" s="33">
        <f>ROUND(H32*1.55, 2)</f>
      </c>
      <c r="O32" s="33">
        <f>ROUND(H32*1.65, 2)</f>
      </c>
      <c r="P32" s="33">
        <f>SUM(I32:O32)</f>
      </c>
      <c r="Q32" s="33">
        <f>ROUND(H32*1.5, 2)</f>
      </c>
      <c r="R32" s="33">
        <f>ROUND(H32*2.0, 2)</f>
      </c>
      <c r="S32" s="14">
        <f>IF(F32&lt;=R32, "TRIGGER INDENT", "STOCK HEALTHY")</f>
      </c>
      <c r="T32" s="33">
        <f>IF(F32&lt;=R32, ROUND(MAX(H32, (I32+Q32)-F32), 2), 0)</f>
      </c>
    </row>
    <row r="33" ht="20" customHeight="1" spans="1:20" x14ac:dyDescent="0.25">
      <c r="A33" s="12" t="s">
        <v>216</v>
      </c>
      <c r="B33" s="12" t="s">
        <v>217</v>
      </c>
      <c r="C33" s="12" t="s">
        <v>195</v>
      </c>
      <c r="D33" s="12" t="s">
        <v>153</v>
      </c>
      <c r="E33" s="30">
        <v>45.5</v>
      </c>
      <c r="F33" s="31">
        <v>666.8</v>
      </c>
      <c r="G33" s="12" t="s">
        <v>139</v>
      </c>
      <c r="H33" s="31">
        <v>53.34</v>
      </c>
      <c r="I33" s="31">
        <f>ROUND(H33*1.0, 2)</f>
      </c>
      <c r="J33" s="31">
        <f>ROUND(H33*0.95, 2)</f>
      </c>
      <c r="K33" s="31">
        <f>ROUND(H33*0.95, 2)</f>
      </c>
      <c r="L33" s="31">
        <f>ROUND(H33*1.05, 2)</f>
      </c>
      <c r="M33" s="31">
        <f>ROUND(H33*1.25, 2)</f>
      </c>
      <c r="N33" s="31">
        <f>ROUND(H33*1.55, 2)</f>
      </c>
      <c r="O33" s="31">
        <f>ROUND(H33*1.65, 2)</f>
      </c>
      <c r="P33" s="31">
        <f>SUM(I33:O33)</f>
      </c>
      <c r="Q33" s="31">
        <f>ROUND(H33*1.5, 2)</f>
      </c>
      <c r="R33" s="31">
        <f>ROUND(H33*2.0, 2)</f>
      </c>
      <c r="S33" s="12">
        <f>IF(F33&lt;=R33, "TRIGGER INDENT", "STOCK HEALTHY")</f>
      </c>
      <c r="T33" s="31">
        <f>IF(F33&lt;=R33, ROUND(MAX(H33, (I33+Q33)-F33), 2), 0)</f>
      </c>
    </row>
    <row r="34" ht="20" customHeight="1" spans="1:20" x14ac:dyDescent="0.25">
      <c r="A34" s="14" t="s">
        <v>218</v>
      </c>
      <c r="B34" s="14" t="s">
        <v>219</v>
      </c>
      <c r="C34" s="14" t="s">
        <v>170</v>
      </c>
      <c r="D34" s="14" t="s">
        <v>198</v>
      </c>
      <c r="E34" s="32">
        <v>6.400000095367432</v>
      </c>
      <c r="F34" s="33">
        <v>809</v>
      </c>
      <c r="G34" s="14" t="s">
        <v>160</v>
      </c>
      <c r="H34" s="33">
        <v>64.72</v>
      </c>
      <c r="I34" s="33">
        <f>ROUND(H34*1.0, 2)</f>
      </c>
      <c r="J34" s="33">
        <f>ROUND(H34*0.95, 2)</f>
      </c>
      <c r="K34" s="33">
        <f>ROUND(H34*0.95, 2)</f>
      </c>
      <c r="L34" s="33">
        <f>ROUND(H34*1.05, 2)</f>
      </c>
      <c r="M34" s="33">
        <f>ROUND(H34*1.25, 2)</f>
      </c>
      <c r="N34" s="33">
        <f>ROUND(H34*1.55, 2)</f>
      </c>
      <c r="O34" s="33">
        <f>ROUND(H34*1.65, 2)</f>
      </c>
      <c r="P34" s="33">
        <f>SUM(I34:O34)</f>
      </c>
      <c r="Q34" s="33">
        <f>ROUND(H34*1.5, 2)</f>
      </c>
      <c r="R34" s="33">
        <f>ROUND(H34*2.0, 2)</f>
      </c>
      <c r="S34" s="14">
        <f>IF(F34&lt;=R34, "TRIGGER INDENT", "STOCK HEALTHY")</f>
      </c>
      <c r="T34" s="33">
        <f>IF(F34&lt;=R34, ROUND(MAX(H34, (I34+Q34)-F34), 2), 0)</f>
      </c>
    </row>
    <row r="35" ht="20" customHeight="1" spans="1:20" x14ac:dyDescent="0.25">
      <c r="A35" s="12" t="s">
        <v>220</v>
      </c>
      <c r="B35" s="12" t="s">
        <v>221</v>
      </c>
      <c r="C35" s="12" t="s">
        <v>170</v>
      </c>
      <c r="D35" s="12" t="s">
        <v>153</v>
      </c>
      <c r="E35" s="30">
        <v>242.6699981689453</v>
      </c>
      <c r="F35" s="31">
        <v>7</v>
      </c>
      <c r="G35" s="12" t="s">
        <v>149</v>
      </c>
      <c r="H35" s="31">
        <v>1.4</v>
      </c>
      <c r="I35" s="31">
        <f>ROUND(H35*1.0, 2)</f>
      </c>
      <c r="J35" s="31">
        <f>ROUND(H35*0.95, 2)</f>
      </c>
      <c r="K35" s="31">
        <f>ROUND(H35*0.95, 2)</f>
      </c>
      <c r="L35" s="31">
        <f>ROUND(H35*1.05, 2)</f>
      </c>
      <c r="M35" s="31">
        <f>ROUND(H35*1.25, 2)</f>
      </c>
      <c r="N35" s="31">
        <f>ROUND(H35*1.55, 2)</f>
      </c>
      <c r="O35" s="31">
        <f>ROUND(H35*1.65, 2)</f>
      </c>
      <c r="P35" s="31">
        <f>SUM(I35:O35)</f>
      </c>
      <c r="Q35" s="31">
        <f>ROUND(H35*1.5, 2)</f>
      </c>
      <c r="R35" s="31">
        <f>ROUND(H35*2.0, 2)</f>
      </c>
      <c r="S35" s="12">
        <f>IF(F35&lt;=R35, "TRIGGER INDENT", "STOCK HEALTHY")</f>
      </c>
      <c r="T35" s="31">
        <f>IF(F35&lt;=R35, ROUND(MAX(H35, (I35+Q35)-F35), 2), 0)</f>
      </c>
    </row>
    <row r="36" ht="20" customHeight="1" spans="1:20" x14ac:dyDescent="0.25">
      <c r="A36" s="14" t="s">
        <v>222</v>
      </c>
      <c r="B36" s="14" t="s">
        <v>223</v>
      </c>
      <c r="C36" s="14" t="s">
        <v>137</v>
      </c>
      <c r="D36" s="14" t="s">
        <v>138</v>
      </c>
      <c r="E36" s="32">
        <v>8</v>
      </c>
      <c r="F36" s="33">
        <v>7668</v>
      </c>
      <c r="G36" s="14" t="s">
        <v>142</v>
      </c>
      <c r="H36" s="33">
        <v>383.4</v>
      </c>
      <c r="I36" s="33">
        <f>ROUND(H36*1.0, 2)</f>
      </c>
      <c r="J36" s="33">
        <f>ROUND(H36*0.95, 2)</f>
      </c>
      <c r="K36" s="33">
        <f>ROUND(H36*0.95, 2)</f>
      </c>
      <c r="L36" s="33">
        <f>ROUND(H36*1.05, 2)</f>
      </c>
      <c r="M36" s="33">
        <f>ROUND(H36*1.25, 2)</f>
      </c>
      <c r="N36" s="33">
        <f>ROUND(H36*1.55, 2)</f>
      </c>
      <c r="O36" s="33">
        <f>ROUND(H36*1.65, 2)</f>
      </c>
      <c r="P36" s="33">
        <f>SUM(I36:O36)</f>
      </c>
      <c r="Q36" s="33">
        <f>ROUND(H36*1.5, 2)</f>
      </c>
      <c r="R36" s="33">
        <f>ROUND(H36*2.0, 2)</f>
      </c>
      <c r="S36" s="14">
        <f>IF(F36&lt;=R36, "TRIGGER INDENT", "STOCK HEALTHY")</f>
      </c>
      <c r="T36" s="33">
        <f>IF(F36&lt;=R36, ROUND(MAX(H36, (I36+Q36)-F36), 2), 0)</f>
      </c>
    </row>
    <row r="37" ht="20" customHeight="1" spans="1:20" x14ac:dyDescent="0.25">
      <c r="A37" s="12" t="s">
        <v>224</v>
      </c>
      <c r="B37" s="12" t="s">
        <v>225</v>
      </c>
      <c r="C37" s="12" t="s">
        <v>137</v>
      </c>
      <c r="D37" s="12" t="s">
        <v>138</v>
      </c>
      <c r="E37" s="30">
        <v>10.890000343322754</v>
      </c>
      <c r="F37" s="31">
        <v>4496</v>
      </c>
      <c r="G37" s="12" t="s">
        <v>142</v>
      </c>
      <c r="H37" s="31">
        <v>224.8</v>
      </c>
      <c r="I37" s="31">
        <f>ROUND(H37*1.0, 2)</f>
      </c>
      <c r="J37" s="31">
        <f>ROUND(H37*0.95, 2)</f>
      </c>
      <c r="K37" s="31">
        <f>ROUND(H37*0.95, 2)</f>
      </c>
      <c r="L37" s="31">
        <f>ROUND(H37*1.05, 2)</f>
      </c>
      <c r="M37" s="31">
        <f>ROUND(H37*1.25, 2)</f>
      </c>
      <c r="N37" s="31">
        <f>ROUND(H37*1.55, 2)</f>
      </c>
      <c r="O37" s="31">
        <f>ROUND(H37*1.65, 2)</f>
      </c>
      <c r="P37" s="31">
        <f>SUM(I37:O37)</f>
      </c>
      <c r="Q37" s="31">
        <f>ROUND(H37*1.5, 2)</f>
      </c>
      <c r="R37" s="31">
        <f>ROUND(H37*2.0, 2)</f>
      </c>
      <c r="S37" s="12">
        <f>IF(F37&lt;=R37, "TRIGGER INDENT", "STOCK HEALTHY")</f>
      </c>
      <c r="T37" s="31">
        <f>IF(F37&lt;=R37, ROUND(MAX(H37, (I37+Q37)-F37), 2), 0)</f>
      </c>
    </row>
    <row r="38" ht="20" customHeight="1" spans="1:20" x14ac:dyDescent="0.25">
      <c r="A38" s="14" t="s">
        <v>226</v>
      </c>
      <c r="B38" s="14" t="s">
        <v>227</v>
      </c>
      <c r="C38" s="14" t="s">
        <v>137</v>
      </c>
      <c r="D38" s="14" t="s">
        <v>138</v>
      </c>
      <c r="E38" s="32">
        <v>3.200000047683716</v>
      </c>
      <c r="F38" s="33">
        <v>1600</v>
      </c>
      <c r="G38" s="14" t="s">
        <v>154</v>
      </c>
      <c r="H38" s="33">
        <v>80</v>
      </c>
      <c r="I38" s="33">
        <f>ROUND(H38*1.0, 2)</f>
      </c>
      <c r="J38" s="33">
        <f>ROUND(H38*0.95, 2)</f>
      </c>
      <c r="K38" s="33">
        <f>ROUND(H38*0.95, 2)</f>
      </c>
      <c r="L38" s="33">
        <f>ROUND(H38*1.05, 2)</f>
      </c>
      <c r="M38" s="33">
        <f>ROUND(H38*1.25, 2)</f>
      </c>
      <c r="N38" s="33">
        <f>ROUND(H38*1.55, 2)</f>
      </c>
      <c r="O38" s="33">
        <f>ROUND(H38*1.65, 2)</f>
      </c>
      <c r="P38" s="33">
        <f>SUM(I38:O38)</f>
      </c>
      <c r="Q38" s="33">
        <f>ROUND(H38*1.5, 2)</f>
      </c>
      <c r="R38" s="33">
        <f>ROUND(H38*2.0, 2)</f>
      </c>
      <c r="S38" s="14">
        <f>IF(F38&lt;=R38, "TRIGGER INDENT", "STOCK HEALTHY")</f>
      </c>
      <c r="T38" s="33">
        <f>IF(F38&lt;=R38, ROUND(MAX(H38, (I38+Q38)-F38), 2), 0)</f>
      </c>
    </row>
    <row r="39" ht="20" customHeight="1" spans="1:20" x14ac:dyDescent="0.25">
      <c r="A39" s="12" t="s">
        <v>228</v>
      </c>
      <c r="B39" s="12" t="s">
        <v>229</v>
      </c>
      <c r="C39" s="12" t="s">
        <v>137</v>
      </c>
      <c r="D39" s="12" t="s">
        <v>138</v>
      </c>
      <c r="E39" s="30">
        <v>3.930000066757202</v>
      </c>
      <c r="F39" s="31">
        <v>9504</v>
      </c>
      <c r="G39" s="12" t="s">
        <v>154</v>
      </c>
      <c r="H39" s="31">
        <v>475.2</v>
      </c>
      <c r="I39" s="31">
        <f>ROUND(H39*1.0, 2)</f>
      </c>
      <c r="J39" s="31">
        <f>ROUND(H39*0.95, 2)</f>
      </c>
      <c r="K39" s="31">
        <f>ROUND(H39*0.95, 2)</f>
      </c>
      <c r="L39" s="31">
        <f>ROUND(H39*1.05, 2)</f>
      </c>
      <c r="M39" s="31">
        <f>ROUND(H39*1.25, 2)</f>
      </c>
      <c r="N39" s="31">
        <f>ROUND(H39*1.55, 2)</f>
      </c>
      <c r="O39" s="31">
        <f>ROUND(H39*1.65, 2)</f>
      </c>
      <c r="P39" s="31">
        <f>SUM(I39:O39)</f>
      </c>
      <c r="Q39" s="31">
        <f>ROUND(H39*1.5, 2)</f>
      </c>
      <c r="R39" s="31">
        <f>ROUND(H39*2.0, 2)</f>
      </c>
      <c r="S39" s="12">
        <f>IF(F39&lt;=R39, "TRIGGER INDENT", "STOCK HEALTHY")</f>
      </c>
      <c r="T39" s="31">
        <f>IF(F39&lt;=R39, ROUND(MAX(H39, (I39+Q39)-F39), 2), 0)</f>
      </c>
    </row>
    <row r="40" ht="20" customHeight="1" spans="1:20" x14ac:dyDescent="0.25">
      <c r="A40" s="14" t="s">
        <v>230</v>
      </c>
      <c r="B40" s="14" t="s">
        <v>231</v>
      </c>
      <c r="C40" s="14" t="s">
        <v>137</v>
      </c>
      <c r="D40" s="14" t="s">
        <v>138</v>
      </c>
      <c r="E40" s="32">
        <v>4.5</v>
      </c>
      <c r="F40" s="33">
        <v>3712</v>
      </c>
      <c r="G40" s="14" t="s">
        <v>154</v>
      </c>
      <c r="H40" s="33">
        <v>185.6</v>
      </c>
      <c r="I40" s="33">
        <f>ROUND(H40*1.0, 2)</f>
      </c>
      <c r="J40" s="33">
        <f>ROUND(H40*0.95, 2)</f>
      </c>
      <c r="K40" s="33">
        <f>ROUND(H40*0.95, 2)</f>
      </c>
      <c r="L40" s="33">
        <f>ROUND(H40*1.05, 2)</f>
      </c>
      <c r="M40" s="33">
        <f>ROUND(H40*1.25, 2)</f>
      </c>
      <c r="N40" s="33">
        <f>ROUND(H40*1.55, 2)</f>
      </c>
      <c r="O40" s="33">
        <f>ROUND(H40*1.65, 2)</f>
      </c>
      <c r="P40" s="33">
        <f>SUM(I40:O40)</f>
      </c>
      <c r="Q40" s="33">
        <f>ROUND(H40*1.5, 2)</f>
      </c>
      <c r="R40" s="33">
        <f>ROUND(H40*2.0, 2)</f>
      </c>
      <c r="S40" s="14">
        <f>IF(F40&lt;=R40, "TRIGGER INDENT", "STOCK HEALTHY")</f>
      </c>
      <c r="T40" s="33">
        <f>IF(F40&lt;=R40, ROUND(MAX(H40, (I40+Q40)-F40), 2), 0)</f>
      </c>
    </row>
    <row r="41" ht="20" customHeight="1" spans="1:20" x14ac:dyDescent="0.25">
      <c r="A41" s="12" t="s">
        <v>232</v>
      </c>
      <c r="B41" s="12" t="s">
        <v>233</v>
      </c>
      <c r="C41" s="12" t="s">
        <v>137</v>
      </c>
      <c r="D41" s="12" t="s">
        <v>138</v>
      </c>
      <c r="E41" s="30">
        <v>4</v>
      </c>
      <c r="F41" s="31">
        <v>7200</v>
      </c>
      <c r="G41" s="12" t="s">
        <v>190</v>
      </c>
      <c r="H41" s="31">
        <v>360</v>
      </c>
      <c r="I41" s="31">
        <f>ROUND(H41*1.0, 2)</f>
      </c>
      <c r="J41" s="31">
        <f>ROUND(H41*0.95, 2)</f>
      </c>
      <c r="K41" s="31">
        <f>ROUND(H41*0.95, 2)</f>
      </c>
      <c r="L41" s="31">
        <f>ROUND(H41*1.05, 2)</f>
      </c>
      <c r="M41" s="31">
        <f>ROUND(H41*1.25, 2)</f>
      </c>
      <c r="N41" s="31">
        <f>ROUND(H41*1.55, 2)</f>
      </c>
      <c r="O41" s="31">
        <f>ROUND(H41*1.65, 2)</f>
      </c>
      <c r="P41" s="31">
        <f>SUM(I41:O41)</f>
      </c>
      <c r="Q41" s="31">
        <f>ROUND(H41*1.5, 2)</f>
      </c>
      <c r="R41" s="31">
        <f>ROUND(H41*2.0, 2)</f>
      </c>
      <c r="S41" s="12">
        <f>IF(F41&lt;=R41, "TRIGGER INDENT", "STOCK HEALTHY")</f>
      </c>
      <c r="T41" s="31">
        <f>IF(F41&lt;=R41, ROUND(MAX(H41, (I41+Q41)-F41), 2), 0)</f>
      </c>
    </row>
    <row r="42" ht="20" customHeight="1" spans="1:20" x14ac:dyDescent="0.25">
      <c r="A42" s="14" t="s">
        <v>234</v>
      </c>
      <c r="B42" s="14" t="s">
        <v>235</v>
      </c>
      <c r="C42" s="14" t="s">
        <v>137</v>
      </c>
      <c r="D42" s="14" t="s">
        <v>138</v>
      </c>
      <c r="E42" s="32">
        <v>4.900000095367432</v>
      </c>
      <c r="F42" s="33">
        <v>3600</v>
      </c>
      <c r="G42" s="14" t="s">
        <v>154</v>
      </c>
      <c r="H42" s="33">
        <v>180</v>
      </c>
      <c r="I42" s="33">
        <f>ROUND(H42*1.0, 2)</f>
      </c>
      <c r="J42" s="33">
        <f>ROUND(H42*0.95, 2)</f>
      </c>
      <c r="K42" s="33">
        <f>ROUND(H42*0.95, 2)</f>
      </c>
      <c r="L42" s="33">
        <f>ROUND(H42*1.05, 2)</f>
      </c>
      <c r="M42" s="33">
        <f>ROUND(H42*1.25, 2)</f>
      </c>
      <c r="N42" s="33">
        <f>ROUND(H42*1.55, 2)</f>
      </c>
      <c r="O42" s="33">
        <f>ROUND(H42*1.65, 2)</f>
      </c>
      <c r="P42" s="33">
        <f>SUM(I42:O42)</f>
      </c>
      <c r="Q42" s="33">
        <f>ROUND(H42*1.5, 2)</f>
      </c>
      <c r="R42" s="33">
        <f>ROUND(H42*2.0, 2)</f>
      </c>
      <c r="S42" s="14">
        <f>IF(F42&lt;=R42, "TRIGGER INDENT", "STOCK HEALTHY")</f>
      </c>
      <c r="T42" s="33">
        <f>IF(F42&lt;=R42, ROUND(MAX(H42, (I42+Q42)-F42), 2), 0)</f>
      </c>
    </row>
    <row r="43" ht="20" customHeight="1" spans="1:20" x14ac:dyDescent="0.25">
      <c r="A43" s="12" t="s">
        <v>236</v>
      </c>
      <c r="B43" s="12" t="s">
        <v>237</v>
      </c>
      <c r="C43" s="12" t="s">
        <v>137</v>
      </c>
      <c r="D43" s="12" t="s">
        <v>138</v>
      </c>
      <c r="E43" s="30">
        <v>3.200000047683716</v>
      </c>
      <c r="F43" s="31">
        <v>10400</v>
      </c>
      <c r="G43" s="12" t="s">
        <v>142</v>
      </c>
      <c r="H43" s="31">
        <v>520</v>
      </c>
      <c r="I43" s="31">
        <f>ROUND(H43*1.0, 2)</f>
      </c>
      <c r="J43" s="31">
        <f>ROUND(H43*0.95, 2)</f>
      </c>
      <c r="K43" s="31">
        <f>ROUND(H43*0.95, 2)</f>
      </c>
      <c r="L43" s="31">
        <f>ROUND(H43*1.05, 2)</f>
      </c>
      <c r="M43" s="31">
        <f>ROUND(H43*1.25, 2)</f>
      </c>
      <c r="N43" s="31">
        <f>ROUND(H43*1.55, 2)</f>
      </c>
      <c r="O43" s="31">
        <f>ROUND(H43*1.65, 2)</f>
      </c>
      <c r="P43" s="31">
        <f>SUM(I43:O43)</f>
      </c>
      <c r="Q43" s="31">
        <f>ROUND(H43*1.5, 2)</f>
      </c>
      <c r="R43" s="31">
        <f>ROUND(H43*2.0, 2)</f>
      </c>
      <c r="S43" s="12">
        <f>IF(F43&lt;=R43, "TRIGGER INDENT", "STOCK HEALTHY")</f>
      </c>
      <c r="T43" s="31">
        <f>IF(F43&lt;=R43, ROUND(MAX(H43, (I43+Q43)-F43), 2), 0)</f>
      </c>
    </row>
    <row r="44" ht="20" customHeight="1" spans="1:20" x14ac:dyDescent="0.25">
      <c r="A44" s="14" t="s">
        <v>238</v>
      </c>
      <c r="B44" s="14" t="s">
        <v>239</v>
      </c>
      <c r="C44" s="14" t="s">
        <v>240</v>
      </c>
      <c r="D44" s="14" t="s">
        <v>198</v>
      </c>
      <c r="E44" s="32">
        <v>45.22999954223633</v>
      </c>
      <c r="F44" s="33">
        <v>1.5100002</v>
      </c>
      <c r="G44" s="14" t="s">
        <v>149</v>
      </c>
      <c r="H44" s="33">
        <v>1</v>
      </c>
      <c r="I44" s="33">
        <f>ROUND(H44*1.0, 2)</f>
      </c>
      <c r="J44" s="33">
        <f>ROUND(H44*0.95, 2)</f>
      </c>
      <c r="K44" s="33">
        <f>ROUND(H44*0.95, 2)</f>
      </c>
      <c r="L44" s="33">
        <f>ROUND(H44*1.05, 2)</f>
      </c>
      <c r="M44" s="33">
        <f>ROUND(H44*1.25, 2)</f>
      </c>
      <c r="N44" s="33">
        <f>ROUND(H44*1.55, 2)</f>
      </c>
      <c r="O44" s="33">
        <f>ROUND(H44*1.65, 2)</f>
      </c>
      <c r="P44" s="33">
        <f>SUM(I44:O44)</f>
      </c>
      <c r="Q44" s="33">
        <f>ROUND(H44*1.5, 2)</f>
      </c>
      <c r="R44" s="33">
        <f>ROUND(H44*2.0, 2)</f>
      </c>
      <c r="S44" s="14">
        <f>IF(F44&lt;=R44, "TRIGGER INDENT", "STOCK HEALTHY")</f>
      </c>
      <c r="T44" s="33">
        <f>IF(F44&lt;=R44, ROUND(MAX(H44, (I44+Q44)-F44), 2), 0)</f>
      </c>
    </row>
    <row r="45" ht="20" customHeight="1" spans="1:20" x14ac:dyDescent="0.25">
      <c r="A45" s="12" t="s">
        <v>241</v>
      </c>
      <c r="B45" s="12" t="s">
        <v>242</v>
      </c>
      <c r="C45" s="12" t="s">
        <v>170</v>
      </c>
      <c r="D45" s="12" t="s">
        <v>198</v>
      </c>
      <c r="E45" s="30">
        <v>186.27000427246094</v>
      </c>
      <c r="F45" s="31">
        <v>80</v>
      </c>
      <c r="G45" s="12" t="s">
        <v>177</v>
      </c>
      <c r="H45" s="31">
        <v>9.6</v>
      </c>
      <c r="I45" s="31">
        <f>ROUND(H45*1.0, 2)</f>
      </c>
      <c r="J45" s="31">
        <f>ROUND(H45*0.95, 2)</f>
      </c>
      <c r="K45" s="31">
        <f>ROUND(H45*0.95, 2)</f>
      </c>
      <c r="L45" s="31">
        <f>ROUND(H45*1.05, 2)</f>
      </c>
      <c r="M45" s="31">
        <f>ROUND(H45*1.25, 2)</f>
      </c>
      <c r="N45" s="31">
        <f>ROUND(H45*1.55, 2)</f>
      </c>
      <c r="O45" s="31">
        <f>ROUND(H45*1.65, 2)</f>
      </c>
      <c r="P45" s="31">
        <f>SUM(I45:O45)</f>
      </c>
      <c r="Q45" s="31">
        <f>ROUND(H45*1.5, 2)</f>
      </c>
      <c r="R45" s="31">
        <f>ROUND(H45*2.0, 2)</f>
      </c>
      <c r="S45" s="12">
        <f>IF(F45&lt;=R45, "TRIGGER INDENT", "STOCK HEALTHY")</f>
      </c>
      <c r="T45" s="31">
        <f>IF(F45&lt;=R45, ROUND(MAX(H45, (I45+Q45)-F45), 2), 0)</f>
      </c>
    </row>
    <row r="46" ht="20" customHeight="1" spans="1:20" x14ac:dyDescent="0.25">
      <c r="A46" s="14" t="s">
        <v>243</v>
      </c>
      <c r="B46" s="14" t="s">
        <v>244</v>
      </c>
      <c r="C46" s="14" t="s">
        <v>195</v>
      </c>
      <c r="D46" s="14" t="s">
        <v>153</v>
      </c>
      <c r="E46" s="32">
        <v>28.690000534057617</v>
      </c>
      <c r="F46" s="33">
        <v>792</v>
      </c>
      <c r="G46" s="14" t="s">
        <v>149</v>
      </c>
      <c r="H46" s="33">
        <v>63.36</v>
      </c>
      <c r="I46" s="33">
        <f>ROUND(H46*1.0, 2)</f>
      </c>
      <c r="J46" s="33">
        <f>ROUND(H46*0.95, 2)</f>
      </c>
      <c r="K46" s="33">
        <f>ROUND(H46*0.95, 2)</f>
      </c>
      <c r="L46" s="33">
        <f>ROUND(H46*1.05, 2)</f>
      </c>
      <c r="M46" s="33">
        <f>ROUND(H46*1.25, 2)</f>
      </c>
      <c r="N46" s="33">
        <f>ROUND(H46*1.55, 2)</f>
      </c>
      <c r="O46" s="33">
        <f>ROUND(H46*1.65, 2)</f>
      </c>
      <c r="P46" s="33">
        <f>SUM(I46:O46)</f>
      </c>
      <c r="Q46" s="33">
        <f>ROUND(H46*1.5, 2)</f>
      </c>
      <c r="R46" s="33">
        <f>ROUND(H46*2.0, 2)</f>
      </c>
      <c r="S46" s="14">
        <f>IF(F46&lt;=R46, "TRIGGER INDENT", "STOCK HEALTHY")</f>
      </c>
      <c r="T46" s="33">
        <f>IF(F46&lt;=R46, ROUND(MAX(H46, (I46+Q46)-F46), 2), 0)</f>
      </c>
    </row>
    <row r="47" ht="20" customHeight="1" spans="1:20" x14ac:dyDescent="0.25">
      <c r="A47" s="12" t="s">
        <v>245</v>
      </c>
      <c r="B47" s="12" t="s">
        <v>246</v>
      </c>
      <c r="C47" s="12" t="s">
        <v>170</v>
      </c>
      <c r="D47" s="12" t="s">
        <v>153</v>
      </c>
      <c r="E47" s="30">
        <v>288.5</v>
      </c>
      <c r="F47" s="31">
        <v>168.80002</v>
      </c>
      <c r="G47" s="12" t="s">
        <v>142</v>
      </c>
      <c r="H47" s="31">
        <v>20.26</v>
      </c>
      <c r="I47" s="31">
        <f>ROUND(H47*1.0, 2)</f>
      </c>
      <c r="J47" s="31">
        <f>ROUND(H47*0.95, 2)</f>
      </c>
      <c r="K47" s="31">
        <f>ROUND(H47*0.95, 2)</f>
      </c>
      <c r="L47" s="31">
        <f>ROUND(H47*1.05, 2)</f>
      </c>
      <c r="M47" s="31">
        <f>ROUND(H47*1.25, 2)</f>
      </c>
      <c r="N47" s="31">
        <f>ROUND(H47*1.55, 2)</f>
      </c>
      <c r="O47" s="31">
        <f>ROUND(H47*1.65, 2)</f>
      </c>
      <c r="P47" s="31">
        <f>SUM(I47:O47)</f>
      </c>
      <c r="Q47" s="31">
        <f>ROUND(H47*1.5, 2)</f>
      </c>
      <c r="R47" s="31">
        <f>ROUND(H47*2.0, 2)</f>
      </c>
      <c r="S47" s="12">
        <f>IF(F47&lt;=R47, "TRIGGER INDENT", "STOCK HEALTHY")</f>
      </c>
      <c r="T47" s="31">
        <f>IF(F47&lt;=R47, ROUND(MAX(H47, (I47+Q47)-F47), 2), 0)</f>
      </c>
    </row>
    <row r="48" ht="20" customHeight="1" spans="1:20" x14ac:dyDescent="0.25">
      <c r="A48" s="14" t="s">
        <v>247</v>
      </c>
      <c r="B48" s="14" t="s">
        <v>248</v>
      </c>
      <c r="C48" s="14" t="s">
        <v>240</v>
      </c>
      <c r="D48" s="14" t="s">
        <v>153</v>
      </c>
      <c r="E48" s="32">
        <v>460.010009765625</v>
      </c>
      <c r="F48" s="33">
        <v>14.399998</v>
      </c>
      <c r="G48" s="14" t="s">
        <v>177</v>
      </c>
      <c r="H48" s="33">
        <v>2.88</v>
      </c>
      <c r="I48" s="33">
        <f>ROUND(H48*1.0, 2)</f>
      </c>
      <c r="J48" s="33">
        <f>ROUND(H48*0.95, 2)</f>
      </c>
      <c r="K48" s="33">
        <f>ROUND(H48*0.95, 2)</f>
      </c>
      <c r="L48" s="33">
        <f>ROUND(H48*1.05, 2)</f>
      </c>
      <c r="M48" s="33">
        <f>ROUND(H48*1.25, 2)</f>
      </c>
      <c r="N48" s="33">
        <f>ROUND(H48*1.55, 2)</f>
      </c>
      <c r="O48" s="33">
        <f>ROUND(H48*1.65, 2)</f>
      </c>
      <c r="P48" s="33">
        <f>SUM(I48:O48)</f>
      </c>
      <c r="Q48" s="33">
        <f>ROUND(H48*1.5, 2)</f>
      </c>
      <c r="R48" s="33">
        <f>ROUND(H48*2.0, 2)</f>
      </c>
      <c r="S48" s="14">
        <f>IF(F48&lt;=R48, "TRIGGER INDENT", "STOCK HEALTHY")</f>
      </c>
      <c r="T48" s="33">
        <f>IF(F48&lt;=R48, ROUND(MAX(H48, (I48+Q48)-F48), 2), 0)</f>
      </c>
    </row>
    <row r="49" ht="20" customHeight="1" spans="1:20" x14ac:dyDescent="0.25">
      <c r="A49" s="12" t="s">
        <v>249</v>
      </c>
      <c r="B49" s="12" t="s">
        <v>250</v>
      </c>
      <c r="C49" s="12" t="s">
        <v>137</v>
      </c>
      <c r="D49" s="12" t="s">
        <v>198</v>
      </c>
      <c r="E49" s="30">
        <v>280</v>
      </c>
      <c r="F49" s="31">
        <v>80</v>
      </c>
      <c r="G49" s="12" t="s">
        <v>154</v>
      </c>
      <c r="H49" s="31">
        <v>9.6</v>
      </c>
      <c r="I49" s="31">
        <f>ROUND(H49*1.0, 2)</f>
      </c>
      <c r="J49" s="31">
        <f>ROUND(H49*0.95, 2)</f>
      </c>
      <c r="K49" s="31">
        <f>ROUND(H49*0.95, 2)</f>
      </c>
      <c r="L49" s="31">
        <f>ROUND(H49*1.05, 2)</f>
      </c>
      <c r="M49" s="31">
        <f>ROUND(H49*1.25, 2)</f>
      </c>
      <c r="N49" s="31">
        <f>ROUND(H49*1.55, 2)</f>
      </c>
      <c r="O49" s="31">
        <f>ROUND(H49*1.65, 2)</f>
      </c>
      <c r="P49" s="31">
        <f>SUM(I49:O49)</f>
      </c>
      <c r="Q49" s="31">
        <f>ROUND(H49*1.5, 2)</f>
      </c>
      <c r="R49" s="31">
        <f>ROUND(H49*2.0, 2)</f>
      </c>
      <c r="S49" s="12">
        <f>IF(F49&lt;=R49, "TRIGGER INDENT", "STOCK HEALTHY")</f>
      </c>
      <c r="T49" s="31">
        <f>IF(F49&lt;=R49, ROUND(MAX(H49, (I49+Q49)-F49), 2), 0)</f>
      </c>
    </row>
    <row r="50" ht="20" customHeight="1" spans="1:20" x14ac:dyDescent="0.25">
      <c r="A50" s="14" t="s">
        <v>251</v>
      </c>
      <c r="B50" s="14" t="s">
        <v>252</v>
      </c>
      <c r="C50" s="14" t="s">
        <v>137</v>
      </c>
      <c r="D50" s="14" t="s">
        <v>138</v>
      </c>
      <c r="E50" s="32">
        <v>12.539999961853027</v>
      </c>
      <c r="F50" s="33">
        <v>1.5100002</v>
      </c>
      <c r="G50" s="14" t="s">
        <v>177</v>
      </c>
      <c r="H50" s="33">
        <v>1</v>
      </c>
      <c r="I50" s="33">
        <f>ROUND(H50*1.0, 2)</f>
      </c>
      <c r="J50" s="33">
        <f>ROUND(H50*0.95, 2)</f>
      </c>
      <c r="K50" s="33">
        <f>ROUND(H50*0.95, 2)</f>
      </c>
      <c r="L50" s="33">
        <f>ROUND(H50*1.05, 2)</f>
      </c>
      <c r="M50" s="33">
        <f>ROUND(H50*1.25, 2)</f>
      </c>
      <c r="N50" s="33">
        <f>ROUND(H50*1.55, 2)</f>
      </c>
      <c r="O50" s="33">
        <f>ROUND(H50*1.65, 2)</f>
      </c>
      <c r="P50" s="33">
        <f>SUM(I50:O50)</f>
      </c>
      <c r="Q50" s="33">
        <f>ROUND(H50*1.5, 2)</f>
      </c>
      <c r="R50" s="33">
        <f>ROUND(H50*2.0, 2)</f>
      </c>
      <c r="S50" s="14">
        <f>IF(F50&lt;=R50, "TRIGGER INDENT", "STOCK HEALTHY")</f>
      </c>
      <c r="T50" s="33">
        <f>IF(F50&lt;=R50, ROUND(MAX(H50, (I50+Q50)-F50), 2), 0)</f>
      </c>
    </row>
    <row r="51" ht="20" customHeight="1" spans="1:20" x14ac:dyDescent="0.25">
      <c r="A51" s="12" t="s">
        <v>253</v>
      </c>
      <c r="B51" s="12" t="s">
        <v>254</v>
      </c>
      <c r="C51" s="12" t="s">
        <v>240</v>
      </c>
      <c r="D51" s="12" t="s">
        <v>138</v>
      </c>
      <c r="E51" s="30">
        <v>12.329999923706055</v>
      </c>
      <c r="F51" s="31">
        <v>192</v>
      </c>
      <c r="G51" s="12" t="s">
        <v>177</v>
      </c>
      <c r="H51" s="31">
        <v>23.04</v>
      </c>
      <c r="I51" s="31">
        <f>ROUND(H51*1.0, 2)</f>
      </c>
      <c r="J51" s="31">
        <f>ROUND(H51*0.95, 2)</f>
      </c>
      <c r="K51" s="31">
        <f>ROUND(H51*0.95, 2)</f>
      </c>
      <c r="L51" s="31">
        <f>ROUND(H51*1.05, 2)</f>
      </c>
      <c r="M51" s="31">
        <f>ROUND(H51*1.25, 2)</f>
      </c>
      <c r="N51" s="31">
        <f>ROUND(H51*1.55, 2)</f>
      </c>
      <c r="O51" s="31">
        <f>ROUND(H51*1.65, 2)</f>
      </c>
      <c r="P51" s="31">
        <f>SUM(I51:O51)</f>
      </c>
      <c r="Q51" s="31">
        <f>ROUND(H51*1.5, 2)</f>
      </c>
      <c r="R51" s="31">
        <f>ROUND(H51*2.0, 2)</f>
      </c>
      <c r="S51" s="12">
        <f>IF(F51&lt;=R51, "TRIGGER INDENT", "STOCK HEALTHY")</f>
      </c>
      <c r="T51" s="31">
        <f>IF(F51&lt;=R51, ROUND(MAX(H51, (I51+Q51)-F51), 2), 0)</f>
      </c>
    </row>
    <row r="52" ht="20" customHeight="1" spans="1:20" x14ac:dyDescent="0.25">
      <c r="A52" s="14" t="s">
        <v>255</v>
      </c>
      <c r="B52" s="14" t="s">
        <v>256</v>
      </c>
      <c r="C52" s="14" t="s">
        <v>257</v>
      </c>
      <c r="D52" s="14" t="s">
        <v>138</v>
      </c>
      <c r="E52" s="32">
        <v>276.1000061035156</v>
      </c>
      <c r="F52" s="33">
        <v>656</v>
      </c>
      <c r="G52" s="14" t="s">
        <v>139</v>
      </c>
      <c r="H52" s="33">
        <v>52.48</v>
      </c>
      <c r="I52" s="33">
        <f>ROUND(H52*1.0, 2)</f>
      </c>
      <c r="J52" s="33">
        <f>ROUND(H52*0.95, 2)</f>
      </c>
      <c r="K52" s="33">
        <f>ROUND(H52*0.95, 2)</f>
      </c>
      <c r="L52" s="33">
        <f>ROUND(H52*1.05, 2)</f>
      </c>
      <c r="M52" s="33">
        <f>ROUND(H52*1.25, 2)</f>
      </c>
      <c r="N52" s="33">
        <f>ROUND(H52*1.55, 2)</f>
      </c>
      <c r="O52" s="33">
        <f>ROUND(H52*1.65, 2)</f>
      </c>
      <c r="P52" s="33">
        <f>SUM(I52:O52)</f>
      </c>
      <c r="Q52" s="33">
        <f>ROUND(H52*1.5, 2)</f>
      </c>
      <c r="R52" s="33">
        <f>ROUND(H52*2.0, 2)</f>
      </c>
      <c r="S52" s="14">
        <f>IF(F52&lt;=R52, "TRIGGER INDENT", "STOCK HEALTHY")</f>
      </c>
      <c r="T52" s="33">
        <f>IF(F52&lt;=R52, ROUND(MAX(H52, (I52+Q52)-F52), 2), 0)</f>
      </c>
    </row>
    <row r="53" ht="20" customHeight="1" spans="1:20" x14ac:dyDescent="0.25">
      <c r="A53" s="12" t="s">
        <v>258</v>
      </c>
      <c r="B53" s="12" t="s">
        <v>259</v>
      </c>
      <c r="C53" s="12" t="s">
        <v>137</v>
      </c>
      <c r="D53" s="12" t="s">
        <v>138</v>
      </c>
      <c r="E53" s="30">
        <v>320</v>
      </c>
      <c r="F53" s="31">
        <v>880</v>
      </c>
      <c r="G53" s="12" t="s">
        <v>139</v>
      </c>
      <c r="H53" s="31">
        <v>70.4</v>
      </c>
      <c r="I53" s="31">
        <f>ROUND(H53*1.0, 2)</f>
      </c>
      <c r="J53" s="31">
        <f>ROUND(H53*0.95, 2)</f>
      </c>
      <c r="K53" s="31">
        <f>ROUND(H53*0.95, 2)</f>
      </c>
      <c r="L53" s="31">
        <f>ROUND(H53*1.05, 2)</f>
      </c>
      <c r="M53" s="31">
        <f>ROUND(H53*1.25, 2)</f>
      </c>
      <c r="N53" s="31">
        <f>ROUND(H53*1.55, 2)</f>
      </c>
      <c r="O53" s="31">
        <f>ROUND(H53*1.65, 2)</f>
      </c>
      <c r="P53" s="31">
        <f>SUM(I53:O53)</f>
      </c>
      <c r="Q53" s="31">
        <f>ROUND(H53*1.5, 2)</f>
      </c>
      <c r="R53" s="31">
        <f>ROUND(H53*2.0, 2)</f>
      </c>
      <c r="S53" s="12">
        <f>IF(F53&lt;=R53, "TRIGGER INDENT", "STOCK HEALTHY")</f>
      </c>
      <c r="T53" s="31">
        <f>IF(F53&lt;=R53, ROUND(MAX(H53, (I53+Q53)-F53), 2), 0)</f>
      </c>
    </row>
    <row r="54" ht="20" customHeight="1" spans="1:20" x14ac:dyDescent="0.25">
      <c r="A54" s="14" t="s">
        <v>260</v>
      </c>
      <c r="B54" s="14" t="s">
        <v>261</v>
      </c>
      <c r="C54" s="14" t="s">
        <v>137</v>
      </c>
      <c r="D54" s="14" t="s">
        <v>198</v>
      </c>
      <c r="E54" s="32">
        <v>95.70999908447266</v>
      </c>
      <c r="F54" s="33">
        <v>48</v>
      </c>
      <c r="G54" s="14" t="s">
        <v>154</v>
      </c>
      <c r="H54" s="33">
        <v>9.6</v>
      </c>
      <c r="I54" s="33">
        <f>ROUND(H54*1.0, 2)</f>
      </c>
      <c r="J54" s="33">
        <f>ROUND(H54*0.95, 2)</f>
      </c>
      <c r="K54" s="33">
        <f>ROUND(H54*0.95, 2)</f>
      </c>
      <c r="L54" s="33">
        <f>ROUND(H54*1.05, 2)</f>
      </c>
      <c r="M54" s="33">
        <f>ROUND(H54*1.25, 2)</f>
      </c>
      <c r="N54" s="33">
        <f>ROUND(H54*1.55, 2)</f>
      </c>
      <c r="O54" s="33">
        <f>ROUND(H54*1.65, 2)</f>
      </c>
      <c r="P54" s="33">
        <f>SUM(I54:O54)</f>
      </c>
      <c r="Q54" s="33">
        <f>ROUND(H54*1.5, 2)</f>
      </c>
      <c r="R54" s="33">
        <f>ROUND(H54*2.0, 2)</f>
      </c>
      <c r="S54" s="14">
        <f>IF(F54&lt;=R54, "TRIGGER INDENT", "STOCK HEALTHY")</f>
      </c>
      <c r="T54" s="33">
        <f>IF(F54&lt;=R54, ROUND(MAX(H54, (I54+Q54)-F54), 2), 0)</f>
      </c>
    </row>
    <row r="55" ht="20" customHeight="1" spans="1:20" x14ac:dyDescent="0.25">
      <c r="A55" s="12" t="s">
        <v>262</v>
      </c>
      <c r="B55" s="12" t="s">
        <v>263</v>
      </c>
      <c r="C55" s="12" t="s">
        <v>264</v>
      </c>
      <c r="D55" s="12" t="s">
        <v>265</v>
      </c>
      <c r="E55" s="30">
        <v>516.8699951171875</v>
      </c>
      <c r="F55" s="31">
        <v>32</v>
      </c>
      <c r="G55" s="12" t="s">
        <v>177</v>
      </c>
      <c r="H55" s="31">
        <v>6.4</v>
      </c>
      <c r="I55" s="31">
        <f>ROUND(H55*1.0, 2)</f>
      </c>
      <c r="J55" s="31">
        <f>ROUND(H55*0.95, 2)</f>
      </c>
      <c r="K55" s="31">
        <f>ROUND(H55*0.95, 2)</f>
      </c>
      <c r="L55" s="31">
        <f>ROUND(H55*1.05, 2)</f>
      </c>
      <c r="M55" s="31">
        <f>ROUND(H55*1.25, 2)</f>
      </c>
      <c r="N55" s="31">
        <f>ROUND(H55*1.55, 2)</f>
      </c>
      <c r="O55" s="31">
        <f>ROUND(H55*1.65, 2)</f>
      </c>
      <c r="P55" s="31">
        <f>SUM(I55:O55)</f>
      </c>
      <c r="Q55" s="31">
        <f>ROUND(H55*1.5, 2)</f>
      </c>
      <c r="R55" s="31">
        <f>ROUND(H55*2.0, 2)</f>
      </c>
      <c r="S55" s="12">
        <f>IF(F55&lt;=R55, "TRIGGER INDENT", "STOCK HEALTHY")</f>
      </c>
      <c r="T55" s="31">
        <f>IF(F55&lt;=R55, ROUND(MAX(H55, (I55+Q55)-F55), 2), 0)</f>
      </c>
    </row>
    <row r="56" ht="20" customHeight="1" spans="1:20" x14ac:dyDescent="0.25">
      <c r="A56" s="14" t="s">
        <v>266</v>
      </c>
      <c r="B56" s="14" t="s">
        <v>267</v>
      </c>
      <c r="C56" s="14" t="s">
        <v>147</v>
      </c>
      <c r="D56" s="14" t="s">
        <v>148</v>
      </c>
      <c r="E56" s="32">
        <v>190</v>
      </c>
      <c r="F56" s="33">
        <v>1.5100002</v>
      </c>
      <c r="G56" s="14" t="s">
        <v>149</v>
      </c>
      <c r="H56" s="33">
        <v>1</v>
      </c>
      <c r="I56" s="33">
        <f>ROUND(H56*1.0, 2)</f>
      </c>
      <c r="J56" s="33">
        <f>ROUND(H56*0.95, 2)</f>
      </c>
      <c r="K56" s="33">
        <f>ROUND(H56*0.95, 2)</f>
      </c>
      <c r="L56" s="33">
        <f>ROUND(H56*1.05, 2)</f>
      </c>
      <c r="M56" s="33">
        <f>ROUND(H56*1.25, 2)</f>
      </c>
      <c r="N56" s="33">
        <f>ROUND(H56*1.55, 2)</f>
      </c>
      <c r="O56" s="33">
        <f>ROUND(H56*1.65, 2)</f>
      </c>
      <c r="P56" s="33">
        <f>SUM(I56:O56)</f>
      </c>
      <c r="Q56" s="33">
        <f>ROUND(H56*1.5, 2)</f>
      </c>
      <c r="R56" s="33">
        <f>ROUND(H56*2.0, 2)</f>
      </c>
      <c r="S56" s="14">
        <f>IF(F56&lt;=R56, "TRIGGER INDENT", "STOCK HEALTHY")</f>
      </c>
      <c r="T56" s="33">
        <f>IF(F56&lt;=R56, ROUND(MAX(H56, (I56+Q56)-F56), 2), 0)</f>
      </c>
    </row>
    <row r="57" ht="20" customHeight="1" spans="1:20" x14ac:dyDescent="0.25">
      <c r="A57" s="12" t="s">
        <v>268</v>
      </c>
      <c r="B57" s="12" t="s">
        <v>269</v>
      </c>
      <c r="C57" s="12" t="s">
        <v>137</v>
      </c>
      <c r="D57" s="12" t="s">
        <v>198</v>
      </c>
      <c r="E57" s="30">
        <v>80</v>
      </c>
      <c r="F57" s="31">
        <v>272</v>
      </c>
      <c r="G57" s="12" t="s">
        <v>139</v>
      </c>
      <c r="H57" s="31">
        <v>21.76</v>
      </c>
      <c r="I57" s="31">
        <f>ROUND(H57*1.0, 2)</f>
      </c>
      <c r="J57" s="31">
        <f>ROUND(H57*0.95, 2)</f>
      </c>
      <c r="K57" s="31">
        <f>ROUND(H57*0.95, 2)</f>
      </c>
      <c r="L57" s="31">
        <f>ROUND(H57*1.05, 2)</f>
      </c>
      <c r="M57" s="31">
        <f>ROUND(H57*1.25, 2)</f>
      </c>
      <c r="N57" s="31">
        <f>ROUND(H57*1.55, 2)</f>
      </c>
      <c r="O57" s="31">
        <f>ROUND(H57*1.65, 2)</f>
      </c>
      <c r="P57" s="31">
        <f>SUM(I57:O57)</f>
      </c>
      <c r="Q57" s="31">
        <f>ROUND(H57*1.5, 2)</f>
      </c>
      <c r="R57" s="31">
        <f>ROUND(H57*2.0, 2)</f>
      </c>
      <c r="S57" s="12">
        <f>IF(F57&lt;=R57, "TRIGGER INDENT", "STOCK HEALTHY")</f>
      </c>
      <c r="T57" s="31">
        <f>IF(F57&lt;=R57, ROUND(MAX(H57, (I57+Q57)-F57), 2), 0)</f>
      </c>
    </row>
    <row r="58" ht="20" customHeight="1" spans="1:20" x14ac:dyDescent="0.25">
      <c r="A58" s="14" t="s">
        <v>270</v>
      </c>
      <c r="B58" s="14" t="s">
        <v>271</v>
      </c>
      <c r="C58" s="14" t="s">
        <v>147</v>
      </c>
      <c r="D58" s="14" t="s">
        <v>148</v>
      </c>
      <c r="E58" s="32">
        <v>300</v>
      </c>
      <c r="F58" s="33">
        <v>1.5100002</v>
      </c>
      <c r="G58" s="14" t="s">
        <v>177</v>
      </c>
      <c r="H58" s="33">
        <v>1</v>
      </c>
      <c r="I58" s="33">
        <f>ROUND(H58*1.0, 2)</f>
      </c>
      <c r="J58" s="33">
        <f>ROUND(H58*0.95, 2)</f>
      </c>
      <c r="K58" s="33">
        <f>ROUND(H58*0.95, 2)</f>
      </c>
      <c r="L58" s="33">
        <f>ROUND(H58*1.05, 2)</f>
      </c>
      <c r="M58" s="33">
        <f>ROUND(H58*1.25, 2)</f>
      </c>
      <c r="N58" s="33">
        <f>ROUND(H58*1.55, 2)</f>
      </c>
      <c r="O58" s="33">
        <f>ROUND(H58*1.65, 2)</f>
      </c>
      <c r="P58" s="33">
        <f>SUM(I58:O58)</f>
      </c>
      <c r="Q58" s="33">
        <f>ROUND(H58*1.5, 2)</f>
      </c>
      <c r="R58" s="33">
        <f>ROUND(H58*2.0, 2)</f>
      </c>
      <c r="S58" s="14">
        <f>IF(F58&lt;=R58, "TRIGGER INDENT", "STOCK HEALTHY")</f>
      </c>
      <c r="T58" s="33">
        <f>IF(F58&lt;=R58, ROUND(MAX(H58, (I58+Q58)-F58), 2), 0)</f>
      </c>
    </row>
    <row r="59" ht="20" customHeight="1" spans="1:20" x14ac:dyDescent="0.25">
      <c r="A59" s="12" t="s">
        <v>272</v>
      </c>
      <c r="B59" s="12" t="s">
        <v>273</v>
      </c>
      <c r="C59" s="12" t="s">
        <v>137</v>
      </c>
      <c r="D59" s="12" t="s">
        <v>153</v>
      </c>
      <c r="E59" s="30">
        <v>621.760009765625</v>
      </c>
      <c r="F59" s="31">
        <v>176</v>
      </c>
      <c r="G59" s="12" t="s">
        <v>154</v>
      </c>
      <c r="H59" s="31">
        <v>21.12</v>
      </c>
      <c r="I59" s="31">
        <f>ROUND(H59*1.0, 2)</f>
      </c>
      <c r="J59" s="31">
        <f>ROUND(H59*0.95, 2)</f>
      </c>
      <c r="K59" s="31">
        <f>ROUND(H59*0.95, 2)</f>
      </c>
      <c r="L59" s="31">
        <f>ROUND(H59*1.05, 2)</f>
      </c>
      <c r="M59" s="31">
        <f>ROUND(H59*1.25, 2)</f>
      </c>
      <c r="N59" s="31">
        <f>ROUND(H59*1.55, 2)</f>
      </c>
      <c r="O59" s="31">
        <f>ROUND(H59*1.65, 2)</f>
      </c>
      <c r="P59" s="31">
        <f>SUM(I59:O59)</f>
      </c>
      <c r="Q59" s="31">
        <f>ROUND(H59*1.5, 2)</f>
      </c>
      <c r="R59" s="31">
        <f>ROUND(H59*2.0, 2)</f>
      </c>
      <c r="S59" s="12">
        <f>IF(F59&lt;=R59, "TRIGGER INDENT", "STOCK HEALTHY")</f>
      </c>
      <c r="T59" s="31">
        <f>IF(F59&lt;=R59, ROUND(MAX(H59, (I59+Q59)-F59), 2), 0)</f>
      </c>
    </row>
    <row r="60" ht="20" customHeight="1" spans="1:20" x14ac:dyDescent="0.25">
      <c r="A60" s="14" t="s">
        <v>274</v>
      </c>
      <c r="B60" s="14" t="s">
        <v>275</v>
      </c>
      <c r="C60" s="14" t="s">
        <v>167</v>
      </c>
      <c r="D60" s="14" t="s">
        <v>153</v>
      </c>
      <c r="E60" s="32">
        <v>83.06999969482422</v>
      </c>
      <c r="F60" s="33">
        <v>1008</v>
      </c>
      <c r="G60" s="14" t="s">
        <v>139</v>
      </c>
      <c r="H60" s="33">
        <v>50.4</v>
      </c>
      <c r="I60" s="33">
        <f>ROUND(H60*1.0, 2)</f>
      </c>
      <c r="J60" s="33">
        <f>ROUND(H60*0.95, 2)</f>
      </c>
      <c r="K60" s="33">
        <f>ROUND(H60*0.95, 2)</f>
      </c>
      <c r="L60" s="33">
        <f>ROUND(H60*1.05, 2)</f>
      </c>
      <c r="M60" s="33">
        <f>ROUND(H60*1.25, 2)</f>
      </c>
      <c r="N60" s="33">
        <f>ROUND(H60*1.55, 2)</f>
      </c>
      <c r="O60" s="33">
        <f>ROUND(H60*1.65, 2)</f>
      </c>
      <c r="P60" s="33">
        <f>SUM(I60:O60)</f>
      </c>
      <c r="Q60" s="33">
        <f>ROUND(H60*1.5, 2)</f>
      </c>
      <c r="R60" s="33">
        <f>ROUND(H60*2.0, 2)</f>
      </c>
      <c r="S60" s="14">
        <f>IF(F60&lt;=R60, "TRIGGER INDENT", "STOCK HEALTHY")</f>
      </c>
      <c r="T60" s="33">
        <f>IF(F60&lt;=R60, ROUND(MAX(H60, (I60+Q60)-F60), 2), 0)</f>
      </c>
    </row>
    <row r="61" ht="20" customHeight="1" spans="1:20" x14ac:dyDescent="0.25">
      <c r="A61" s="12" t="s">
        <v>276</v>
      </c>
      <c r="B61" s="12" t="s">
        <v>277</v>
      </c>
      <c r="C61" s="12" t="s">
        <v>211</v>
      </c>
      <c r="D61" s="12" t="s">
        <v>153</v>
      </c>
      <c r="E61" s="30">
        <v>71.81999969482422</v>
      </c>
      <c r="F61" s="31">
        <v>923.20013</v>
      </c>
      <c r="G61" s="12" t="s">
        <v>139</v>
      </c>
      <c r="H61" s="31">
        <v>73.86</v>
      </c>
      <c r="I61" s="31">
        <f>ROUND(H61*1.0, 2)</f>
      </c>
      <c r="J61" s="31">
        <f>ROUND(H61*0.95, 2)</f>
      </c>
      <c r="K61" s="31">
        <f>ROUND(H61*0.95, 2)</f>
      </c>
      <c r="L61" s="31">
        <f>ROUND(H61*1.05, 2)</f>
      </c>
      <c r="M61" s="31">
        <f>ROUND(H61*1.25, 2)</f>
      </c>
      <c r="N61" s="31">
        <f>ROUND(H61*1.55, 2)</f>
      </c>
      <c r="O61" s="31">
        <f>ROUND(H61*1.65, 2)</f>
      </c>
      <c r="P61" s="31">
        <f>SUM(I61:O61)</f>
      </c>
      <c r="Q61" s="31">
        <f>ROUND(H61*1.5, 2)</f>
      </c>
      <c r="R61" s="31">
        <f>ROUND(H61*2.0, 2)</f>
      </c>
      <c r="S61" s="12">
        <f>IF(F61&lt;=R61, "TRIGGER INDENT", "STOCK HEALTHY")</f>
      </c>
      <c r="T61" s="31">
        <f>IF(F61&lt;=R61, ROUND(MAX(H61, (I61+Q61)-F61), 2), 0)</f>
      </c>
    </row>
    <row r="62" ht="20" customHeight="1" spans="1:20" x14ac:dyDescent="0.25">
      <c r="A62" s="14" t="s">
        <v>278</v>
      </c>
      <c r="B62" s="14" t="s">
        <v>279</v>
      </c>
      <c r="C62" s="14" t="s">
        <v>152</v>
      </c>
      <c r="D62" s="14" t="s">
        <v>153</v>
      </c>
      <c r="E62" s="32">
        <v>590</v>
      </c>
      <c r="F62" s="33">
        <v>48</v>
      </c>
      <c r="G62" s="14" t="s">
        <v>142</v>
      </c>
      <c r="H62" s="33">
        <v>9.6</v>
      </c>
      <c r="I62" s="33">
        <f>ROUND(H62*1.0, 2)</f>
      </c>
      <c r="J62" s="33">
        <f>ROUND(H62*0.95, 2)</f>
      </c>
      <c r="K62" s="33">
        <f>ROUND(H62*0.95, 2)</f>
      </c>
      <c r="L62" s="33">
        <f>ROUND(H62*1.05, 2)</f>
      </c>
      <c r="M62" s="33">
        <f>ROUND(H62*1.25, 2)</f>
      </c>
      <c r="N62" s="33">
        <f>ROUND(H62*1.55, 2)</f>
      </c>
      <c r="O62" s="33">
        <f>ROUND(H62*1.65, 2)</f>
      </c>
      <c r="P62" s="33">
        <f>SUM(I62:O62)</f>
      </c>
      <c r="Q62" s="33">
        <f>ROUND(H62*1.5, 2)</f>
      </c>
      <c r="R62" s="33">
        <f>ROUND(H62*2.0, 2)</f>
      </c>
      <c r="S62" s="14">
        <f>IF(F62&lt;=R62, "TRIGGER INDENT", "STOCK HEALTHY")</f>
      </c>
      <c r="T62" s="33">
        <f>IF(F62&lt;=R62, ROUND(MAX(H62, (I62+Q62)-F62), 2), 0)</f>
      </c>
    </row>
    <row r="63" ht="20" customHeight="1" spans="1:20" x14ac:dyDescent="0.25">
      <c r="A63" s="12" t="s">
        <v>280</v>
      </c>
      <c r="B63" s="12" t="s">
        <v>281</v>
      </c>
      <c r="C63" s="12" t="s">
        <v>257</v>
      </c>
      <c r="D63" s="12" t="s">
        <v>265</v>
      </c>
      <c r="E63" s="30">
        <v>306.17999267578125</v>
      </c>
      <c r="F63" s="31">
        <v>96</v>
      </c>
      <c r="G63" s="12" t="s">
        <v>154</v>
      </c>
      <c r="H63" s="31">
        <v>11.52</v>
      </c>
      <c r="I63" s="31">
        <f>ROUND(H63*1.0, 2)</f>
      </c>
      <c r="J63" s="31">
        <f>ROUND(H63*0.95, 2)</f>
      </c>
      <c r="K63" s="31">
        <f>ROUND(H63*0.95, 2)</f>
      </c>
      <c r="L63" s="31">
        <f>ROUND(H63*1.05, 2)</f>
      </c>
      <c r="M63" s="31">
        <f>ROUND(H63*1.25, 2)</f>
      </c>
      <c r="N63" s="31">
        <f>ROUND(H63*1.55, 2)</f>
      </c>
      <c r="O63" s="31">
        <f>ROUND(H63*1.65, 2)</f>
      </c>
      <c r="P63" s="31">
        <f>SUM(I63:O63)</f>
      </c>
      <c r="Q63" s="31">
        <f>ROUND(H63*1.5, 2)</f>
      </c>
      <c r="R63" s="31">
        <f>ROUND(H63*2.0, 2)</f>
      </c>
      <c r="S63" s="12">
        <f>IF(F63&lt;=R63, "TRIGGER INDENT", "STOCK HEALTHY")</f>
      </c>
      <c r="T63" s="31">
        <f>IF(F63&lt;=R63, ROUND(MAX(H63, (I63+Q63)-F63), 2), 0)</f>
      </c>
    </row>
    <row r="64" ht="20" customHeight="1" spans="1:20" x14ac:dyDescent="0.25">
      <c r="A64" s="14" t="s">
        <v>282</v>
      </c>
      <c r="B64" s="14" t="s">
        <v>283</v>
      </c>
      <c r="C64" s="14" t="s">
        <v>257</v>
      </c>
      <c r="D64" s="14" t="s">
        <v>198</v>
      </c>
      <c r="E64" s="32">
        <v>343.2699890136719</v>
      </c>
      <c r="F64" s="33">
        <v>96</v>
      </c>
      <c r="G64" s="14" t="s">
        <v>177</v>
      </c>
      <c r="H64" s="33">
        <v>11.52</v>
      </c>
      <c r="I64" s="33">
        <f>ROUND(H64*1.0, 2)</f>
      </c>
      <c r="J64" s="33">
        <f>ROUND(H64*0.95, 2)</f>
      </c>
      <c r="K64" s="33">
        <f>ROUND(H64*0.95, 2)</f>
      </c>
      <c r="L64" s="33">
        <f>ROUND(H64*1.05, 2)</f>
      </c>
      <c r="M64" s="33">
        <f>ROUND(H64*1.25, 2)</f>
      </c>
      <c r="N64" s="33">
        <f>ROUND(H64*1.55, 2)</f>
      </c>
      <c r="O64" s="33">
        <f>ROUND(H64*1.65, 2)</f>
      </c>
      <c r="P64" s="33">
        <f>SUM(I64:O64)</f>
      </c>
      <c r="Q64" s="33">
        <f>ROUND(H64*1.5, 2)</f>
      </c>
      <c r="R64" s="33">
        <f>ROUND(H64*2.0, 2)</f>
      </c>
      <c r="S64" s="14">
        <f>IF(F64&lt;=R64, "TRIGGER INDENT", "STOCK HEALTHY")</f>
      </c>
      <c r="T64" s="33">
        <f>IF(F64&lt;=R64, ROUND(MAX(H64, (I64+Q64)-F64), 2), 0)</f>
      </c>
    </row>
    <row r="65" ht="20" customHeight="1" spans="1:20" x14ac:dyDescent="0.25">
      <c r="A65" s="12" t="s">
        <v>284</v>
      </c>
      <c r="B65" s="12" t="s">
        <v>285</v>
      </c>
      <c r="C65" s="12" t="s">
        <v>176</v>
      </c>
      <c r="D65" s="12" t="s">
        <v>153</v>
      </c>
      <c r="E65" s="30">
        <v>267.6000061035156</v>
      </c>
      <c r="F65" s="31">
        <v>1.5100002</v>
      </c>
      <c r="G65" s="12" t="s">
        <v>160</v>
      </c>
      <c r="H65" s="31">
        <v>1</v>
      </c>
      <c r="I65" s="31">
        <f>ROUND(H65*1.0, 2)</f>
      </c>
      <c r="J65" s="31">
        <f>ROUND(H65*0.95, 2)</f>
      </c>
      <c r="K65" s="31">
        <f>ROUND(H65*0.95, 2)</f>
      </c>
      <c r="L65" s="31">
        <f>ROUND(H65*1.05, 2)</f>
      </c>
      <c r="M65" s="31">
        <f>ROUND(H65*1.25, 2)</f>
      </c>
      <c r="N65" s="31">
        <f>ROUND(H65*1.55, 2)</f>
      </c>
      <c r="O65" s="31">
        <f>ROUND(H65*1.65, 2)</f>
      </c>
      <c r="P65" s="31">
        <f>SUM(I65:O65)</f>
      </c>
      <c r="Q65" s="31">
        <f>ROUND(H65*1.5, 2)</f>
      </c>
      <c r="R65" s="31">
        <f>ROUND(H65*2.0, 2)</f>
      </c>
      <c r="S65" s="12">
        <f>IF(F65&lt;=R65, "TRIGGER INDENT", "STOCK HEALTHY")</f>
      </c>
      <c r="T65" s="31">
        <f>IF(F65&lt;=R65, ROUND(MAX(H65, (I65+Q65)-F65), 2), 0)</f>
      </c>
    </row>
    <row r="66" ht="20" customHeight="1" spans="1:20" x14ac:dyDescent="0.25">
      <c r="A66" s="14" t="s">
        <v>286</v>
      </c>
      <c r="B66" s="14" t="s">
        <v>287</v>
      </c>
      <c r="C66" s="14" t="s">
        <v>288</v>
      </c>
      <c r="D66" s="14" t="s">
        <v>153</v>
      </c>
      <c r="E66" s="32">
        <v>232.13999938964844</v>
      </c>
      <c r="F66" s="33">
        <v>174.39998</v>
      </c>
      <c r="G66" s="14" t="s">
        <v>142</v>
      </c>
      <c r="H66" s="33">
        <v>20.93</v>
      </c>
      <c r="I66" s="33">
        <f>ROUND(H66*1.0, 2)</f>
      </c>
      <c r="J66" s="33">
        <f>ROUND(H66*0.95, 2)</f>
      </c>
      <c r="K66" s="33">
        <f>ROUND(H66*0.95, 2)</f>
      </c>
      <c r="L66" s="33">
        <f>ROUND(H66*1.05, 2)</f>
      </c>
      <c r="M66" s="33">
        <f>ROUND(H66*1.25, 2)</f>
      </c>
      <c r="N66" s="33">
        <f>ROUND(H66*1.55, 2)</f>
      </c>
      <c r="O66" s="33">
        <f>ROUND(H66*1.65, 2)</f>
      </c>
      <c r="P66" s="33">
        <f>SUM(I66:O66)</f>
      </c>
      <c r="Q66" s="33">
        <f>ROUND(H66*1.5, 2)</f>
      </c>
      <c r="R66" s="33">
        <f>ROUND(H66*2.0, 2)</f>
      </c>
      <c r="S66" s="14">
        <f>IF(F66&lt;=R66, "TRIGGER INDENT", "STOCK HEALTHY")</f>
      </c>
      <c r="T66" s="33">
        <f>IF(F66&lt;=R66, ROUND(MAX(H66, (I66+Q66)-F66), 2), 0)</f>
      </c>
    </row>
    <row r="67" ht="20" customHeight="1" spans="1:20" x14ac:dyDescent="0.25">
      <c r="A67" s="12" t="s">
        <v>289</v>
      </c>
      <c r="B67" s="12" t="s">
        <v>290</v>
      </c>
      <c r="C67" s="12" t="s">
        <v>288</v>
      </c>
      <c r="D67" s="12" t="s">
        <v>153</v>
      </c>
      <c r="E67" s="30">
        <v>232.24000549316406</v>
      </c>
      <c r="F67" s="31">
        <v>358.39993</v>
      </c>
      <c r="G67" s="12" t="s">
        <v>142</v>
      </c>
      <c r="H67" s="31">
        <v>28.67</v>
      </c>
      <c r="I67" s="31">
        <f>ROUND(H67*1.0, 2)</f>
      </c>
      <c r="J67" s="31">
        <f>ROUND(H67*0.95, 2)</f>
      </c>
      <c r="K67" s="31">
        <f>ROUND(H67*0.95, 2)</f>
      </c>
      <c r="L67" s="31">
        <f>ROUND(H67*1.05, 2)</f>
      </c>
      <c r="M67" s="31">
        <f>ROUND(H67*1.25, 2)</f>
      </c>
      <c r="N67" s="31">
        <f>ROUND(H67*1.55, 2)</f>
      </c>
      <c r="O67" s="31">
        <f>ROUND(H67*1.65, 2)</f>
      </c>
      <c r="P67" s="31">
        <f>SUM(I67:O67)</f>
      </c>
      <c r="Q67" s="31">
        <f>ROUND(H67*1.5, 2)</f>
      </c>
      <c r="R67" s="31">
        <f>ROUND(H67*2.0, 2)</f>
      </c>
      <c r="S67" s="12">
        <f>IF(F67&lt;=R67, "TRIGGER INDENT", "STOCK HEALTHY")</f>
      </c>
      <c r="T67" s="31">
        <f>IF(F67&lt;=R67, ROUND(MAX(H67, (I67+Q67)-F67), 2), 0)</f>
      </c>
    </row>
    <row r="68" ht="20" customHeight="1" spans="1:20" x14ac:dyDescent="0.25">
      <c r="A68" s="14" t="s">
        <v>291</v>
      </c>
      <c r="B68" s="14" t="s">
        <v>292</v>
      </c>
      <c r="C68" s="14" t="s">
        <v>288</v>
      </c>
      <c r="D68" s="14" t="s">
        <v>153</v>
      </c>
      <c r="E68" s="32">
        <v>235.25</v>
      </c>
      <c r="F68" s="33">
        <v>100</v>
      </c>
      <c r="G68" s="14" t="s">
        <v>293</v>
      </c>
      <c r="H68" s="33">
        <v>12</v>
      </c>
      <c r="I68" s="33">
        <f>ROUND(H68*1.0, 2)</f>
      </c>
      <c r="J68" s="33">
        <f>ROUND(H68*0.95, 2)</f>
      </c>
      <c r="K68" s="33">
        <f>ROUND(H68*0.95, 2)</f>
      </c>
      <c r="L68" s="33">
        <f>ROUND(H68*1.05, 2)</f>
      </c>
      <c r="M68" s="33">
        <f>ROUND(H68*1.25, 2)</f>
      </c>
      <c r="N68" s="33">
        <f>ROUND(H68*1.55, 2)</f>
      </c>
      <c r="O68" s="33">
        <f>ROUND(H68*1.65, 2)</f>
      </c>
      <c r="P68" s="33">
        <f>SUM(I68:O68)</f>
      </c>
      <c r="Q68" s="33">
        <f>ROUND(H68*1.5, 2)</f>
      </c>
      <c r="R68" s="33">
        <f>ROUND(H68*2.0, 2)</f>
      </c>
      <c r="S68" s="14">
        <f>IF(F68&lt;=R68, "TRIGGER INDENT", "STOCK HEALTHY")</f>
      </c>
      <c r="T68" s="33">
        <f>IF(F68&lt;=R68, ROUND(MAX(H68, (I68+Q68)-F68), 2), 0)</f>
      </c>
    </row>
    <row r="69" ht="20" customHeight="1" spans="1:20" x14ac:dyDescent="0.25">
      <c r="A69" s="12" t="s">
        <v>294</v>
      </c>
      <c r="B69" s="12" t="s">
        <v>295</v>
      </c>
      <c r="C69" s="12" t="s">
        <v>152</v>
      </c>
      <c r="D69" s="12" t="s">
        <v>153</v>
      </c>
      <c r="E69" s="30">
        <v>380</v>
      </c>
      <c r="F69" s="31">
        <v>13</v>
      </c>
      <c r="G69" s="12" t="s">
        <v>177</v>
      </c>
      <c r="H69" s="31">
        <v>2.6</v>
      </c>
      <c r="I69" s="31">
        <f>ROUND(H69*1.0, 2)</f>
      </c>
      <c r="J69" s="31">
        <f>ROUND(H69*0.95, 2)</f>
      </c>
      <c r="K69" s="31">
        <f>ROUND(H69*0.95, 2)</f>
      </c>
      <c r="L69" s="31">
        <f>ROUND(H69*1.05, 2)</f>
      </c>
      <c r="M69" s="31">
        <f>ROUND(H69*1.25, 2)</f>
      </c>
      <c r="N69" s="31">
        <f>ROUND(H69*1.55, 2)</f>
      </c>
      <c r="O69" s="31">
        <f>ROUND(H69*1.65, 2)</f>
      </c>
      <c r="P69" s="31">
        <f>SUM(I69:O69)</f>
      </c>
      <c r="Q69" s="31">
        <f>ROUND(H69*1.5, 2)</f>
      </c>
      <c r="R69" s="31">
        <f>ROUND(H69*2.0, 2)</f>
      </c>
      <c r="S69" s="12">
        <f>IF(F69&lt;=R69, "TRIGGER INDENT", "STOCK HEALTHY")</f>
      </c>
      <c r="T69" s="31">
        <f>IF(F69&lt;=R69, ROUND(MAX(H69, (I69+Q69)-F69), 2), 0)</f>
      </c>
    </row>
    <row r="70" ht="20" customHeight="1" spans="1:20" x14ac:dyDescent="0.25">
      <c r="A70" s="14" t="s">
        <v>296</v>
      </c>
      <c r="B70" s="14" t="s">
        <v>297</v>
      </c>
      <c r="C70" s="14" t="s">
        <v>152</v>
      </c>
      <c r="D70" s="14" t="s">
        <v>198</v>
      </c>
      <c r="E70" s="32">
        <v>1.600000023841858</v>
      </c>
      <c r="F70" s="33">
        <v>1.5100002</v>
      </c>
      <c r="G70" s="14" t="s">
        <v>149</v>
      </c>
      <c r="H70" s="33">
        <v>1</v>
      </c>
      <c r="I70" s="33">
        <f>ROUND(H70*1.0, 2)</f>
      </c>
      <c r="J70" s="33">
        <f>ROUND(H70*0.95, 2)</f>
      </c>
      <c r="K70" s="33">
        <f>ROUND(H70*0.95, 2)</f>
      </c>
      <c r="L70" s="33">
        <f>ROUND(H70*1.05, 2)</f>
      </c>
      <c r="M70" s="33">
        <f>ROUND(H70*1.25, 2)</f>
      </c>
      <c r="N70" s="33">
        <f>ROUND(H70*1.55, 2)</f>
      </c>
      <c r="O70" s="33">
        <f>ROUND(H70*1.65, 2)</f>
      </c>
      <c r="P70" s="33">
        <f>SUM(I70:O70)</f>
      </c>
      <c r="Q70" s="33">
        <f>ROUND(H70*1.5, 2)</f>
      </c>
      <c r="R70" s="33">
        <f>ROUND(H70*2.0, 2)</f>
      </c>
      <c r="S70" s="14">
        <f>IF(F70&lt;=R70, "TRIGGER INDENT", "STOCK HEALTHY")</f>
      </c>
      <c r="T70" s="33">
        <f>IF(F70&lt;=R70, ROUND(MAX(H70, (I70+Q70)-F70), 2), 0)</f>
      </c>
    </row>
    <row r="71" ht="20" customHeight="1" spans="1:20" x14ac:dyDescent="0.25">
      <c r="A71" s="12" t="s">
        <v>298</v>
      </c>
      <c r="B71" s="12" t="s">
        <v>299</v>
      </c>
      <c r="C71" s="12" t="s">
        <v>152</v>
      </c>
      <c r="D71" s="12" t="s">
        <v>153</v>
      </c>
      <c r="E71" s="30">
        <v>238.3699951171875</v>
      </c>
      <c r="F71" s="31">
        <v>1637.5997</v>
      </c>
      <c r="G71" s="12" t="s">
        <v>142</v>
      </c>
      <c r="H71" s="31">
        <v>81.88</v>
      </c>
      <c r="I71" s="31">
        <f>ROUND(H71*1.0, 2)</f>
      </c>
      <c r="J71" s="31">
        <f>ROUND(H71*0.95, 2)</f>
      </c>
      <c r="K71" s="31">
        <f>ROUND(H71*0.95, 2)</f>
      </c>
      <c r="L71" s="31">
        <f>ROUND(H71*1.05, 2)</f>
      </c>
      <c r="M71" s="31">
        <f>ROUND(H71*1.25, 2)</f>
      </c>
      <c r="N71" s="31">
        <f>ROUND(H71*1.55, 2)</f>
      </c>
      <c r="O71" s="31">
        <f>ROUND(H71*1.65, 2)</f>
      </c>
      <c r="P71" s="31">
        <f>SUM(I71:O71)</f>
      </c>
      <c r="Q71" s="31">
        <f>ROUND(H71*1.5, 2)</f>
      </c>
      <c r="R71" s="31">
        <f>ROUND(H71*2.0, 2)</f>
      </c>
      <c r="S71" s="12">
        <f>IF(F71&lt;=R71, "TRIGGER INDENT", "STOCK HEALTHY")</f>
      </c>
      <c r="T71" s="31">
        <f>IF(F71&lt;=R71, ROUND(MAX(H71, (I71+Q71)-F71), 2), 0)</f>
      </c>
    </row>
    <row r="72" ht="20" customHeight="1" spans="1:20" x14ac:dyDescent="0.25">
      <c r="A72" s="14" t="s">
        <v>300</v>
      </c>
      <c r="B72" s="14" t="s">
        <v>301</v>
      </c>
      <c r="C72" s="14" t="s">
        <v>137</v>
      </c>
      <c r="D72" s="14" t="s">
        <v>138</v>
      </c>
      <c r="E72" s="32">
        <v>6.599999904632568</v>
      </c>
      <c r="F72" s="33">
        <v>60779</v>
      </c>
      <c r="G72" s="14" t="s">
        <v>142</v>
      </c>
      <c r="H72" s="33">
        <v>3038.95</v>
      </c>
      <c r="I72" s="33">
        <f>ROUND(H72*1.0, 2)</f>
      </c>
      <c r="J72" s="33">
        <f>ROUND(H72*0.95, 2)</f>
      </c>
      <c r="K72" s="33">
        <f>ROUND(H72*0.95, 2)</f>
      </c>
      <c r="L72" s="33">
        <f>ROUND(H72*1.05, 2)</f>
      </c>
      <c r="M72" s="33">
        <f>ROUND(H72*1.25, 2)</f>
      </c>
      <c r="N72" s="33">
        <f>ROUND(H72*1.55, 2)</f>
      </c>
      <c r="O72" s="33">
        <f>ROUND(H72*1.65, 2)</f>
      </c>
      <c r="P72" s="33">
        <f>SUM(I72:O72)</f>
      </c>
      <c r="Q72" s="33">
        <f>ROUND(H72*1.5, 2)</f>
      </c>
      <c r="R72" s="33">
        <f>ROUND(H72*2.0, 2)</f>
      </c>
      <c r="S72" s="14">
        <f>IF(F72&lt;=R72, "TRIGGER INDENT", "STOCK HEALTHY")</f>
      </c>
      <c r="T72" s="33">
        <f>IF(F72&lt;=R72, ROUND(MAX(H72, (I72+Q72)-F72), 2), 0)</f>
      </c>
    </row>
    <row r="73" ht="20" customHeight="1" spans="1:20" x14ac:dyDescent="0.25">
      <c r="A73" s="12" t="s">
        <v>302</v>
      </c>
      <c r="B73" s="12" t="s">
        <v>303</v>
      </c>
      <c r="C73" s="12" t="s">
        <v>137</v>
      </c>
      <c r="D73" s="12" t="s">
        <v>138</v>
      </c>
      <c r="E73" s="30">
        <v>4</v>
      </c>
      <c r="F73" s="31">
        <v>36743</v>
      </c>
      <c r="G73" s="12" t="s">
        <v>190</v>
      </c>
      <c r="H73" s="31">
        <v>1837.15</v>
      </c>
      <c r="I73" s="31">
        <f>ROUND(H73*1.0, 2)</f>
      </c>
      <c r="J73" s="31">
        <f>ROUND(H73*0.95, 2)</f>
      </c>
      <c r="K73" s="31">
        <f>ROUND(H73*0.95, 2)</f>
      </c>
      <c r="L73" s="31">
        <f>ROUND(H73*1.05, 2)</f>
      </c>
      <c r="M73" s="31">
        <f>ROUND(H73*1.25, 2)</f>
      </c>
      <c r="N73" s="31">
        <f>ROUND(H73*1.55, 2)</f>
      </c>
      <c r="O73" s="31">
        <f>ROUND(H73*1.65, 2)</f>
      </c>
      <c r="P73" s="31">
        <f>SUM(I73:O73)</f>
      </c>
      <c r="Q73" s="31">
        <f>ROUND(H73*1.5, 2)</f>
      </c>
      <c r="R73" s="31">
        <f>ROUND(H73*2.0, 2)</f>
      </c>
      <c r="S73" s="12">
        <f>IF(F73&lt;=R73, "TRIGGER INDENT", "STOCK HEALTHY")</f>
      </c>
      <c r="T73" s="31">
        <f>IF(F73&lt;=R73, ROUND(MAX(H73, (I73+Q73)-F73), 2), 0)</f>
      </c>
    </row>
    <row r="74" ht="20" customHeight="1" spans="1:20" x14ac:dyDescent="0.25">
      <c r="A74" s="14" t="s">
        <v>304</v>
      </c>
      <c r="B74" s="14" t="s">
        <v>305</v>
      </c>
      <c r="C74" s="14" t="s">
        <v>137</v>
      </c>
      <c r="D74" s="14" t="s">
        <v>138</v>
      </c>
      <c r="E74" s="32">
        <v>12.430000305175781</v>
      </c>
      <c r="F74" s="33">
        <v>17577</v>
      </c>
      <c r="G74" s="14" t="s">
        <v>190</v>
      </c>
      <c r="H74" s="33">
        <v>878.85</v>
      </c>
      <c r="I74" s="33">
        <f>ROUND(H74*1.0, 2)</f>
      </c>
      <c r="J74" s="33">
        <f>ROUND(H74*0.95, 2)</f>
      </c>
      <c r="K74" s="33">
        <f>ROUND(H74*0.95, 2)</f>
      </c>
      <c r="L74" s="33">
        <f>ROUND(H74*1.05, 2)</f>
      </c>
      <c r="M74" s="33">
        <f>ROUND(H74*1.25, 2)</f>
      </c>
      <c r="N74" s="33">
        <f>ROUND(H74*1.55, 2)</f>
      </c>
      <c r="O74" s="33">
        <f>ROUND(H74*1.65, 2)</f>
      </c>
      <c r="P74" s="33">
        <f>SUM(I74:O74)</f>
      </c>
      <c r="Q74" s="33">
        <f>ROUND(H74*1.5, 2)</f>
      </c>
      <c r="R74" s="33">
        <f>ROUND(H74*2.0, 2)</f>
      </c>
      <c r="S74" s="14">
        <f>IF(F74&lt;=R74, "TRIGGER INDENT", "STOCK HEALTHY")</f>
      </c>
      <c r="T74" s="33">
        <f>IF(F74&lt;=R74, ROUND(MAX(H74, (I74+Q74)-F74), 2), 0)</f>
      </c>
    </row>
    <row r="75" ht="20" customHeight="1" spans="1:20" x14ac:dyDescent="0.25">
      <c r="A75" s="12" t="s">
        <v>306</v>
      </c>
      <c r="B75" s="12" t="s">
        <v>307</v>
      </c>
      <c r="C75" s="12" t="s">
        <v>264</v>
      </c>
      <c r="D75" s="12" t="s">
        <v>265</v>
      </c>
      <c r="E75" s="30">
        <v>548.260009765625</v>
      </c>
      <c r="F75" s="31">
        <v>13</v>
      </c>
      <c r="G75" s="12" t="s">
        <v>177</v>
      </c>
      <c r="H75" s="31">
        <v>2.6</v>
      </c>
      <c r="I75" s="31">
        <f>ROUND(H75*1.0, 2)</f>
      </c>
      <c r="J75" s="31">
        <f>ROUND(H75*0.95, 2)</f>
      </c>
      <c r="K75" s="31">
        <f>ROUND(H75*0.95, 2)</f>
      </c>
      <c r="L75" s="31">
        <f>ROUND(H75*1.05, 2)</f>
      </c>
      <c r="M75" s="31">
        <f>ROUND(H75*1.25, 2)</f>
      </c>
      <c r="N75" s="31">
        <f>ROUND(H75*1.55, 2)</f>
      </c>
      <c r="O75" s="31">
        <f>ROUND(H75*1.65, 2)</f>
      </c>
      <c r="P75" s="31">
        <f>SUM(I75:O75)</f>
      </c>
      <c r="Q75" s="31">
        <f>ROUND(H75*1.5, 2)</f>
      </c>
      <c r="R75" s="31">
        <f>ROUND(H75*2.0, 2)</f>
      </c>
      <c r="S75" s="12">
        <f>IF(F75&lt;=R75, "TRIGGER INDENT", "STOCK HEALTHY")</f>
      </c>
      <c r="T75" s="31">
        <f>IF(F75&lt;=R75, ROUND(MAX(H75, (I75+Q75)-F75), 2), 0)</f>
      </c>
    </row>
    <row r="76" ht="20" customHeight="1" spans="1:20" x14ac:dyDescent="0.25">
      <c r="A76" s="14" t="s">
        <v>308</v>
      </c>
      <c r="B76" s="14" t="s">
        <v>309</v>
      </c>
      <c r="C76" s="14" t="s">
        <v>147</v>
      </c>
      <c r="D76" s="14" t="s">
        <v>148</v>
      </c>
      <c r="E76" s="32">
        <v>253.75</v>
      </c>
      <c r="F76" s="33">
        <v>3</v>
      </c>
      <c r="G76" s="14" t="s">
        <v>177</v>
      </c>
      <c r="H76" s="33">
        <v>1</v>
      </c>
      <c r="I76" s="33">
        <f>ROUND(H76*1.0, 2)</f>
      </c>
      <c r="J76" s="33">
        <f>ROUND(H76*0.95, 2)</f>
      </c>
      <c r="K76" s="33">
        <f>ROUND(H76*0.95, 2)</f>
      </c>
      <c r="L76" s="33">
        <f>ROUND(H76*1.05, 2)</f>
      </c>
      <c r="M76" s="33">
        <f>ROUND(H76*1.25, 2)</f>
      </c>
      <c r="N76" s="33">
        <f>ROUND(H76*1.55, 2)</f>
      </c>
      <c r="O76" s="33">
        <f>ROUND(H76*1.65, 2)</f>
      </c>
      <c r="P76" s="33">
        <f>SUM(I76:O76)</f>
      </c>
      <c r="Q76" s="33">
        <f>ROUND(H76*1.5, 2)</f>
      </c>
      <c r="R76" s="33">
        <f>ROUND(H76*2.0, 2)</f>
      </c>
      <c r="S76" s="14">
        <f>IF(F76&lt;=R76, "TRIGGER INDENT", "STOCK HEALTHY")</f>
      </c>
      <c r="T76" s="33">
        <f>IF(F76&lt;=R76, ROUND(MAX(H76, (I76+Q76)-F76), 2), 0)</f>
      </c>
    </row>
    <row r="77" ht="20" customHeight="1" spans="1:20" x14ac:dyDescent="0.25">
      <c r="A77" s="12" t="s">
        <v>310</v>
      </c>
      <c r="B77" s="12" t="s">
        <v>311</v>
      </c>
      <c r="C77" s="12" t="s">
        <v>152</v>
      </c>
      <c r="D77" s="12" t="s">
        <v>153</v>
      </c>
      <c r="E77" s="30">
        <v>625</v>
      </c>
      <c r="F77" s="31">
        <v>54.080013</v>
      </c>
      <c r="G77" s="12" t="s">
        <v>154</v>
      </c>
      <c r="H77" s="31">
        <v>6.49</v>
      </c>
      <c r="I77" s="31">
        <f>ROUND(H77*1.0, 2)</f>
      </c>
      <c r="J77" s="31">
        <f>ROUND(H77*0.95, 2)</f>
      </c>
      <c r="K77" s="31">
        <f>ROUND(H77*0.95, 2)</f>
      </c>
      <c r="L77" s="31">
        <f>ROUND(H77*1.05, 2)</f>
      </c>
      <c r="M77" s="31">
        <f>ROUND(H77*1.25, 2)</f>
      </c>
      <c r="N77" s="31">
        <f>ROUND(H77*1.55, 2)</f>
      </c>
      <c r="O77" s="31">
        <f>ROUND(H77*1.65, 2)</f>
      </c>
      <c r="P77" s="31">
        <f>SUM(I77:O77)</f>
      </c>
      <c r="Q77" s="31">
        <f>ROUND(H77*1.5, 2)</f>
      </c>
      <c r="R77" s="31">
        <f>ROUND(H77*2.0, 2)</f>
      </c>
      <c r="S77" s="12">
        <f>IF(F77&lt;=R77, "TRIGGER INDENT", "STOCK HEALTHY")</f>
      </c>
      <c r="T77" s="31">
        <f>IF(F77&lt;=R77, ROUND(MAX(H77, (I77+Q77)-F77), 2), 0)</f>
      </c>
    </row>
    <row r="78" ht="20" customHeight="1" spans="1:20" x14ac:dyDescent="0.25">
      <c r="A78" s="14" t="s">
        <v>312</v>
      </c>
      <c r="B78" s="14" t="s">
        <v>313</v>
      </c>
      <c r="C78" s="14" t="s">
        <v>137</v>
      </c>
      <c r="D78" s="14" t="s">
        <v>138</v>
      </c>
      <c r="E78" s="32">
        <v>130</v>
      </c>
      <c r="F78" s="33">
        <v>144</v>
      </c>
      <c r="G78" s="14" t="s">
        <v>154</v>
      </c>
      <c r="H78" s="33">
        <v>17.28</v>
      </c>
      <c r="I78" s="33">
        <f>ROUND(H78*1.0, 2)</f>
      </c>
      <c r="J78" s="33">
        <f>ROUND(H78*0.95, 2)</f>
      </c>
      <c r="K78" s="33">
        <f>ROUND(H78*0.95, 2)</f>
      </c>
      <c r="L78" s="33">
        <f>ROUND(H78*1.05, 2)</f>
      </c>
      <c r="M78" s="33">
        <f>ROUND(H78*1.25, 2)</f>
      </c>
      <c r="N78" s="33">
        <f>ROUND(H78*1.55, 2)</f>
      </c>
      <c r="O78" s="33">
        <f>ROUND(H78*1.65, 2)</f>
      </c>
      <c r="P78" s="33">
        <f>SUM(I78:O78)</f>
      </c>
      <c r="Q78" s="33">
        <f>ROUND(H78*1.5, 2)</f>
      </c>
      <c r="R78" s="33">
        <f>ROUND(H78*2.0, 2)</f>
      </c>
      <c r="S78" s="14">
        <f>IF(F78&lt;=R78, "TRIGGER INDENT", "STOCK HEALTHY")</f>
      </c>
      <c r="T78" s="33">
        <f>IF(F78&lt;=R78, ROUND(MAX(H78, (I78+Q78)-F78), 2), 0)</f>
      </c>
    </row>
    <row r="79" ht="20" customHeight="1" spans="1:20" x14ac:dyDescent="0.25">
      <c r="A79" s="12" t="s">
        <v>314</v>
      </c>
      <c r="B79" s="12" t="s">
        <v>315</v>
      </c>
      <c r="C79" s="12" t="s">
        <v>137</v>
      </c>
      <c r="D79" s="12" t="s">
        <v>138</v>
      </c>
      <c r="E79" s="30">
        <v>30</v>
      </c>
      <c r="F79" s="31">
        <v>608</v>
      </c>
      <c r="G79" s="12" t="s">
        <v>160</v>
      </c>
      <c r="H79" s="31">
        <v>48.64</v>
      </c>
      <c r="I79" s="31">
        <f>ROUND(H79*1.0, 2)</f>
      </c>
      <c r="J79" s="31">
        <f>ROUND(H79*0.95, 2)</f>
      </c>
      <c r="K79" s="31">
        <f>ROUND(H79*0.95, 2)</f>
      </c>
      <c r="L79" s="31">
        <f>ROUND(H79*1.05, 2)</f>
      </c>
      <c r="M79" s="31">
        <f>ROUND(H79*1.25, 2)</f>
      </c>
      <c r="N79" s="31">
        <f>ROUND(H79*1.55, 2)</f>
      </c>
      <c r="O79" s="31">
        <f>ROUND(H79*1.65, 2)</f>
      </c>
      <c r="P79" s="31">
        <f>SUM(I79:O79)</f>
      </c>
      <c r="Q79" s="31">
        <f>ROUND(H79*1.5, 2)</f>
      </c>
      <c r="R79" s="31">
        <f>ROUND(H79*2.0, 2)</f>
      </c>
      <c r="S79" s="12">
        <f>IF(F79&lt;=R79, "TRIGGER INDENT", "STOCK HEALTHY")</f>
      </c>
      <c r="T79" s="31">
        <f>IF(F79&lt;=R79, ROUND(MAX(H79, (I79+Q79)-F79), 2), 0)</f>
      </c>
    </row>
    <row r="80" ht="20" customHeight="1" spans="1:20" x14ac:dyDescent="0.25">
      <c r="A80" s="14" t="s">
        <v>316</v>
      </c>
      <c r="B80" s="14" t="s">
        <v>317</v>
      </c>
      <c r="C80" s="14" t="s">
        <v>189</v>
      </c>
      <c r="D80" s="14" t="s">
        <v>153</v>
      </c>
      <c r="E80" s="32">
        <v>40</v>
      </c>
      <c r="F80" s="33">
        <v>2896</v>
      </c>
      <c r="G80" s="14" t="s">
        <v>142</v>
      </c>
      <c r="H80" s="33">
        <v>144.8</v>
      </c>
      <c r="I80" s="33">
        <f>ROUND(H80*1.0, 2)</f>
      </c>
      <c r="J80" s="33">
        <f>ROUND(H80*0.95, 2)</f>
      </c>
      <c r="K80" s="33">
        <f>ROUND(H80*0.95, 2)</f>
      </c>
      <c r="L80" s="33">
        <f>ROUND(H80*1.05, 2)</f>
      </c>
      <c r="M80" s="33">
        <f>ROUND(H80*1.25, 2)</f>
      </c>
      <c r="N80" s="33">
        <f>ROUND(H80*1.55, 2)</f>
      </c>
      <c r="O80" s="33">
        <f>ROUND(H80*1.65, 2)</f>
      </c>
      <c r="P80" s="33">
        <f>SUM(I80:O80)</f>
      </c>
      <c r="Q80" s="33">
        <f>ROUND(H80*1.5, 2)</f>
      </c>
      <c r="R80" s="33">
        <f>ROUND(H80*2.0, 2)</f>
      </c>
      <c r="S80" s="14">
        <f>IF(F80&lt;=R80, "TRIGGER INDENT", "STOCK HEALTHY")</f>
      </c>
      <c r="T80" s="33">
        <f>IF(F80&lt;=R80, ROUND(MAX(H80, (I80+Q80)-F80), 2), 0)</f>
      </c>
    </row>
    <row r="81" ht="20" customHeight="1" spans="1:20" x14ac:dyDescent="0.25">
      <c r="A81" s="12" t="s">
        <v>318</v>
      </c>
      <c r="B81" s="12" t="s">
        <v>319</v>
      </c>
      <c r="C81" s="12" t="s">
        <v>170</v>
      </c>
      <c r="D81" s="12" t="s">
        <v>138</v>
      </c>
      <c r="E81" s="30">
        <v>34.380001068115234</v>
      </c>
      <c r="F81" s="31">
        <v>1072</v>
      </c>
      <c r="G81" s="12" t="s">
        <v>139</v>
      </c>
      <c r="H81" s="31">
        <v>53.6</v>
      </c>
      <c r="I81" s="31">
        <f>ROUND(H81*1.0, 2)</f>
      </c>
      <c r="J81" s="31">
        <f>ROUND(H81*0.95, 2)</f>
      </c>
      <c r="K81" s="31">
        <f>ROUND(H81*0.95, 2)</f>
      </c>
      <c r="L81" s="31">
        <f>ROUND(H81*1.05, 2)</f>
      </c>
      <c r="M81" s="31">
        <f>ROUND(H81*1.25, 2)</f>
      </c>
      <c r="N81" s="31">
        <f>ROUND(H81*1.55, 2)</f>
      </c>
      <c r="O81" s="31">
        <f>ROUND(H81*1.65, 2)</f>
      </c>
      <c r="P81" s="31">
        <f>SUM(I81:O81)</f>
      </c>
      <c r="Q81" s="31">
        <f>ROUND(H81*1.5, 2)</f>
      </c>
      <c r="R81" s="31">
        <f>ROUND(H81*2.0, 2)</f>
      </c>
      <c r="S81" s="12">
        <f>IF(F81&lt;=R81, "TRIGGER INDENT", "STOCK HEALTHY")</f>
      </c>
      <c r="T81" s="31">
        <f>IF(F81&lt;=R81, ROUND(MAX(H81, (I81+Q81)-F81), 2), 0)</f>
      </c>
    </row>
    <row r="82" ht="20" customHeight="1" spans="1:20" x14ac:dyDescent="0.25">
      <c r="A82" s="14" t="s">
        <v>320</v>
      </c>
      <c r="B82" s="14" t="s">
        <v>321</v>
      </c>
      <c r="C82" s="14" t="s">
        <v>137</v>
      </c>
      <c r="D82" s="14" t="s">
        <v>138</v>
      </c>
      <c r="E82" s="32">
        <v>45.709999084472656</v>
      </c>
      <c r="F82" s="33">
        <v>208</v>
      </c>
      <c r="G82" s="14" t="s">
        <v>154</v>
      </c>
      <c r="H82" s="33">
        <v>16.64</v>
      </c>
      <c r="I82" s="33">
        <f>ROUND(H82*1.0, 2)</f>
      </c>
      <c r="J82" s="33">
        <f>ROUND(H82*0.95, 2)</f>
      </c>
      <c r="K82" s="33">
        <f>ROUND(H82*0.95, 2)</f>
      </c>
      <c r="L82" s="33">
        <f>ROUND(H82*1.05, 2)</f>
      </c>
      <c r="M82" s="33">
        <f>ROUND(H82*1.25, 2)</f>
      </c>
      <c r="N82" s="33">
        <f>ROUND(H82*1.55, 2)</f>
      </c>
      <c r="O82" s="33">
        <f>ROUND(H82*1.65, 2)</f>
      </c>
      <c r="P82" s="33">
        <f>SUM(I82:O82)</f>
      </c>
      <c r="Q82" s="33">
        <f>ROUND(H82*1.5, 2)</f>
      </c>
      <c r="R82" s="33">
        <f>ROUND(H82*2.0, 2)</f>
      </c>
      <c r="S82" s="14">
        <f>IF(F82&lt;=R82, "TRIGGER INDENT", "STOCK HEALTHY")</f>
      </c>
      <c r="T82" s="33">
        <f>IF(F82&lt;=R82, ROUND(MAX(H82, (I82+Q82)-F82), 2), 0)</f>
      </c>
    </row>
    <row r="83" ht="20" customHeight="1" spans="1:20" x14ac:dyDescent="0.25">
      <c r="A83" s="12" t="s">
        <v>322</v>
      </c>
      <c r="B83" s="12" t="s">
        <v>323</v>
      </c>
      <c r="C83" s="12" t="s">
        <v>324</v>
      </c>
      <c r="D83" s="12" t="s">
        <v>325</v>
      </c>
      <c r="E83" s="30">
        <v>840</v>
      </c>
      <c r="F83" s="31">
        <v>16</v>
      </c>
      <c r="G83" s="12" t="s">
        <v>149</v>
      </c>
      <c r="H83" s="31">
        <v>3.2</v>
      </c>
      <c r="I83" s="31">
        <f>ROUND(H83*1.0, 2)</f>
      </c>
      <c r="J83" s="31">
        <f>ROUND(H83*0.95, 2)</f>
      </c>
      <c r="K83" s="31">
        <f>ROUND(H83*0.95, 2)</f>
      </c>
      <c r="L83" s="31">
        <f>ROUND(H83*1.05, 2)</f>
      </c>
      <c r="M83" s="31">
        <f>ROUND(H83*1.25, 2)</f>
      </c>
      <c r="N83" s="31">
        <f>ROUND(H83*1.55, 2)</f>
      </c>
      <c r="O83" s="31">
        <f>ROUND(H83*1.65, 2)</f>
      </c>
      <c r="P83" s="31">
        <f>SUM(I83:O83)</f>
      </c>
      <c r="Q83" s="31">
        <f>ROUND(H83*1.5, 2)</f>
      </c>
      <c r="R83" s="31">
        <f>ROUND(H83*2.0, 2)</f>
      </c>
      <c r="S83" s="12">
        <f>IF(F83&lt;=R83, "TRIGGER INDENT", "STOCK HEALTHY")</f>
      </c>
      <c r="T83" s="31">
        <f>IF(F83&lt;=R83, ROUND(MAX(H83, (I83+Q83)-F83), 2), 0)</f>
      </c>
    </row>
    <row r="84" ht="20" customHeight="1" spans="1:20" x14ac:dyDescent="0.25">
      <c r="A84" s="14" t="s">
        <v>326</v>
      </c>
      <c r="B84" s="14" t="s">
        <v>327</v>
      </c>
      <c r="C84" s="14" t="s">
        <v>170</v>
      </c>
      <c r="D84" s="14" t="s">
        <v>153</v>
      </c>
      <c r="E84" s="32">
        <v>388.42999267578125</v>
      </c>
      <c r="F84" s="33">
        <v>80</v>
      </c>
      <c r="G84" s="14" t="s">
        <v>139</v>
      </c>
      <c r="H84" s="33">
        <v>9.6</v>
      </c>
      <c r="I84" s="33">
        <f>ROUND(H84*1.0, 2)</f>
      </c>
      <c r="J84" s="33">
        <f>ROUND(H84*0.95, 2)</f>
      </c>
      <c r="K84" s="33">
        <f>ROUND(H84*0.95, 2)</f>
      </c>
      <c r="L84" s="33">
        <f>ROUND(H84*1.05, 2)</f>
      </c>
      <c r="M84" s="33">
        <f>ROUND(H84*1.25, 2)</f>
      </c>
      <c r="N84" s="33">
        <f>ROUND(H84*1.55, 2)</f>
      </c>
      <c r="O84" s="33">
        <f>ROUND(H84*1.65, 2)</f>
      </c>
      <c r="P84" s="33">
        <f>SUM(I84:O84)</f>
      </c>
      <c r="Q84" s="33">
        <f>ROUND(H84*1.5, 2)</f>
      </c>
      <c r="R84" s="33">
        <f>ROUND(H84*2.0, 2)</f>
      </c>
      <c r="S84" s="14">
        <f>IF(F84&lt;=R84, "TRIGGER INDENT", "STOCK HEALTHY")</f>
      </c>
      <c r="T84" s="33">
        <f>IF(F84&lt;=R84, ROUND(MAX(H84, (I84+Q84)-F84), 2), 0)</f>
      </c>
    </row>
    <row r="85" ht="20" customHeight="1" spans="1:20" x14ac:dyDescent="0.25">
      <c r="A85" s="12" t="s">
        <v>328</v>
      </c>
      <c r="B85" s="12" t="s">
        <v>329</v>
      </c>
      <c r="C85" s="12" t="s">
        <v>170</v>
      </c>
      <c r="D85" s="12" t="s">
        <v>198</v>
      </c>
      <c r="E85" s="30">
        <v>145.60000610351562</v>
      </c>
      <c r="F85" s="31">
        <v>80</v>
      </c>
      <c r="G85" s="12" t="s">
        <v>177</v>
      </c>
      <c r="H85" s="31">
        <v>9.6</v>
      </c>
      <c r="I85" s="31">
        <f>ROUND(H85*1.0, 2)</f>
      </c>
      <c r="J85" s="31">
        <f>ROUND(H85*0.95, 2)</f>
      </c>
      <c r="K85" s="31">
        <f>ROUND(H85*0.95, 2)</f>
      </c>
      <c r="L85" s="31">
        <f>ROUND(H85*1.05, 2)</f>
      </c>
      <c r="M85" s="31">
        <f>ROUND(H85*1.25, 2)</f>
      </c>
      <c r="N85" s="31">
        <f>ROUND(H85*1.55, 2)</f>
      </c>
      <c r="O85" s="31">
        <f>ROUND(H85*1.65, 2)</f>
      </c>
      <c r="P85" s="31">
        <f>SUM(I85:O85)</f>
      </c>
      <c r="Q85" s="31">
        <f>ROUND(H85*1.5, 2)</f>
      </c>
      <c r="R85" s="31">
        <f>ROUND(H85*2.0, 2)</f>
      </c>
      <c r="S85" s="12">
        <f>IF(F85&lt;=R85, "TRIGGER INDENT", "STOCK HEALTHY")</f>
      </c>
      <c r="T85" s="31">
        <f>IF(F85&lt;=R85, ROUND(MAX(H85, (I85+Q85)-F85), 2), 0)</f>
      </c>
    </row>
    <row r="86" ht="20" customHeight="1" spans="1:20" x14ac:dyDescent="0.25">
      <c r="A86" s="14" t="s">
        <v>330</v>
      </c>
      <c r="B86" s="14" t="s">
        <v>331</v>
      </c>
      <c r="C86" s="14" t="s">
        <v>170</v>
      </c>
      <c r="D86" s="14" t="s">
        <v>153</v>
      </c>
      <c r="E86" s="32">
        <v>817.4299926757812</v>
      </c>
      <c r="F86" s="33">
        <v>73.59999</v>
      </c>
      <c r="G86" s="14" t="s">
        <v>139</v>
      </c>
      <c r="H86" s="33">
        <v>8.83</v>
      </c>
      <c r="I86" s="33">
        <f>ROUND(H86*1.0, 2)</f>
      </c>
      <c r="J86" s="33">
        <f>ROUND(H86*0.95, 2)</f>
      </c>
      <c r="K86" s="33">
        <f>ROUND(H86*0.95, 2)</f>
      </c>
      <c r="L86" s="33">
        <f>ROUND(H86*1.05, 2)</f>
      </c>
      <c r="M86" s="33">
        <f>ROUND(H86*1.25, 2)</f>
      </c>
      <c r="N86" s="33">
        <f>ROUND(H86*1.55, 2)</f>
      </c>
      <c r="O86" s="33">
        <f>ROUND(H86*1.65, 2)</f>
      </c>
      <c r="P86" s="33">
        <f>SUM(I86:O86)</f>
      </c>
      <c r="Q86" s="33">
        <f>ROUND(H86*1.5, 2)</f>
      </c>
      <c r="R86" s="33">
        <f>ROUND(H86*2.0, 2)</f>
      </c>
      <c r="S86" s="14">
        <f>IF(F86&lt;=R86, "TRIGGER INDENT", "STOCK HEALTHY")</f>
      </c>
      <c r="T86" s="33">
        <f>IF(F86&lt;=R86, ROUND(MAX(H86, (I86+Q86)-F86), 2), 0)</f>
      </c>
    </row>
    <row r="87" ht="20" customHeight="1" spans="1:20" x14ac:dyDescent="0.25">
      <c r="A87" s="12" t="s">
        <v>332</v>
      </c>
      <c r="B87" s="12" t="s">
        <v>333</v>
      </c>
      <c r="C87" s="12" t="s">
        <v>334</v>
      </c>
      <c r="D87" s="12" t="s">
        <v>148</v>
      </c>
      <c r="E87" s="30">
        <v>18.899999618530273</v>
      </c>
      <c r="F87" s="31">
        <v>6384</v>
      </c>
      <c r="G87" s="12" t="s">
        <v>149</v>
      </c>
      <c r="H87" s="31">
        <v>319.2</v>
      </c>
      <c r="I87" s="31">
        <f>ROUND(H87*1.0, 2)</f>
      </c>
      <c r="J87" s="31">
        <f>ROUND(H87*0.95, 2)</f>
      </c>
      <c r="K87" s="31">
        <f>ROUND(H87*0.95, 2)</f>
      </c>
      <c r="L87" s="31">
        <f>ROUND(H87*1.05, 2)</f>
      </c>
      <c r="M87" s="31">
        <f>ROUND(H87*1.25, 2)</f>
      </c>
      <c r="N87" s="31">
        <f>ROUND(H87*1.55, 2)</f>
      </c>
      <c r="O87" s="31">
        <f>ROUND(H87*1.65, 2)</f>
      </c>
      <c r="P87" s="31">
        <f>SUM(I87:O87)</f>
      </c>
      <c r="Q87" s="31">
        <f>ROUND(H87*1.5, 2)</f>
      </c>
      <c r="R87" s="31">
        <f>ROUND(H87*2.0, 2)</f>
      </c>
      <c r="S87" s="12">
        <f>IF(F87&lt;=R87, "TRIGGER INDENT", "STOCK HEALTHY")</f>
      </c>
      <c r="T87" s="31">
        <f>IF(F87&lt;=R87, ROUND(MAX(H87, (I87+Q87)-F87), 2), 0)</f>
      </c>
    </row>
    <row r="88" ht="20" customHeight="1" spans="1:20" x14ac:dyDescent="0.25">
      <c r="A88" s="14" t="s">
        <v>335</v>
      </c>
      <c r="B88" s="14" t="s">
        <v>336</v>
      </c>
      <c r="C88" s="14" t="s">
        <v>137</v>
      </c>
      <c r="D88" s="14" t="s">
        <v>138</v>
      </c>
      <c r="E88" s="32">
        <v>0.009999999776482582</v>
      </c>
      <c r="F88" s="33">
        <v>25584</v>
      </c>
      <c r="G88" s="14" t="s">
        <v>154</v>
      </c>
      <c r="H88" s="33">
        <v>1279.2</v>
      </c>
      <c r="I88" s="33">
        <f>ROUND(H88*1.0, 2)</f>
      </c>
      <c r="J88" s="33">
        <f>ROUND(H88*0.95, 2)</f>
      </c>
      <c r="K88" s="33">
        <f>ROUND(H88*0.95, 2)</f>
      </c>
      <c r="L88" s="33">
        <f>ROUND(H88*1.05, 2)</f>
      </c>
      <c r="M88" s="33">
        <f>ROUND(H88*1.25, 2)</f>
      </c>
      <c r="N88" s="33">
        <f>ROUND(H88*1.55, 2)</f>
      </c>
      <c r="O88" s="33">
        <f>ROUND(H88*1.65, 2)</f>
      </c>
      <c r="P88" s="33">
        <f>SUM(I88:O88)</f>
      </c>
      <c r="Q88" s="33">
        <f>ROUND(H88*1.5, 2)</f>
      </c>
      <c r="R88" s="33">
        <f>ROUND(H88*2.0, 2)</f>
      </c>
      <c r="S88" s="14">
        <f>IF(F88&lt;=R88, "TRIGGER INDENT", "STOCK HEALTHY")</f>
      </c>
      <c r="T88" s="33">
        <f>IF(F88&lt;=R88, ROUND(MAX(H88, (I88+Q88)-F88), 2), 0)</f>
      </c>
    </row>
    <row r="89" ht="20" customHeight="1" spans="1:20" x14ac:dyDescent="0.25">
      <c r="A89" s="12" t="s">
        <v>337</v>
      </c>
      <c r="B89" s="12" t="s">
        <v>338</v>
      </c>
      <c r="C89" s="12" t="s">
        <v>137</v>
      </c>
      <c r="D89" s="12" t="s">
        <v>153</v>
      </c>
      <c r="E89" s="30">
        <v>280.2099914550781</v>
      </c>
      <c r="F89" s="31">
        <v>1.5100002</v>
      </c>
      <c r="G89" s="12" t="s">
        <v>139</v>
      </c>
      <c r="H89" s="31">
        <v>1</v>
      </c>
      <c r="I89" s="31">
        <f>ROUND(H89*1.0, 2)</f>
      </c>
      <c r="J89" s="31">
        <f>ROUND(H89*0.95, 2)</f>
      </c>
      <c r="K89" s="31">
        <f>ROUND(H89*0.95, 2)</f>
      </c>
      <c r="L89" s="31">
        <f>ROUND(H89*1.05, 2)</f>
      </c>
      <c r="M89" s="31">
        <f>ROUND(H89*1.25, 2)</f>
      </c>
      <c r="N89" s="31">
        <f>ROUND(H89*1.55, 2)</f>
      </c>
      <c r="O89" s="31">
        <f>ROUND(H89*1.65, 2)</f>
      </c>
      <c r="P89" s="31">
        <f>SUM(I89:O89)</f>
      </c>
      <c r="Q89" s="31">
        <f>ROUND(H89*1.5, 2)</f>
      </c>
      <c r="R89" s="31">
        <f>ROUND(H89*2.0, 2)</f>
      </c>
      <c r="S89" s="12">
        <f>IF(F89&lt;=R89, "TRIGGER INDENT", "STOCK HEALTHY")</f>
      </c>
      <c r="T89" s="31">
        <f>IF(F89&lt;=R89, ROUND(MAX(H89, (I89+Q89)-F89), 2), 0)</f>
      </c>
    </row>
    <row r="90" ht="20" customHeight="1" spans="1:20" x14ac:dyDescent="0.25">
      <c r="A90" s="14" t="s">
        <v>339</v>
      </c>
      <c r="B90" s="14" t="s">
        <v>340</v>
      </c>
      <c r="C90" s="14" t="s">
        <v>137</v>
      </c>
      <c r="D90" s="14" t="s">
        <v>153</v>
      </c>
      <c r="E90" s="32">
        <v>932.260009765625</v>
      </c>
      <c r="F90" s="33">
        <v>384</v>
      </c>
      <c r="G90" s="14" t="s">
        <v>139</v>
      </c>
      <c r="H90" s="33">
        <v>30.72</v>
      </c>
      <c r="I90" s="33">
        <f>ROUND(H90*1.0, 2)</f>
      </c>
      <c r="J90" s="33">
        <f>ROUND(H90*0.95, 2)</f>
      </c>
      <c r="K90" s="33">
        <f>ROUND(H90*0.95, 2)</f>
      </c>
      <c r="L90" s="33">
        <f>ROUND(H90*1.05, 2)</f>
      </c>
      <c r="M90" s="33">
        <f>ROUND(H90*1.25, 2)</f>
      </c>
      <c r="N90" s="33">
        <f>ROUND(H90*1.55, 2)</f>
      </c>
      <c r="O90" s="33">
        <f>ROUND(H90*1.65, 2)</f>
      </c>
      <c r="P90" s="33">
        <f>SUM(I90:O90)</f>
      </c>
      <c r="Q90" s="33">
        <f>ROUND(H90*1.5, 2)</f>
      </c>
      <c r="R90" s="33">
        <f>ROUND(H90*2.0, 2)</f>
      </c>
      <c r="S90" s="14">
        <f>IF(F90&lt;=R90, "TRIGGER INDENT", "STOCK HEALTHY")</f>
      </c>
      <c r="T90" s="33">
        <f>IF(F90&lt;=R90, ROUND(MAX(H90, (I90+Q90)-F90), 2), 0)</f>
      </c>
    </row>
    <row r="91" ht="20" customHeight="1" spans="1:20" x14ac:dyDescent="0.25">
      <c r="A91" s="12" t="s">
        <v>341</v>
      </c>
      <c r="B91" s="12" t="s">
        <v>342</v>
      </c>
      <c r="C91" s="12" t="s">
        <v>170</v>
      </c>
      <c r="D91" s="12" t="s">
        <v>153</v>
      </c>
      <c r="E91" s="30">
        <v>353.25</v>
      </c>
      <c r="F91" s="31">
        <v>16</v>
      </c>
      <c r="G91" s="12" t="s">
        <v>186</v>
      </c>
      <c r="H91" s="31">
        <v>3.2</v>
      </c>
      <c r="I91" s="31">
        <f>ROUND(H91*1.0, 2)</f>
      </c>
      <c r="J91" s="31">
        <f>ROUND(H91*0.95, 2)</f>
      </c>
      <c r="K91" s="31">
        <f>ROUND(H91*0.95, 2)</f>
      </c>
      <c r="L91" s="31">
        <f>ROUND(H91*1.05, 2)</f>
      </c>
      <c r="M91" s="31">
        <f>ROUND(H91*1.25, 2)</f>
      </c>
      <c r="N91" s="31">
        <f>ROUND(H91*1.55, 2)</f>
      </c>
      <c r="O91" s="31">
        <f>ROUND(H91*1.65, 2)</f>
      </c>
      <c r="P91" s="31">
        <f>SUM(I91:O91)</f>
      </c>
      <c r="Q91" s="31">
        <f>ROUND(H91*1.5, 2)</f>
      </c>
      <c r="R91" s="31">
        <f>ROUND(H91*2.0, 2)</f>
      </c>
      <c r="S91" s="12">
        <f>IF(F91&lt;=R91, "TRIGGER INDENT", "STOCK HEALTHY")</f>
      </c>
      <c r="T91" s="31">
        <f>IF(F91&lt;=R91, ROUND(MAX(H91, (I91+Q91)-F91), 2), 0)</f>
      </c>
    </row>
    <row r="92" ht="20" customHeight="1" spans="1:20" x14ac:dyDescent="0.25">
      <c r="A92" s="14" t="s">
        <v>343</v>
      </c>
      <c r="B92" s="14" t="s">
        <v>344</v>
      </c>
      <c r="C92" s="14" t="s">
        <v>167</v>
      </c>
      <c r="D92" s="14" t="s">
        <v>153</v>
      </c>
      <c r="E92" s="32">
        <v>29.8700008392334</v>
      </c>
      <c r="F92" s="33">
        <v>320</v>
      </c>
      <c r="G92" s="14" t="s">
        <v>190</v>
      </c>
      <c r="H92" s="33">
        <v>25.6</v>
      </c>
      <c r="I92" s="33">
        <f>ROUND(H92*1.0, 2)</f>
      </c>
      <c r="J92" s="33">
        <f>ROUND(H92*0.95, 2)</f>
      </c>
      <c r="K92" s="33">
        <f>ROUND(H92*0.95, 2)</f>
      </c>
      <c r="L92" s="33">
        <f>ROUND(H92*1.05, 2)</f>
      </c>
      <c r="M92" s="33">
        <f>ROUND(H92*1.25, 2)</f>
      </c>
      <c r="N92" s="33">
        <f>ROUND(H92*1.55, 2)</f>
      </c>
      <c r="O92" s="33">
        <f>ROUND(H92*1.65, 2)</f>
      </c>
      <c r="P92" s="33">
        <f>SUM(I92:O92)</f>
      </c>
      <c r="Q92" s="33">
        <f>ROUND(H92*1.5, 2)</f>
      </c>
      <c r="R92" s="33">
        <f>ROUND(H92*2.0, 2)</f>
      </c>
      <c r="S92" s="14">
        <f>IF(F92&lt;=R92, "TRIGGER INDENT", "STOCK HEALTHY")</f>
      </c>
      <c r="T92" s="33">
        <f>IF(F92&lt;=R92, ROUND(MAX(H92, (I92+Q92)-F92), 2), 0)</f>
      </c>
    </row>
    <row r="93" ht="20" customHeight="1" spans="1:20" x14ac:dyDescent="0.25">
      <c r="A93" s="12" t="s">
        <v>345</v>
      </c>
      <c r="B93" s="12" t="s">
        <v>346</v>
      </c>
      <c r="C93" s="12" t="s">
        <v>257</v>
      </c>
      <c r="D93" s="12" t="s">
        <v>138</v>
      </c>
      <c r="E93" s="30">
        <v>167.22000122070312</v>
      </c>
      <c r="F93" s="31">
        <v>304</v>
      </c>
      <c r="G93" s="12" t="s">
        <v>142</v>
      </c>
      <c r="H93" s="31">
        <v>24.32</v>
      </c>
      <c r="I93" s="31">
        <f>ROUND(H93*1.0, 2)</f>
      </c>
      <c r="J93" s="31">
        <f>ROUND(H93*0.95, 2)</f>
      </c>
      <c r="K93" s="31">
        <f>ROUND(H93*0.95, 2)</f>
      </c>
      <c r="L93" s="31">
        <f>ROUND(H93*1.05, 2)</f>
      </c>
      <c r="M93" s="31">
        <f>ROUND(H93*1.25, 2)</f>
      </c>
      <c r="N93" s="31">
        <f>ROUND(H93*1.55, 2)</f>
      </c>
      <c r="O93" s="31">
        <f>ROUND(H93*1.65, 2)</f>
      </c>
      <c r="P93" s="31">
        <f>SUM(I93:O93)</f>
      </c>
      <c r="Q93" s="31">
        <f>ROUND(H93*1.5, 2)</f>
      </c>
      <c r="R93" s="31">
        <f>ROUND(H93*2.0, 2)</f>
      </c>
      <c r="S93" s="12">
        <f>IF(F93&lt;=R93, "TRIGGER INDENT", "STOCK HEALTHY")</f>
      </c>
      <c r="T93" s="31">
        <f>IF(F93&lt;=R93, ROUND(MAX(H93, (I93+Q93)-F93), 2), 0)</f>
      </c>
    </row>
    <row r="94" ht="20" customHeight="1" spans="1:20" x14ac:dyDescent="0.25">
      <c r="A94" s="14" t="s">
        <v>347</v>
      </c>
      <c r="B94" s="14" t="s">
        <v>348</v>
      </c>
      <c r="C94" s="14" t="s">
        <v>257</v>
      </c>
      <c r="D94" s="14" t="s">
        <v>153</v>
      </c>
      <c r="E94" s="32">
        <v>65.5</v>
      </c>
      <c r="F94" s="33">
        <v>656</v>
      </c>
      <c r="G94" s="14" t="s">
        <v>190</v>
      </c>
      <c r="H94" s="33">
        <v>52.48</v>
      </c>
      <c r="I94" s="33">
        <f>ROUND(H94*1.0, 2)</f>
      </c>
      <c r="J94" s="33">
        <f>ROUND(H94*0.95, 2)</f>
      </c>
      <c r="K94" s="33">
        <f>ROUND(H94*0.95, 2)</f>
      </c>
      <c r="L94" s="33">
        <f>ROUND(H94*1.05, 2)</f>
      </c>
      <c r="M94" s="33">
        <f>ROUND(H94*1.25, 2)</f>
      </c>
      <c r="N94" s="33">
        <f>ROUND(H94*1.55, 2)</f>
      </c>
      <c r="O94" s="33">
        <f>ROUND(H94*1.65, 2)</f>
      </c>
      <c r="P94" s="33">
        <f>SUM(I94:O94)</f>
      </c>
      <c r="Q94" s="33">
        <f>ROUND(H94*1.5, 2)</f>
      </c>
      <c r="R94" s="33">
        <f>ROUND(H94*2.0, 2)</f>
      </c>
      <c r="S94" s="14">
        <f>IF(F94&lt;=R94, "TRIGGER INDENT", "STOCK HEALTHY")</f>
      </c>
      <c r="T94" s="33">
        <f>IF(F94&lt;=R94, ROUND(MAX(H94, (I94+Q94)-F94), 2), 0)</f>
      </c>
    </row>
    <row r="95" ht="20" customHeight="1" spans="1:20" x14ac:dyDescent="0.25">
      <c r="A95" s="12" t="s">
        <v>349</v>
      </c>
      <c r="B95" s="12" t="s">
        <v>350</v>
      </c>
      <c r="C95" s="12" t="s">
        <v>257</v>
      </c>
      <c r="D95" s="12" t="s">
        <v>138</v>
      </c>
      <c r="E95" s="30">
        <v>9.369999885559082</v>
      </c>
      <c r="F95" s="31">
        <v>5760</v>
      </c>
      <c r="G95" s="12" t="s">
        <v>149</v>
      </c>
      <c r="H95" s="31">
        <v>288</v>
      </c>
      <c r="I95" s="31">
        <f>ROUND(H95*1.0, 2)</f>
      </c>
      <c r="J95" s="31">
        <f>ROUND(H95*0.95, 2)</f>
      </c>
      <c r="K95" s="31">
        <f>ROUND(H95*0.95, 2)</f>
      </c>
      <c r="L95" s="31">
        <f>ROUND(H95*1.05, 2)</f>
      </c>
      <c r="M95" s="31">
        <f>ROUND(H95*1.25, 2)</f>
      </c>
      <c r="N95" s="31">
        <f>ROUND(H95*1.55, 2)</f>
      </c>
      <c r="O95" s="31">
        <f>ROUND(H95*1.65, 2)</f>
      </c>
      <c r="P95" s="31">
        <f>SUM(I95:O95)</f>
      </c>
      <c r="Q95" s="31">
        <f>ROUND(H95*1.5, 2)</f>
      </c>
      <c r="R95" s="31">
        <f>ROUND(H95*2.0, 2)</f>
      </c>
      <c r="S95" s="12">
        <f>IF(F95&lt;=R95, "TRIGGER INDENT", "STOCK HEALTHY")</f>
      </c>
      <c r="T95" s="31">
        <f>IF(F95&lt;=R95, ROUND(MAX(H95, (I95+Q95)-F95), 2), 0)</f>
      </c>
    </row>
    <row r="96" ht="20" customHeight="1" spans="1:20" x14ac:dyDescent="0.25">
      <c r="A96" s="14" t="s">
        <v>351</v>
      </c>
      <c r="B96" s="14" t="s">
        <v>352</v>
      </c>
      <c r="C96" s="14" t="s">
        <v>170</v>
      </c>
      <c r="D96" s="14" t="s">
        <v>153</v>
      </c>
      <c r="E96" s="32">
        <v>122.86000061035156</v>
      </c>
      <c r="F96" s="33">
        <v>16</v>
      </c>
      <c r="G96" s="14" t="s">
        <v>190</v>
      </c>
      <c r="H96" s="33">
        <v>3.2</v>
      </c>
      <c r="I96" s="33">
        <f>ROUND(H96*1.0, 2)</f>
      </c>
      <c r="J96" s="33">
        <f>ROUND(H96*0.95, 2)</f>
      </c>
      <c r="K96" s="33">
        <f>ROUND(H96*0.95, 2)</f>
      </c>
      <c r="L96" s="33">
        <f>ROUND(H96*1.05, 2)</f>
      </c>
      <c r="M96" s="33">
        <f>ROUND(H96*1.25, 2)</f>
      </c>
      <c r="N96" s="33">
        <f>ROUND(H96*1.55, 2)</f>
      </c>
      <c r="O96" s="33">
        <f>ROUND(H96*1.65, 2)</f>
      </c>
      <c r="P96" s="33">
        <f>SUM(I96:O96)</f>
      </c>
      <c r="Q96" s="33">
        <f>ROUND(H96*1.5, 2)</f>
      </c>
      <c r="R96" s="33">
        <f>ROUND(H96*2.0, 2)</f>
      </c>
      <c r="S96" s="14">
        <f>IF(F96&lt;=R96, "TRIGGER INDENT", "STOCK HEALTHY")</f>
      </c>
      <c r="T96" s="33">
        <f>IF(F96&lt;=R96, ROUND(MAX(H96, (I96+Q96)-F96), 2), 0)</f>
      </c>
    </row>
    <row r="97" ht="20" customHeight="1" spans="1:20" x14ac:dyDescent="0.25">
      <c r="A97" s="12" t="s">
        <v>353</v>
      </c>
      <c r="B97" s="12" t="s">
        <v>354</v>
      </c>
      <c r="C97" s="12" t="s">
        <v>170</v>
      </c>
      <c r="D97" s="12" t="s">
        <v>153</v>
      </c>
      <c r="E97" s="30">
        <v>152.86000061035156</v>
      </c>
      <c r="F97" s="31">
        <v>1.5100002</v>
      </c>
      <c r="G97" s="12" t="s">
        <v>154</v>
      </c>
      <c r="H97" s="31">
        <v>1</v>
      </c>
      <c r="I97" s="31">
        <f>ROUND(H97*1.0, 2)</f>
      </c>
      <c r="J97" s="31">
        <f>ROUND(H97*0.95, 2)</f>
      </c>
      <c r="K97" s="31">
        <f>ROUND(H97*0.95, 2)</f>
      </c>
      <c r="L97" s="31">
        <f>ROUND(H97*1.05, 2)</f>
      </c>
      <c r="M97" s="31">
        <f>ROUND(H97*1.25, 2)</f>
      </c>
      <c r="N97" s="31">
        <f>ROUND(H97*1.55, 2)</f>
      </c>
      <c r="O97" s="31">
        <f>ROUND(H97*1.65, 2)</f>
      </c>
      <c r="P97" s="31">
        <f>SUM(I97:O97)</f>
      </c>
      <c r="Q97" s="31">
        <f>ROUND(H97*1.5, 2)</f>
      </c>
      <c r="R97" s="31">
        <f>ROUND(H97*2.0, 2)</f>
      </c>
      <c r="S97" s="12">
        <f>IF(F97&lt;=R97, "TRIGGER INDENT", "STOCK HEALTHY")</f>
      </c>
      <c r="T97" s="31">
        <f>IF(F97&lt;=R97, ROUND(MAX(H97, (I97+Q97)-F97), 2), 0)</f>
      </c>
    </row>
    <row r="98" ht="20" customHeight="1" spans="1:20" x14ac:dyDescent="0.25">
      <c r="A98" s="14" t="s">
        <v>355</v>
      </c>
      <c r="B98" s="14" t="s">
        <v>356</v>
      </c>
      <c r="C98" s="14" t="s">
        <v>152</v>
      </c>
      <c r="D98" s="14" t="s">
        <v>153</v>
      </c>
      <c r="E98" s="32">
        <v>304.6700134277344</v>
      </c>
      <c r="F98" s="33">
        <v>40</v>
      </c>
      <c r="G98" s="14" t="s">
        <v>142</v>
      </c>
      <c r="H98" s="33">
        <v>8</v>
      </c>
      <c r="I98" s="33">
        <f>ROUND(H98*1.0, 2)</f>
      </c>
      <c r="J98" s="33">
        <f>ROUND(H98*0.95, 2)</f>
      </c>
      <c r="K98" s="33">
        <f>ROUND(H98*0.95, 2)</f>
      </c>
      <c r="L98" s="33">
        <f>ROUND(H98*1.05, 2)</f>
      </c>
      <c r="M98" s="33">
        <f>ROUND(H98*1.25, 2)</f>
      </c>
      <c r="N98" s="33">
        <f>ROUND(H98*1.55, 2)</f>
      </c>
      <c r="O98" s="33">
        <f>ROUND(H98*1.65, 2)</f>
      </c>
      <c r="P98" s="33">
        <f>SUM(I98:O98)</f>
      </c>
      <c r="Q98" s="33">
        <f>ROUND(H98*1.5, 2)</f>
      </c>
      <c r="R98" s="33">
        <f>ROUND(H98*2.0, 2)</f>
      </c>
      <c r="S98" s="14">
        <f>IF(F98&lt;=R98, "TRIGGER INDENT", "STOCK HEALTHY")</f>
      </c>
      <c r="T98" s="33">
        <f>IF(F98&lt;=R98, ROUND(MAX(H98, (I98+Q98)-F98), 2), 0)</f>
      </c>
    </row>
    <row r="99" ht="20" customHeight="1" spans="1:20" x14ac:dyDescent="0.25">
      <c r="A99" s="12" t="s">
        <v>357</v>
      </c>
      <c r="B99" s="12" t="s">
        <v>358</v>
      </c>
      <c r="C99" s="12" t="s">
        <v>324</v>
      </c>
      <c r="D99" s="12" t="s">
        <v>153</v>
      </c>
      <c r="E99" s="30">
        <v>185.52000427246094</v>
      </c>
      <c r="F99" s="31">
        <v>32</v>
      </c>
      <c r="G99" s="12" t="s">
        <v>142</v>
      </c>
      <c r="H99" s="31">
        <v>6.4</v>
      </c>
      <c r="I99" s="31">
        <f>ROUND(H99*1.0, 2)</f>
      </c>
      <c r="J99" s="31">
        <f>ROUND(H99*0.95, 2)</f>
      </c>
      <c r="K99" s="31">
        <f>ROUND(H99*0.95, 2)</f>
      </c>
      <c r="L99" s="31">
        <f>ROUND(H99*1.05, 2)</f>
      </c>
      <c r="M99" s="31">
        <f>ROUND(H99*1.25, 2)</f>
      </c>
      <c r="N99" s="31">
        <f>ROUND(H99*1.55, 2)</f>
      </c>
      <c r="O99" s="31">
        <f>ROUND(H99*1.65, 2)</f>
      </c>
      <c r="P99" s="31">
        <f>SUM(I99:O99)</f>
      </c>
      <c r="Q99" s="31">
        <f>ROUND(H99*1.5, 2)</f>
      </c>
      <c r="R99" s="31">
        <f>ROUND(H99*2.0, 2)</f>
      </c>
      <c r="S99" s="12">
        <f>IF(F99&lt;=R99, "TRIGGER INDENT", "STOCK HEALTHY")</f>
      </c>
      <c r="T99" s="31">
        <f>IF(F99&lt;=R99, ROUND(MAX(H99, (I99+Q99)-F99), 2), 0)</f>
      </c>
    </row>
    <row r="100" ht="20" customHeight="1" spans="1:20" x14ac:dyDescent="0.25">
      <c r="A100" s="14" t="s">
        <v>359</v>
      </c>
      <c r="B100" s="14" t="s">
        <v>360</v>
      </c>
      <c r="C100" s="14" t="s">
        <v>170</v>
      </c>
      <c r="D100" s="14" t="s">
        <v>153</v>
      </c>
      <c r="E100" s="32">
        <v>250</v>
      </c>
      <c r="F100" s="33">
        <v>1.5100002</v>
      </c>
      <c r="G100" s="14" t="s">
        <v>149</v>
      </c>
      <c r="H100" s="33">
        <v>1</v>
      </c>
      <c r="I100" s="33">
        <f>ROUND(H100*1.0, 2)</f>
      </c>
      <c r="J100" s="33">
        <f>ROUND(H100*0.95, 2)</f>
      </c>
      <c r="K100" s="33">
        <f>ROUND(H100*0.95, 2)</f>
      </c>
      <c r="L100" s="33">
        <f>ROUND(H100*1.05, 2)</f>
      </c>
      <c r="M100" s="33">
        <f>ROUND(H100*1.25, 2)</f>
      </c>
      <c r="N100" s="33">
        <f>ROUND(H100*1.55, 2)</f>
      </c>
      <c r="O100" s="33">
        <f>ROUND(H100*1.65, 2)</f>
      </c>
      <c r="P100" s="33">
        <f>SUM(I100:O100)</f>
      </c>
      <c r="Q100" s="33">
        <f>ROUND(H100*1.5, 2)</f>
      </c>
      <c r="R100" s="33">
        <f>ROUND(H100*2.0, 2)</f>
      </c>
      <c r="S100" s="14">
        <f>IF(F100&lt;=R100, "TRIGGER INDENT", "STOCK HEALTHY")</f>
      </c>
      <c r="T100" s="33">
        <f>IF(F100&lt;=R100, ROUND(MAX(H100, (I100+Q100)-F100), 2), 0)</f>
      </c>
    </row>
    <row r="101" ht="20" customHeight="1" spans="1:20" x14ac:dyDescent="0.25">
      <c r="A101" s="12" t="s">
        <v>361</v>
      </c>
      <c r="B101" s="12" t="s">
        <v>362</v>
      </c>
      <c r="C101" s="12" t="s">
        <v>264</v>
      </c>
      <c r="D101" s="12" t="s">
        <v>265</v>
      </c>
      <c r="E101" s="30">
        <v>849.0900268554688</v>
      </c>
      <c r="F101" s="31">
        <v>1.5100002</v>
      </c>
      <c r="G101" s="12" t="s">
        <v>177</v>
      </c>
      <c r="H101" s="31">
        <v>1</v>
      </c>
      <c r="I101" s="31">
        <f>ROUND(H101*1.0, 2)</f>
      </c>
      <c r="J101" s="31">
        <f>ROUND(H101*0.95, 2)</f>
      </c>
      <c r="K101" s="31">
        <f>ROUND(H101*0.95, 2)</f>
      </c>
      <c r="L101" s="31">
        <f>ROUND(H101*1.05, 2)</f>
      </c>
      <c r="M101" s="31">
        <f>ROUND(H101*1.25, 2)</f>
      </c>
      <c r="N101" s="31">
        <f>ROUND(H101*1.55, 2)</f>
      </c>
      <c r="O101" s="31">
        <f>ROUND(H101*1.65, 2)</f>
      </c>
      <c r="P101" s="31">
        <f>SUM(I101:O101)</f>
      </c>
      <c r="Q101" s="31">
        <f>ROUND(H101*1.5, 2)</f>
      </c>
      <c r="R101" s="31">
        <f>ROUND(H101*2.0, 2)</f>
      </c>
      <c r="S101" s="12">
        <f>IF(F101&lt;=R101, "TRIGGER INDENT", "STOCK HEALTHY")</f>
      </c>
      <c r="T101" s="31">
        <f>IF(F101&lt;=R101, ROUND(MAX(H101, (I101+Q101)-F101), 2), 0)</f>
      </c>
    </row>
    <row r="102" ht="20" customHeight="1" spans="1:20" x14ac:dyDescent="0.25">
      <c r="A102" s="14" t="s">
        <v>363</v>
      </c>
      <c r="B102" s="14" t="s">
        <v>364</v>
      </c>
      <c r="C102" s="14" t="s">
        <v>137</v>
      </c>
      <c r="D102" s="14" t="s">
        <v>138</v>
      </c>
      <c r="E102" s="32">
        <v>12.5</v>
      </c>
      <c r="F102" s="33">
        <v>36144</v>
      </c>
      <c r="G102" s="14" t="s">
        <v>186</v>
      </c>
      <c r="H102" s="33">
        <v>1807.2</v>
      </c>
      <c r="I102" s="33">
        <f>ROUND(H102*1.0, 2)</f>
      </c>
      <c r="J102" s="33">
        <f>ROUND(H102*0.95, 2)</f>
      </c>
      <c r="K102" s="33">
        <f>ROUND(H102*0.95, 2)</f>
      </c>
      <c r="L102" s="33">
        <f>ROUND(H102*1.05, 2)</f>
      </c>
      <c r="M102" s="33">
        <f>ROUND(H102*1.25, 2)</f>
      </c>
      <c r="N102" s="33">
        <f>ROUND(H102*1.55, 2)</f>
      </c>
      <c r="O102" s="33">
        <f>ROUND(H102*1.65, 2)</f>
      </c>
      <c r="P102" s="33">
        <f>SUM(I102:O102)</f>
      </c>
      <c r="Q102" s="33">
        <f>ROUND(H102*1.5, 2)</f>
      </c>
      <c r="R102" s="33">
        <f>ROUND(H102*2.0, 2)</f>
      </c>
      <c r="S102" s="14">
        <f>IF(F102&lt;=R102, "TRIGGER INDENT", "STOCK HEALTHY")</f>
      </c>
      <c r="T102" s="33">
        <f>IF(F102&lt;=R102, ROUND(MAX(H102, (I102+Q102)-F102), 2), 0)</f>
      </c>
    </row>
    <row r="103" ht="20" customHeight="1" spans="1:20" x14ac:dyDescent="0.25">
      <c r="A103" s="12" t="s">
        <v>365</v>
      </c>
      <c r="B103" s="12" t="s">
        <v>366</v>
      </c>
      <c r="C103" s="12" t="s">
        <v>152</v>
      </c>
      <c r="D103" s="12" t="s">
        <v>153</v>
      </c>
      <c r="E103" s="30">
        <v>152.6699981689453</v>
      </c>
      <c r="F103" s="31">
        <v>283.19998</v>
      </c>
      <c r="G103" s="12" t="s">
        <v>293</v>
      </c>
      <c r="H103" s="31">
        <v>22.66</v>
      </c>
      <c r="I103" s="31">
        <f>ROUND(H103*1.0, 2)</f>
      </c>
      <c r="J103" s="31">
        <f>ROUND(H103*0.95, 2)</f>
      </c>
      <c r="K103" s="31">
        <f>ROUND(H103*0.95, 2)</f>
      </c>
      <c r="L103" s="31">
        <f>ROUND(H103*1.05, 2)</f>
      </c>
      <c r="M103" s="31">
        <f>ROUND(H103*1.25, 2)</f>
      </c>
      <c r="N103" s="31">
        <f>ROUND(H103*1.55, 2)</f>
      </c>
      <c r="O103" s="31">
        <f>ROUND(H103*1.65, 2)</f>
      </c>
      <c r="P103" s="31">
        <f>SUM(I103:O103)</f>
      </c>
      <c r="Q103" s="31">
        <f>ROUND(H103*1.5, 2)</f>
      </c>
      <c r="R103" s="31">
        <f>ROUND(H103*2.0, 2)</f>
      </c>
      <c r="S103" s="12">
        <f>IF(F103&lt;=R103, "TRIGGER INDENT", "STOCK HEALTHY")</f>
      </c>
      <c r="T103" s="31">
        <f>IF(F103&lt;=R103, ROUND(MAX(H103, (I103+Q103)-F103), 2), 0)</f>
      </c>
    </row>
    <row r="104" ht="20" customHeight="1" spans="1:20" x14ac:dyDescent="0.25">
      <c r="A104" s="14" t="s">
        <v>367</v>
      </c>
      <c r="B104" s="14" t="s">
        <v>368</v>
      </c>
      <c r="C104" s="14" t="s">
        <v>152</v>
      </c>
      <c r="D104" s="14" t="s">
        <v>153</v>
      </c>
      <c r="E104" s="32">
        <v>186.4499969482422</v>
      </c>
      <c r="F104" s="33">
        <v>123.19998</v>
      </c>
      <c r="G104" s="14" t="s">
        <v>293</v>
      </c>
      <c r="H104" s="33">
        <v>14.78</v>
      </c>
      <c r="I104" s="33">
        <f>ROUND(H104*1.0, 2)</f>
      </c>
      <c r="J104" s="33">
        <f>ROUND(H104*0.95, 2)</f>
      </c>
      <c r="K104" s="33">
        <f>ROUND(H104*0.95, 2)</f>
      </c>
      <c r="L104" s="33">
        <f>ROUND(H104*1.05, 2)</f>
      </c>
      <c r="M104" s="33">
        <f>ROUND(H104*1.25, 2)</f>
      </c>
      <c r="N104" s="33">
        <f>ROUND(H104*1.55, 2)</f>
      </c>
      <c r="O104" s="33">
        <f>ROUND(H104*1.65, 2)</f>
      </c>
      <c r="P104" s="33">
        <f>SUM(I104:O104)</f>
      </c>
      <c r="Q104" s="33">
        <f>ROUND(H104*1.5, 2)</f>
      </c>
      <c r="R104" s="33">
        <f>ROUND(H104*2.0, 2)</f>
      </c>
      <c r="S104" s="14">
        <f>IF(F104&lt;=R104, "TRIGGER INDENT", "STOCK HEALTHY")</f>
      </c>
      <c r="T104" s="33">
        <f>IF(F104&lt;=R104, ROUND(MAX(H104, (I104+Q104)-F104), 2), 0)</f>
      </c>
    </row>
    <row r="105" ht="20" customHeight="1" spans="1:20" x14ac:dyDescent="0.25">
      <c r="A105" s="12" t="s">
        <v>369</v>
      </c>
      <c r="B105" s="12" t="s">
        <v>370</v>
      </c>
      <c r="C105" s="12" t="s">
        <v>137</v>
      </c>
      <c r="D105" s="12" t="s">
        <v>138</v>
      </c>
      <c r="E105" s="30">
        <v>3.5</v>
      </c>
      <c r="F105" s="31">
        <v>1.5100002</v>
      </c>
      <c r="G105" s="12" t="s">
        <v>139</v>
      </c>
      <c r="H105" s="31">
        <v>1</v>
      </c>
      <c r="I105" s="31">
        <f>ROUND(H105*1.0, 2)</f>
      </c>
      <c r="J105" s="31">
        <f>ROUND(H105*0.95, 2)</f>
      </c>
      <c r="K105" s="31">
        <f>ROUND(H105*0.95, 2)</f>
      </c>
      <c r="L105" s="31">
        <f>ROUND(H105*1.05, 2)</f>
      </c>
      <c r="M105" s="31">
        <f>ROUND(H105*1.25, 2)</f>
      </c>
      <c r="N105" s="31">
        <f>ROUND(H105*1.55, 2)</f>
      </c>
      <c r="O105" s="31">
        <f>ROUND(H105*1.65, 2)</f>
      </c>
      <c r="P105" s="31">
        <f>SUM(I105:O105)</f>
      </c>
      <c r="Q105" s="31">
        <f>ROUND(H105*1.5, 2)</f>
      </c>
      <c r="R105" s="31">
        <f>ROUND(H105*2.0, 2)</f>
      </c>
      <c r="S105" s="12">
        <f>IF(F105&lt;=R105, "TRIGGER INDENT", "STOCK HEALTHY")</f>
      </c>
      <c r="T105" s="31">
        <f>IF(F105&lt;=R105, ROUND(MAX(H105, (I105+Q105)-F105), 2), 0)</f>
      </c>
    </row>
    <row r="106" ht="20" customHeight="1" spans="1:20" x14ac:dyDescent="0.25">
      <c r="A106" s="14" t="s">
        <v>371</v>
      </c>
      <c r="B106" s="14" t="s">
        <v>372</v>
      </c>
      <c r="C106" s="14" t="s">
        <v>137</v>
      </c>
      <c r="D106" s="14" t="s">
        <v>138</v>
      </c>
      <c r="E106" s="32">
        <v>60</v>
      </c>
      <c r="F106" s="33">
        <v>16</v>
      </c>
      <c r="G106" s="14" t="s">
        <v>154</v>
      </c>
      <c r="H106" s="33">
        <v>3.2</v>
      </c>
      <c r="I106" s="33">
        <f>ROUND(H106*1.0, 2)</f>
      </c>
      <c r="J106" s="33">
        <f>ROUND(H106*0.95, 2)</f>
      </c>
      <c r="K106" s="33">
        <f>ROUND(H106*0.95, 2)</f>
      </c>
      <c r="L106" s="33">
        <f>ROUND(H106*1.05, 2)</f>
      </c>
      <c r="M106" s="33">
        <f>ROUND(H106*1.25, 2)</f>
      </c>
      <c r="N106" s="33">
        <f>ROUND(H106*1.55, 2)</f>
      </c>
      <c r="O106" s="33">
        <f>ROUND(H106*1.65, 2)</f>
      </c>
      <c r="P106" s="33">
        <f>SUM(I106:O106)</f>
      </c>
      <c r="Q106" s="33">
        <f>ROUND(H106*1.5, 2)</f>
      </c>
      <c r="R106" s="33">
        <f>ROUND(H106*2.0, 2)</f>
      </c>
      <c r="S106" s="14">
        <f>IF(F106&lt;=R106, "TRIGGER INDENT", "STOCK HEALTHY")</f>
      </c>
      <c r="T106" s="33">
        <f>IF(F106&lt;=R106, ROUND(MAX(H106, (I106+Q106)-F106), 2), 0)</f>
      </c>
    </row>
    <row r="107" ht="20" customHeight="1" spans="1:20" x14ac:dyDescent="0.25">
      <c r="A107" s="12" t="s">
        <v>373</v>
      </c>
      <c r="B107" s="12" t="s">
        <v>374</v>
      </c>
      <c r="C107" s="12" t="s">
        <v>167</v>
      </c>
      <c r="D107" s="12" t="s">
        <v>153</v>
      </c>
      <c r="E107" s="30">
        <v>35</v>
      </c>
      <c r="F107" s="31">
        <v>466.2401</v>
      </c>
      <c r="G107" s="12" t="s">
        <v>293</v>
      </c>
      <c r="H107" s="31">
        <v>37.3</v>
      </c>
      <c r="I107" s="31">
        <f>ROUND(H107*1.0, 2)</f>
      </c>
      <c r="J107" s="31">
        <f>ROUND(H107*0.95, 2)</f>
      </c>
      <c r="K107" s="31">
        <f>ROUND(H107*0.95, 2)</f>
      </c>
      <c r="L107" s="31">
        <f>ROUND(H107*1.05, 2)</f>
      </c>
      <c r="M107" s="31">
        <f>ROUND(H107*1.25, 2)</f>
      </c>
      <c r="N107" s="31">
        <f>ROUND(H107*1.55, 2)</f>
      </c>
      <c r="O107" s="31">
        <f>ROUND(H107*1.65, 2)</f>
      </c>
      <c r="P107" s="31">
        <f>SUM(I107:O107)</f>
      </c>
      <c r="Q107" s="31">
        <f>ROUND(H107*1.5, 2)</f>
      </c>
      <c r="R107" s="31">
        <f>ROUND(H107*2.0, 2)</f>
      </c>
      <c r="S107" s="12">
        <f>IF(F107&lt;=R107, "TRIGGER INDENT", "STOCK HEALTHY")</f>
      </c>
      <c r="T107" s="31">
        <f>IF(F107&lt;=R107, ROUND(MAX(H107, (I107+Q107)-F107), 2), 0)</f>
      </c>
    </row>
    <row r="108" ht="20" customHeight="1" spans="1:20" x14ac:dyDescent="0.25">
      <c r="A108" s="14" t="s">
        <v>375</v>
      </c>
      <c r="B108" s="14" t="s">
        <v>376</v>
      </c>
      <c r="C108" s="14" t="s">
        <v>195</v>
      </c>
      <c r="D108" s="14" t="s">
        <v>153</v>
      </c>
      <c r="E108" s="32">
        <v>28.110000610351562</v>
      </c>
      <c r="F108" s="33">
        <v>524</v>
      </c>
      <c r="G108" s="14" t="s">
        <v>149</v>
      </c>
      <c r="H108" s="33">
        <v>41.92</v>
      </c>
      <c r="I108" s="33">
        <f>ROUND(H108*1.0, 2)</f>
      </c>
      <c r="J108" s="33">
        <f>ROUND(H108*0.95, 2)</f>
      </c>
      <c r="K108" s="33">
        <f>ROUND(H108*0.95, 2)</f>
      </c>
      <c r="L108" s="33">
        <f>ROUND(H108*1.05, 2)</f>
      </c>
      <c r="M108" s="33">
        <f>ROUND(H108*1.25, 2)</f>
      </c>
      <c r="N108" s="33">
        <f>ROUND(H108*1.55, 2)</f>
      </c>
      <c r="O108" s="33">
        <f>ROUND(H108*1.65, 2)</f>
      </c>
      <c r="P108" s="33">
        <f>SUM(I108:O108)</f>
      </c>
      <c r="Q108" s="33">
        <f>ROUND(H108*1.5, 2)</f>
      </c>
      <c r="R108" s="33">
        <f>ROUND(H108*2.0, 2)</f>
      </c>
      <c r="S108" s="14">
        <f>IF(F108&lt;=R108, "TRIGGER INDENT", "STOCK HEALTHY")</f>
      </c>
      <c r="T108" s="33">
        <f>IF(F108&lt;=R108, ROUND(MAX(H108, (I108+Q108)-F108), 2), 0)</f>
      </c>
    </row>
    <row r="109" ht="20" customHeight="1" spans="1:20" x14ac:dyDescent="0.25">
      <c r="A109" s="12" t="s">
        <v>377</v>
      </c>
      <c r="B109" s="12" t="s">
        <v>378</v>
      </c>
      <c r="C109" s="12" t="s">
        <v>170</v>
      </c>
      <c r="D109" s="12" t="s">
        <v>153</v>
      </c>
      <c r="E109" s="30">
        <v>47.470001220703125</v>
      </c>
      <c r="F109" s="31">
        <v>32</v>
      </c>
      <c r="G109" s="12" t="s">
        <v>149</v>
      </c>
      <c r="H109" s="31">
        <v>6.4</v>
      </c>
      <c r="I109" s="31">
        <f>ROUND(H109*1.0, 2)</f>
      </c>
      <c r="J109" s="31">
        <f>ROUND(H109*0.95, 2)</f>
      </c>
      <c r="K109" s="31">
        <f>ROUND(H109*0.95, 2)</f>
      </c>
      <c r="L109" s="31">
        <f>ROUND(H109*1.05, 2)</f>
      </c>
      <c r="M109" s="31">
        <f>ROUND(H109*1.25, 2)</f>
      </c>
      <c r="N109" s="31">
        <f>ROUND(H109*1.55, 2)</f>
      </c>
      <c r="O109" s="31">
        <f>ROUND(H109*1.65, 2)</f>
      </c>
      <c r="P109" s="31">
        <f>SUM(I109:O109)</f>
      </c>
      <c r="Q109" s="31">
        <f>ROUND(H109*1.5, 2)</f>
      </c>
      <c r="R109" s="31">
        <f>ROUND(H109*2.0, 2)</f>
      </c>
      <c r="S109" s="12">
        <f>IF(F109&lt;=R109, "TRIGGER INDENT", "STOCK HEALTHY")</f>
      </c>
      <c r="T109" s="31">
        <f>IF(F109&lt;=R109, ROUND(MAX(H109, (I109+Q109)-F109), 2), 0)</f>
      </c>
    </row>
    <row r="110" ht="20" customHeight="1" spans="1:20" x14ac:dyDescent="0.25">
      <c r="A110" s="14" t="s">
        <v>379</v>
      </c>
      <c r="B110" s="14" t="s">
        <v>380</v>
      </c>
      <c r="C110" s="14" t="s">
        <v>170</v>
      </c>
      <c r="D110" s="14" t="s">
        <v>153</v>
      </c>
      <c r="E110" s="32">
        <v>379.3599853515625</v>
      </c>
      <c r="F110" s="33">
        <v>343</v>
      </c>
      <c r="G110" s="14" t="s">
        <v>142</v>
      </c>
      <c r="H110" s="33">
        <v>27.44</v>
      </c>
      <c r="I110" s="33">
        <f>ROUND(H110*1.0, 2)</f>
      </c>
      <c r="J110" s="33">
        <f>ROUND(H110*0.95, 2)</f>
      </c>
      <c r="K110" s="33">
        <f>ROUND(H110*0.95, 2)</f>
      </c>
      <c r="L110" s="33">
        <f>ROUND(H110*1.05, 2)</f>
      </c>
      <c r="M110" s="33">
        <f>ROUND(H110*1.25, 2)</f>
      </c>
      <c r="N110" s="33">
        <f>ROUND(H110*1.55, 2)</f>
      </c>
      <c r="O110" s="33">
        <f>ROUND(H110*1.65, 2)</f>
      </c>
      <c r="P110" s="33">
        <f>SUM(I110:O110)</f>
      </c>
      <c r="Q110" s="33">
        <f>ROUND(H110*1.5, 2)</f>
      </c>
      <c r="R110" s="33">
        <f>ROUND(H110*2.0, 2)</f>
      </c>
      <c r="S110" s="14">
        <f>IF(F110&lt;=R110, "TRIGGER INDENT", "STOCK HEALTHY")</f>
      </c>
      <c r="T110" s="33">
        <f>IF(F110&lt;=R110, ROUND(MAX(H110, (I110+Q110)-F110), 2), 0)</f>
      </c>
    </row>
    <row r="111" ht="20" customHeight="1" spans="1:20" x14ac:dyDescent="0.25">
      <c r="A111" s="12" t="s">
        <v>381</v>
      </c>
      <c r="B111" s="12" t="s">
        <v>382</v>
      </c>
      <c r="C111" s="12" t="s">
        <v>240</v>
      </c>
      <c r="D111" s="12" t="s">
        <v>198</v>
      </c>
      <c r="E111" s="30">
        <v>207.11000061035156</v>
      </c>
      <c r="F111" s="31">
        <v>0</v>
      </c>
      <c r="G111" s="12" t="s">
        <v>177</v>
      </c>
      <c r="H111" s="31">
        <v>2</v>
      </c>
      <c r="I111" s="31">
        <f>ROUND(H111*1.0, 2)</f>
      </c>
      <c r="J111" s="31">
        <f>ROUND(H111*0.95, 2)</f>
      </c>
      <c r="K111" s="31">
        <f>ROUND(H111*0.95, 2)</f>
      </c>
      <c r="L111" s="31">
        <f>ROUND(H111*1.05, 2)</f>
      </c>
      <c r="M111" s="31">
        <f>ROUND(H111*1.25, 2)</f>
      </c>
      <c r="N111" s="31">
        <f>ROUND(H111*1.55, 2)</f>
      </c>
      <c r="O111" s="31">
        <f>ROUND(H111*1.65, 2)</f>
      </c>
      <c r="P111" s="31">
        <f>SUM(I111:O111)</f>
      </c>
      <c r="Q111" s="31">
        <f>ROUND(H111*1.5, 2)</f>
      </c>
      <c r="R111" s="31">
        <f>ROUND(H111*2.0, 2)</f>
      </c>
      <c r="S111" s="12">
        <f>IF(F111&lt;=R111, "TRIGGER INDENT", "STOCK HEALTHY")</f>
      </c>
      <c r="T111" s="31">
        <f>IF(F111&lt;=R111, ROUND(MAX(H111, (I111+Q111)-F111), 2), 0)</f>
      </c>
    </row>
    <row r="112" ht="20" customHeight="1" spans="1:20" x14ac:dyDescent="0.25">
      <c r="A112" s="14" t="s">
        <v>383</v>
      </c>
      <c r="B112" s="14" t="s">
        <v>384</v>
      </c>
      <c r="C112" s="14" t="s">
        <v>137</v>
      </c>
      <c r="D112" s="14" t="s">
        <v>198</v>
      </c>
      <c r="E112" s="32">
        <v>60</v>
      </c>
      <c r="F112" s="33">
        <v>244</v>
      </c>
      <c r="G112" s="14" t="s">
        <v>186</v>
      </c>
      <c r="H112" s="33">
        <v>19.52</v>
      </c>
      <c r="I112" s="33">
        <f>ROUND(H112*1.0, 2)</f>
      </c>
      <c r="J112" s="33">
        <f>ROUND(H112*0.95, 2)</f>
      </c>
      <c r="K112" s="33">
        <f>ROUND(H112*0.95, 2)</f>
      </c>
      <c r="L112" s="33">
        <f>ROUND(H112*1.05, 2)</f>
      </c>
      <c r="M112" s="33">
        <f>ROUND(H112*1.25, 2)</f>
      </c>
      <c r="N112" s="33">
        <f>ROUND(H112*1.55, 2)</f>
      </c>
      <c r="O112" s="33">
        <f>ROUND(H112*1.65, 2)</f>
      </c>
      <c r="P112" s="33">
        <f>SUM(I112:O112)</f>
      </c>
      <c r="Q112" s="33">
        <f>ROUND(H112*1.5, 2)</f>
      </c>
      <c r="R112" s="33">
        <f>ROUND(H112*2.0, 2)</f>
      </c>
      <c r="S112" s="14">
        <f>IF(F112&lt;=R112, "TRIGGER INDENT", "STOCK HEALTHY")</f>
      </c>
      <c r="T112" s="33">
        <f>IF(F112&lt;=R112, ROUND(MAX(H112, (I112+Q112)-F112), 2), 0)</f>
      </c>
    </row>
    <row r="113" ht="20" customHeight="1" spans="1:20" x14ac:dyDescent="0.25">
      <c r="A113" s="12" t="s">
        <v>385</v>
      </c>
      <c r="B113" s="12" t="s">
        <v>386</v>
      </c>
      <c r="C113" s="12" t="s">
        <v>137</v>
      </c>
      <c r="D113" s="12" t="s">
        <v>138</v>
      </c>
      <c r="E113" s="30">
        <v>50</v>
      </c>
      <c r="F113" s="31">
        <v>47</v>
      </c>
      <c r="G113" s="12" t="s">
        <v>154</v>
      </c>
      <c r="H113" s="31">
        <v>9.4</v>
      </c>
      <c r="I113" s="31">
        <f>ROUND(H113*1.0, 2)</f>
      </c>
      <c r="J113" s="31">
        <f>ROUND(H113*0.95, 2)</f>
      </c>
      <c r="K113" s="31">
        <f>ROUND(H113*0.95, 2)</f>
      </c>
      <c r="L113" s="31">
        <f>ROUND(H113*1.05, 2)</f>
      </c>
      <c r="M113" s="31">
        <f>ROUND(H113*1.25, 2)</f>
      </c>
      <c r="N113" s="31">
        <f>ROUND(H113*1.55, 2)</f>
      </c>
      <c r="O113" s="31">
        <f>ROUND(H113*1.65, 2)</f>
      </c>
      <c r="P113" s="31">
        <f>SUM(I113:O113)</f>
      </c>
      <c r="Q113" s="31">
        <f>ROUND(H113*1.5, 2)</f>
      </c>
      <c r="R113" s="31">
        <f>ROUND(H113*2.0, 2)</f>
      </c>
      <c r="S113" s="12">
        <f>IF(F113&lt;=R113, "TRIGGER INDENT", "STOCK HEALTHY")</f>
      </c>
      <c r="T113" s="31">
        <f>IF(F113&lt;=R113, ROUND(MAX(H113, (I113+Q113)-F113), 2), 0)</f>
      </c>
    </row>
    <row r="114" ht="20" customHeight="1" spans="1:20" x14ac:dyDescent="0.25">
      <c r="A114" s="14" t="s">
        <v>387</v>
      </c>
      <c r="B114" s="14" t="s">
        <v>388</v>
      </c>
      <c r="C114" s="14" t="s">
        <v>170</v>
      </c>
      <c r="D114" s="14" t="s">
        <v>153</v>
      </c>
      <c r="E114" s="32">
        <v>82</v>
      </c>
      <c r="F114" s="33">
        <v>2.2300003</v>
      </c>
      <c r="G114" s="14" t="s">
        <v>149</v>
      </c>
      <c r="H114" s="33">
        <v>1</v>
      </c>
      <c r="I114" s="33">
        <f>ROUND(H114*1.0, 2)</f>
      </c>
      <c r="J114" s="33">
        <f>ROUND(H114*0.95, 2)</f>
      </c>
      <c r="K114" s="33">
        <f>ROUND(H114*0.95, 2)</f>
      </c>
      <c r="L114" s="33">
        <f>ROUND(H114*1.05, 2)</f>
      </c>
      <c r="M114" s="33">
        <f>ROUND(H114*1.25, 2)</f>
      </c>
      <c r="N114" s="33">
        <f>ROUND(H114*1.55, 2)</f>
      </c>
      <c r="O114" s="33">
        <f>ROUND(H114*1.65, 2)</f>
      </c>
      <c r="P114" s="33">
        <f>SUM(I114:O114)</f>
      </c>
      <c r="Q114" s="33">
        <f>ROUND(H114*1.5, 2)</f>
      </c>
      <c r="R114" s="33">
        <f>ROUND(H114*2.0, 2)</f>
      </c>
      <c r="S114" s="14">
        <f>IF(F114&lt;=R114, "TRIGGER INDENT", "STOCK HEALTHY")</f>
      </c>
      <c r="T114" s="33">
        <f>IF(F114&lt;=R114, ROUND(MAX(H114, (I114+Q114)-F114), 2), 0)</f>
      </c>
    </row>
    <row r="115" ht="20" customHeight="1" spans="1:20" x14ac:dyDescent="0.25">
      <c r="A115" s="12" t="s">
        <v>389</v>
      </c>
      <c r="B115" s="12" t="s">
        <v>390</v>
      </c>
      <c r="C115" s="12" t="s">
        <v>170</v>
      </c>
      <c r="D115" s="12" t="s">
        <v>138</v>
      </c>
      <c r="E115" s="30">
        <v>5.619999885559082</v>
      </c>
      <c r="F115" s="31">
        <v>6010</v>
      </c>
      <c r="G115" s="12" t="s">
        <v>293</v>
      </c>
      <c r="H115" s="31">
        <v>300.5</v>
      </c>
      <c r="I115" s="31">
        <f>ROUND(H115*1.0, 2)</f>
      </c>
      <c r="J115" s="31">
        <f>ROUND(H115*0.95, 2)</f>
      </c>
      <c r="K115" s="31">
        <f>ROUND(H115*0.95, 2)</f>
      </c>
      <c r="L115" s="31">
        <f>ROUND(H115*1.05, 2)</f>
      </c>
      <c r="M115" s="31">
        <f>ROUND(H115*1.25, 2)</f>
      </c>
      <c r="N115" s="31">
        <f>ROUND(H115*1.55, 2)</f>
      </c>
      <c r="O115" s="31">
        <f>ROUND(H115*1.65, 2)</f>
      </c>
      <c r="P115" s="31">
        <f>SUM(I115:O115)</f>
      </c>
      <c r="Q115" s="31">
        <f>ROUND(H115*1.5, 2)</f>
      </c>
      <c r="R115" s="31">
        <f>ROUND(H115*2.0, 2)</f>
      </c>
      <c r="S115" s="12">
        <f>IF(F115&lt;=R115, "TRIGGER INDENT", "STOCK HEALTHY")</f>
      </c>
      <c r="T115" s="31">
        <f>IF(F115&lt;=R115, ROUND(MAX(H115, (I115+Q115)-F115), 2), 0)</f>
      </c>
    </row>
    <row r="116" ht="20" customHeight="1" spans="1:20" x14ac:dyDescent="0.25">
      <c r="A116" s="14" t="s">
        <v>391</v>
      </c>
      <c r="B116" s="14" t="s">
        <v>392</v>
      </c>
      <c r="C116" s="14" t="s">
        <v>152</v>
      </c>
      <c r="D116" s="14" t="s">
        <v>153</v>
      </c>
      <c r="E116" s="32">
        <v>2961.760009765625</v>
      </c>
      <c r="F116" s="33">
        <v>73.05</v>
      </c>
      <c r="G116" s="14" t="s">
        <v>142</v>
      </c>
      <c r="H116" s="33">
        <v>8.77</v>
      </c>
      <c r="I116" s="33">
        <f>ROUND(H116*1.0, 2)</f>
      </c>
      <c r="J116" s="33">
        <f>ROUND(H116*0.95, 2)</f>
      </c>
      <c r="K116" s="33">
        <f>ROUND(H116*0.95, 2)</f>
      </c>
      <c r="L116" s="33">
        <f>ROUND(H116*1.05, 2)</f>
      </c>
      <c r="M116" s="33">
        <f>ROUND(H116*1.25, 2)</f>
      </c>
      <c r="N116" s="33">
        <f>ROUND(H116*1.55, 2)</f>
      </c>
      <c r="O116" s="33">
        <f>ROUND(H116*1.65, 2)</f>
      </c>
      <c r="P116" s="33">
        <f>SUM(I116:O116)</f>
      </c>
      <c r="Q116" s="33">
        <f>ROUND(H116*1.5, 2)</f>
      </c>
      <c r="R116" s="33">
        <f>ROUND(H116*2.0, 2)</f>
      </c>
      <c r="S116" s="14">
        <f>IF(F116&lt;=R116, "TRIGGER INDENT", "STOCK HEALTHY")</f>
      </c>
      <c r="T116" s="33">
        <f>IF(F116&lt;=R116, ROUND(MAX(H116, (I116+Q116)-F116), 2), 0)</f>
      </c>
    </row>
    <row r="117" ht="20" customHeight="1" spans="1:20" x14ac:dyDescent="0.25">
      <c r="A117" s="12" t="s">
        <v>393</v>
      </c>
      <c r="B117" s="12" t="s">
        <v>394</v>
      </c>
      <c r="C117" s="12" t="s">
        <v>137</v>
      </c>
      <c r="D117" s="12" t="s">
        <v>198</v>
      </c>
      <c r="E117" s="30">
        <v>4.159999847412109</v>
      </c>
      <c r="F117" s="31">
        <v>3900</v>
      </c>
      <c r="G117" s="12" t="s">
        <v>160</v>
      </c>
      <c r="H117" s="31">
        <v>195</v>
      </c>
      <c r="I117" s="31">
        <f>ROUND(H117*1.0, 2)</f>
      </c>
      <c r="J117" s="31">
        <f>ROUND(H117*0.95, 2)</f>
      </c>
      <c r="K117" s="31">
        <f>ROUND(H117*0.95, 2)</f>
      </c>
      <c r="L117" s="31">
        <f>ROUND(H117*1.05, 2)</f>
      </c>
      <c r="M117" s="31">
        <f>ROUND(H117*1.25, 2)</f>
      </c>
      <c r="N117" s="31">
        <f>ROUND(H117*1.55, 2)</f>
      </c>
      <c r="O117" s="31">
        <f>ROUND(H117*1.65, 2)</f>
      </c>
      <c r="P117" s="31">
        <f>SUM(I117:O117)</f>
      </c>
      <c r="Q117" s="31">
        <f>ROUND(H117*1.5, 2)</f>
      </c>
      <c r="R117" s="31">
        <f>ROUND(H117*2.0, 2)</f>
      </c>
      <c r="S117" s="12">
        <f>IF(F117&lt;=R117, "TRIGGER INDENT", "STOCK HEALTHY")</f>
      </c>
      <c r="T117" s="31">
        <f>IF(F117&lt;=R117, ROUND(MAX(H117, (I117+Q117)-F117), 2), 0)</f>
      </c>
    </row>
    <row r="118" ht="20" customHeight="1" spans="1:20" x14ac:dyDescent="0.25">
      <c r="A118" s="14" t="s">
        <v>395</v>
      </c>
      <c r="B118" s="14" t="s">
        <v>396</v>
      </c>
      <c r="C118" s="14" t="s">
        <v>288</v>
      </c>
      <c r="D118" s="14" t="s">
        <v>153</v>
      </c>
      <c r="E118" s="32">
        <v>331.9700012207031</v>
      </c>
      <c r="F118" s="33">
        <v>62.5</v>
      </c>
      <c r="G118" s="14" t="s">
        <v>142</v>
      </c>
      <c r="H118" s="33">
        <v>7.5</v>
      </c>
      <c r="I118" s="33">
        <f>ROUND(H118*1.0, 2)</f>
      </c>
      <c r="J118" s="33">
        <f>ROUND(H118*0.95, 2)</f>
      </c>
      <c r="K118" s="33">
        <f>ROUND(H118*0.95, 2)</f>
      </c>
      <c r="L118" s="33">
        <f>ROUND(H118*1.05, 2)</f>
      </c>
      <c r="M118" s="33">
        <f>ROUND(H118*1.25, 2)</f>
      </c>
      <c r="N118" s="33">
        <f>ROUND(H118*1.55, 2)</f>
      </c>
      <c r="O118" s="33">
        <f>ROUND(H118*1.65, 2)</f>
      </c>
      <c r="P118" s="33">
        <f>SUM(I118:O118)</f>
      </c>
      <c r="Q118" s="33">
        <f>ROUND(H118*1.5, 2)</f>
      </c>
      <c r="R118" s="33">
        <f>ROUND(H118*2.0, 2)</f>
      </c>
      <c r="S118" s="14">
        <f>IF(F118&lt;=R118, "TRIGGER INDENT", "STOCK HEALTHY")</f>
      </c>
      <c r="T118" s="33">
        <f>IF(F118&lt;=R118, ROUND(MAX(H118, (I118+Q118)-F118), 2), 0)</f>
      </c>
    </row>
    <row r="119" ht="20" customHeight="1" spans="1:20" x14ac:dyDescent="0.25">
      <c r="A119" s="12" t="s">
        <v>397</v>
      </c>
      <c r="B119" s="12" t="s">
        <v>398</v>
      </c>
      <c r="C119" s="12" t="s">
        <v>399</v>
      </c>
      <c r="D119" s="12" t="s">
        <v>325</v>
      </c>
      <c r="E119" s="30">
        <v>50</v>
      </c>
      <c r="F119" s="31">
        <v>59.5</v>
      </c>
      <c r="G119" s="12" t="s">
        <v>160</v>
      </c>
      <c r="H119" s="31">
        <v>7.14</v>
      </c>
      <c r="I119" s="31">
        <f>ROUND(H119*1.0, 2)</f>
      </c>
      <c r="J119" s="31">
        <f>ROUND(H119*0.95, 2)</f>
      </c>
      <c r="K119" s="31">
        <f>ROUND(H119*0.95, 2)</f>
      </c>
      <c r="L119" s="31">
        <f>ROUND(H119*1.05, 2)</f>
      </c>
      <c r="M119" s="31">
        <f>ROUND(H119*1.25, 2)</f>
      </c>
      <c r="N119" s="31">
        <f>ROUND(H119*1.55, 2)</f>
      </c>
      <c r="O119" s="31">
        <f>ROUND(H119*1.65, 2)</f>
      </c>
      <c r="P119" s="31">
        <f>SUM(I119:O119)</f>
      </c>
      <c r="Q119" s="31">
        <f>ROUND(H119*1.5, 2)</f>
      </c>
      <c r="R119" s="31">
        <f>ROUND(H119*2.0, 2)</f>
      </c>
      <c r="S119" s="12">
        <f>IF(F119&lt;=R119, "TRIGGER INDENT", "STOCK HEALTHY")</f>
      </c>
      <c r="T119" s="31">
        <f>IF(F119&lt;=R119, ROUND(MAX(H119, (I119+Q119)-F119), 2), 0)</f>
      </c>
    </row>
    <row r="120" ht="20" customHeight="1" spans="1:20" x14ac:dyDescent="0.25">
      <c r="A120" s="14" t="s">
        <v>400</v>
      </c>
      <c r="B120" s="14" t="s">
        <v>401</v>
      </c>
      <c r="C120" s="14" t="s">
        <v>402</v>
      </c>
      <c r="D120" s="14" t="s">
        <v>198</v>
      </c>
      <c r="E120" s="32">
        <v>270.7900085449219</v>
      </c>
      <c r="F120" s="33">
        <v>87</v>
      </c>
      <c r="G120" s="14" t="s">
        <v>177</v>
      </c>
      <c r="H120" s="33">
        <v>10.44</v>
      </c>
      <c r="I120" s="33">
        <f>ROUND(H120*1.0, 2)</f>
      </c>
      <c r="J120" s="33">
        <f>ROUND(H120*0.95, 2)</f>
      </c>
      <c r="K120" s="33">
        <f>ROUND(H120*0.95, 2)</f>
      </c>
      <c r="L120" s="33">
        <f>ROUND(H120*1.05, 2)</f>
      </c>
      <c r="M120" s="33">
        <f>ROUND(H120*1.25, 2)</f>
      </c>
      <c r="N120" s="33">
        <f>ROUND(H120*1.55, 2)</f>
      </c>
      <c r="O120" s="33">
        <f>ROUND(H120*1.65, 2)</f>
      </c>
      <c r="P120" s="33">
        <f>SUM(I120:O120)</f>
      </c>
      <c r="Q120" s="33">
        <f>ROUND(H120*1.5, 2)</f>
      </c>
      <c r="R120" s="33">
        <f>ROUND(H120*2.0, 2)</f>
      </c>
      <c r="S120" s="14">
        <f>IF(F120&lt;=R120, "TRIGGER INDENT", "STOCK HEALTHY")</f>
      </c>
      <c r="T120" s="33">
        <f>IF(F120&lt;=R120, ROUND(MAX(H120, (I120+Q120)-F120), 2), 0)</f>
      </c>
    </row>
    <row r="121" ht="20" customHeight="1" spans="1:20" x14ac:dyDescent="0.25">
      <c r="A121" s="12" t="s">
        <v>403</v>
      </c>
      <c r="B121" s="12" t="s">
        <v>404</v>
      </c>
      <c r="C121" s="12" t="s">
        <v>402</v>
      </c>
      <c r="D121" s="12" t="s">
        <v>153</v>
      </c>
      <c r="E121" s="30">
        <v>110.87999725341797</v>
      </c>
      <c r="F121" s="31">
        <v>144</v>
      </c>
      <c r="G121" s="12" t="s">
        <v>142</v>
      </c>
      <c r="H121" s="31">
        <v>17.28</v>
      </c>
      <c r="I121" s="31">
        <f>ROUND(H121*1.0, 2)</f>
      </c>
      <c r="J121" s="31">
        <f>ROUND(H121*0.95, 2)</f>
      </c>
      <c r="K121" s="31">
        <f>ROUND(H121*0.95, 2)</f>
      </c>
      <c r="L121" s="31">
        <f>ROUND(H121*1.05, 2)</f>
      </c>
      <c r="M121" s="31">
        <f>ROUND(H121*1.25, 2)</f>
      </c>
      <c r="N121" s="31">
        <f>ROUND(H121*1.55, 2)</f>
      </c>
      <c r="O121" s="31">
        <f>ROUND(H121*1.65, 2)</f>
      </c>
      <c r="P121" s="31">
        <f>SUM(I121:O121)</f>
      </c>
      <c r="Q121" s="31">
        <f>ROUND(H121*1.5, 2)</f>
      </c>
      <c r="R121" s="31">
        <f>ROUND(H121*2.0, 2)</f>
      </c>
      <c r="S121" s="12">
        <f>IF(F121&lt;=R121, "TRIGGER INDENT", "STOCK HEALTHY")</f>
      </c>
      <c r="T121" s="31">
        <f>IF(F121&lt;=R121, ROUND(MAX(H121, (I121+Q121)-F121), 2), 0)</f>
      </c>
    </row>
    <row r="122" ht="20" customHeight="1" spans="1:20" x14ac:dyDescent="0.25">
      <c r="A122" s="14" t="s">
        <v>405</v>
      </c>
      <c r="B122" s="14" t="s">
        <v>406</v>
      </c>
      <c r="C122" s="14" t="s">
        <v>170</v>
      </c>
      <c r="D122" s="14" t="s">
        <v>173</v>
      </c>
      <c r="E122" s="32">
        <v>240</v>
      </c>
      <c r="F122" s="33">
        <v>80</v>
      </c>
      <c r="G122" s="14" t="s">
        <v>177</v>
      </c>
      <c r="H122" s="33">
        <v>9.6</v>
      </c>
      <c r="I122" s="33">
        <f>ROUND(H122*1.0, 2)</f>
      </c>
      <c r="J122" s="33">
        <f>ROUND(H122*0.95, 2)</f>
      </c>
      <c r="K122" s="33">
        <f>ROUND(H122*0.95, 2)</f>
      </c>
      <c r="L122" s="33">
        <f>ROUND(H122*1.05, 2)</f>
      </c>
      <c r="M122" s="33">
        <f>ROUND(H122*1.25, 2)</f>
      </c>
      <c r="N122" s="33">
        <f>ROUND(H122*1.55, 2)</f>
      </c>
      <c r="O122" s="33">
        <f>ROUND(H122*1.65, 2)</f>
      </c>
      <c r="P122" s="33">
        <f>SUM(I122:O122)</f>
      </c>
      <c r="Q122" s="33">
        <f>ROUND(H122*1.5, 2)</f>
      </c>
      <c r="R122" s="33">
        <f>ROUND(H122*2.0, 2)</f>
      </c>
      <c r="S122" s="14">
        <f>IF(F122&lt;=R122, "TRIGGER INDENT", "STOCK HEALTHY")</f>
      </c>
      <c r="T122" s="33">
        <f>IF(F122&lt;=R122, ROUND(MAX(H122, (I122+Q122)-F122), 2), 0)</f>
      </c>
    </row>
    <row r="123" ht="20" customHeight="1" spans="1:20" x14ac:dyDescent="0.25">
      <c r="A123" s="12" t="s">
        <v>407</v>
      </c>
      <c r="B123" s="12" t="s">
        <v>408</v>
      </c>
      <c r="C123" s="12" t="s">
        <v>189</v>
      </c>
      <c r="D123" s="12" t="s">
        <v>138</v>
      </c>
      <c r="E123" s="30">
        <v>20</v>
      </c>
      <c r="F123" s="31">
        <v>64</v>
      </c>
      <c r="G123" s="12" t="s">
        <v>149</v>
      </c>
      <c r="H123" s="31">
        <v>7.68</v>
      </c>
      <c r="I123" s="31">
        <f>ROUND(H123*1.0, 2)</f>
      </c>
      <c r="J123" s="31">
        <f>ROUND(H123*0.95, 2)</f>
      </c>
      <c r="K123" s="31">
        <f>ROUND(H123*0.95, 2)</f>
      </c>
      <c r="L123" s="31">
        <f>ROUND(H123*1.05, 2)</f>
      </c>
      <c r="M123" s="31">
        <f>ROUND(H123*1.25, 2)</f>
      </c>
      <c r="N123" s="31">
        <f>ROUND(H123*1.55, 2)</f>
      </c>
      <c r="O123" s="31">
        <f>ROUND(H123*1.65, 2)</f>
      </c>
      <c r="P123" s="31">
        <f>SUM(I123:O123)</f>
      </c>
      <c r="Q123" s="31">
        <f>ROUND(H123*1.5, 2)</f>
      </c>
      <c r="R123" s="31">
        <f>ROUND(H123*2.0, 2)</f>
      </c>
      <c r="S123" s="12">
        <f>IF(F123&lt;=R123, "TRIGGER INDENT", "STOCK HEALTHY")</f>
      </c>
      <c r="T123" s="31">
        <f>IF(F123&lt;=R123, ROUND(MAX(H123, (I123+Q123)-F123), 2), 0)</f>
      </c>
    </row>
    <row r="124" ht="20" customHeight="1" spans="1:20" x14ac:dyDescent="0.25">
      <c r="A124" s="14" t="s">
        <v>409</v>
      </c>
      <c r="B124" s="14" t="s">
        <v>410</v>
      </c>
      <c r="C124" s="14" t="s">
        <v>152</v>
      </c>
      <c r="D124" s="14" t="s">
        <v>198</v>
      </c>
      <c r="E124" s="32">
        <v>495</v>
      </c>
      <c r="F124" s="33">
        <v>24</v>
      </c>
      <c r="G124" s="14" t="s">
        <v>154</v>
      </c>
      <c r="H124" s="33">
        <v>4.8</v>
      </c>
      <c r="I124" s="33">
        <f>ROUND(H124*1.0, 2)</f>
      </c>
      <c r="J124" s="33">
        <f>ROUND(H124*0.95, 2)</f>
      </c>
      <c r="K124" s="33">
        <f>ROUND(H124*0.95, 2)</f>
      </c>
      <c r="L124" s="33">
        <f>ROUND(H124*1.05, 2)</f>
      </c>
      <c r="M124" s="33">
        <f>ROUND(H124*1.25, 2)</f>
      </c>
      <c r="N124" s="33">
        <f>ROUND(H124*1.55, 2)</f>
      </c>
      <c r="O124" s="33">
        <f>ROUND(H124*1.65, 2)</f>
      </c>
      <c r="P124" s="33">
        <f>SUM(I124:O124)</f>
      </c>
      <c r="Q124" s="33">
        <f>ROUND(H124*1.5, 2)</f>
      </c>
      <c r="R124" s="33">
        <f>ROUND(H124*2.0, 2)</f>
      </c>
      <c r="S124" s="14">
        <f>IF(F124&lt;=R124, "TRIGGER INDENT", "STOCK HEALTHY")</f>
      </c>
      <c r="T124" s="33">
        <f>IF(F124&lt;=R124, ROUND(MAX(H124, (I124+Q124)-F124), 2), 0)</f>
      </c>
    </row>
    <row r="125" ht="20" customHeight="1" spans="1:20" x14ac:dyDescent="0.25">
      <c r="A125" s="12" t="s">
        <v>411</v>
      </c>
      <c r="B125" s="12" t="s">
        <v>412</v>
      </c>
      <c r="C125" s="12" t="s">
        <v>137</v>
      </c>
      <c r="D125" s="12" t="s">
        <v>153</v>
      </c>
      <c r="E125" s="30">
        <v>75</v>
      </c>
      <c r="F125" s="31">
        <v>464</v>
      </c>
      <c r="G125" s="12" t="s">
        <v>139</v>
      </c>
      <c r="H125" s="31">
        <v>37.12</v>
      </c>
      <c r="I125" s="31">
        <f>ROUND(H125*1.0, 2)</f>
      </c>
      <c r="J125" s="31">
        <f>ROUND(H125*0.95, 2)</f>
      </c>
      <c r="K125" s="31">
        <f>ROUND(H125*0.95, 2)</f>
      </c>
      <c r="L125" s="31">
        <f>ROUND(H125*1.05, 2)</f>
      </c>
      <c r="M125" s="31">
        <f>ROUND(H125*1.25, 2)</f>
      </c>
      <c r="N125" s="31">
        <f>ROUND(H125*1.55, 2)</f>
      </c>
      <c r="O125" s="31">
        <f>ROUND(H125*1.65, 2)</f>
      </c>
      <c r="P125" s="31">
        <f>SUM(I125:O125)</f>
      </c>
      <c r="Q125" s="31">
        <f>ROUND(H125*1.5, 2)</f>
      </c>
      <c r="R125" s="31">
        <f>ROUND(H125*2.0, 2)</f>
      </c>
      <c r="S125" s="12">
        <f>IF(F125&lt;=R125, "TRIGGER INDENT", "STOCK HEALTHY")</f>
      </c>
      <c r="T125" s="31">
        <f>IF(F125&lt;=R125, ROUND(MAX(H125, (I125+Q125)-F125), 2), 0)</f>
      </c>
    </row>
    <row r="126" ht="20" customHeight="1" spans="1:20" x14ac:dyDescent="0.25">
      <c r="A126" s="14" t="s">
        <v>413</v>
      </c>
      <c r="B126" s="14" t="s">
        <v>414</v>
      </c>
      <c r="C126" s="14" t="s">
        <v>415</v>
      </c>
      <c r="D126" s="14" t="s">
        <v>153</v>
      </c>
      <c r="E126" s="32">
        <v>116.61000061035156</v>
      </c>
      <c r="F126" s="33">
        <v>360</v>
      </c>
      <c r="G126" s="14" t="s">
        <v>190</v>
      </c>
      <c r="H126" s="33">
        <v>28.8</v>
      </c>
      <c r="I126" s="33">
        <f>ROUND(H126*1.0, 2)</f>
      </c>
      <c r="J126" s="33">
        <f>ROUND(H126*0.95, 2)</f>
      </c>
      <c r="K126" s="33">
        <f>ROUND(H126*0.95, 2)</f>
      </c>
      <c r="L126" s="33">
        <f>ROUND(H126*1.05, 2)</f>
      </c>
      <c r="M126" s="33">
        <f>ROUND(H126*1.25, 2)</f>
      </c>
      <c r="N126" s="33">
        <f>ROUND(H126*1.55, 2)</f>
      </c>
      <c r="O126" s="33">
        <f>ROUND(H126*1.65, 2)</f>
      </c>
      <c r="P126" s="33">
        <f>SUM(I126:O126)</f>
      </c>
      <c r="Q126" s="33">
        <f>ROUND(H126*1.5, 2)</f>
      </c>
      <c r="R126" s="33">
        <f>ROUND(H126*2.0, 2)</f>
      </c>
      <c r="S126" s="14">
        <f>IF(F126&lt;=R126, "TRIGGER INDENT", "STOCK HEALTHY")</f>
      </c>
      <c r="T126" s="33">
        <f>IF(F126&lt;=R126, ROUND(MAX(H126, (I126+Q126)-F126), 2), 0)</f>
      </c>
    </row>
    <row r="127" ht="20" customHeight="1" spans="1:20" x14ac:dyDescent="0.25">
      <c r="A127" s="12" t="s">
        <v>416</v>
      </c>
      <c r="B127" s="12" t="s">
        <v>417</v>
      </c>
      <c r="C127" s="12" t="s">
        <v>240</v>
      </c>
      <c r="D127" s="12" t="s">
        <v>138</v>
      </c>
      <c r="E127" s="30">
        <v>32.619998931884766</v>
      </c>
      <c r="F127" s="31">
        <v>96</v>
      </c>
      <c r="G127" s="12" t="s">
        <v>177</v>
      </c>
      <c r="H127" s="31">
        <v>11.52</v>
      </c>
      <c r="I127" s="31">
        <f>ROUND(H127*1.0, 2)</f>
      </c>
      <c r="J127" s="31">
        <f>ROUND(H127*0.95, 2)</f>
      </c>
      <c r="K127" s="31">
        <f>ROUND(H127*0.95, 2)</f>
      </c>
      <c r="L127" s="31">
        <f>ROUND(H127*1.05, 2)</f>
      </c>
      <c r="M127" s="31">
        <f>ROUND(H127*1.25, 2)</f>
      </c>
      <c r="N127" s="31">
        <f>ROUND(H127*1.55, 2)</f>
      </c>
      <c r="O127" s="31">
        <f>ROUND(H127*1.65, 2)</f>
      </c>
      <c r="P127" s="31">
        <f>SUM(I127:O127)</f>
      </c>
      <c r="Q127" s="31">
        <f>ROUND(H127*1.5, 2)</f>
      </c>
      <c r="R127" s="31">
        <f>ROUND(H127*2.0, 2)</f>
      </c>
      <c r="S127" s="12">
        <f>IF(F127&lt;=R127, "TRIGGER INDENT", "STOCK HEALTHY")</f>
      </c>
      <c r="T127" s="31">
        <f>IF(F127&lt;=R127, ROUND(MAX(H127, (I127+Q127)-F127), 2), 0)</f>
      </c>
    </row>
    <row r="128" ht="20" customHeight="1" spans="1:20" x14ac:dyDescent="0.25">
      <c r="A128" s="14" t="s">
        <v>418</v>
      </c>
      <c r="B128" s="14" t="s">
        <v>419</v>
      </c>
      <c r="C128" s="14" t="s">
        <v>324</v>
      </c>
      <c r="D128" s="14" t="s">
        <v>153</v>
      </c>
      <c r="E128" s="32">
        <v>718.1900024414062</v>
      </c>
      <c r="F128" s="33">
        <v>180</v>
      </c>
      <c r="G128" s="14" t="s">
        <v>142</v>
      </c>
      <c r="H128" s="33">
        <v>21.6</v>
      </c>
      <c r="I128" s="33">
        <f>ROUND(H128*1.0, 2)</f>
      </c>
      <c r="J128" s="33">
        <f>ROUND(H128*0.95, 2)</f>
      </c>
      <c r="K128" s="33">
        <f>ROUND(H128*0.95, 2)</f>
      </c>
      <c r="L128" s="33">
        <f>ROUND(H128*1.05, 2)</f>
      </c>
      <c r="M128" s="33">
        <f>ROUND(H128*1.25, 2)</f>
      </c>
      <c r="N128" s="33">
        <f>ROUND(H128*1.55, 2)</f>
      </c>
      <c r="O128" s="33">
        <f>ROUND(H128*1.65, 2)</f>
      </c>
      <c r="P128" s="33">
        <f>SUM(I128:O128)</f>
      </c>
      <c r="Q128" s="33">
        <f>ROUND(H128*1.5, 2)</f>
      </c>
      <c r="R128" s="33">
        <f>ROUND(H128*2.0, 2)</f>
      </c>
      <c r="S128" s="14">
        <f>IF(F128&lt;=R128, "TRIGGER INDENT", "STOCK HEALTHY")</f>
      </c>
      <c r="T128" s="33">
        <f>IF(F128&lt;=R128, ROUND(MAX(H128, (I128+Q128)-F128), 2), 0)</f>
      </c>
    </row>
    <row r="129" ht="20" customHeight="1" spans="1:20" x14ac:dyDescent="0.25">
      <c r="A129" s="12" t="s">
        <v>420</v>
      </c>
      <c r="B129" s="12" t="s">
        <v>421</v>
      </c>
      <c r="C129" s="12" t="s">
        <v>415</v>
      </c>
      <c r="D129" s="12" t="s">
        <v>153</v>
      </c>
      <c r="E129" s="30">
        <v>81.94999694824219</v>
      </c>
      <c r="F129" s="31">
        <v>213.60004</v>
      </c>
      <c r="G129" s="12" t="s">
        <v>190</v>
      </c>
      <c r="H129" s="31">
        <v>17.09</v>
      </c>
      <c r="I129" s="31">
        <f>ROUND(H129*1.0, 2)</f>
      </c>
      <c r="J129" s="31">
        <f>ROUND(H129*0.95, 2)</f>
      </c>
      <c r="K129" s="31">
        <f>ROUND(H129*0.95, 2)</f>
      </c>
      <c r="L129" s="31">
        <f>ROUND(H129*1.05, 2)</f>
      </c>
      <c r="M129" s="31">
        <f>ROUND(H129*1.25, 2)</f>
      </c>
      <c r="N129" s="31">
        <f>ROUND(H129*1.55, 2)</f>
      </c>
      <c r="O129" s="31">
        <f>ROUND(H129*1.65, 2)</f>
      </c>
      <c r="P129" s="31">
        <f>SUM(I129:O129)</f>
      </c>
      <c r="Q129" s="31">
        <f>ROUND(H129*1.5, 2)</f>
      </c>
      <c r="R129" s="31">
        <f>ROUND(H129*2.0, 2)</f>
      </c>
      <c r="S129" s="12">
        <f>IF(F129&lt;=R129, "TRIGGER INDENT", "STOCK HEALTHY")</f>
      </c>
      <c r="T129" s="31">
        <f>IF(F129&lt;=R129, ROUND(MAX(H129, (I129+Q129)-F129), 2), 0)</f>
      </c>
    </row>
    <row r="130" ht="20" customHeight="1" spans="1:20" x14ac:dyDescent="0.25">
      <c r="A130" s="14" t="s">
        <v>422</v>
      </c>
      <c r="B130" s="14" t="s">
        <v>423</v>
      </c>
      <c r="C130" s="14" t="s">
        <v>152</v>
      </c>
      <c r="D130" s="14" t="s">
        <v>153</v>
      </c>
      <c r="E130" s="32">
        <v>411.8299865722656</v>
      </c>
      <c r="F130" s="33">
        <v>32</v>
      </c>
      <c r="G130" s="14" t="s">
        <v>149</v>
      </c>
      <c r="H130" s="33">
        <v>6.4</v>
      </c>
      <c r="I130" s="33">
        <f>ROUND(H130*1.0, 2)</f>
      </c>
      <c r="J130" s="33">
        <f>ROUND(H130*0.95, 2)</f>
      </c>
      <c r="K130" s="33">
        <f>ROUND(H130*0.95, 2)</f>
      </c>
      <c r="L130" s="33">
        <f>ROUND(H130*1.05, 2)</f>
      </c>
      <c r="M130" s="33">
        <f>ROUND(H130*1.25, 2)</f>
      </c>
      <c r="N130" s="33">
        <f>ROUND(H130*1.55, 2)</f>
      </c>
      <c r="O130" s="33">
        <f>ROUND(H130*1.65, 2)</f>
      </c>
      <c r="P130" s="33">
        <f>SUM(I130:O130)</f>
      </c>
      <c r="Q130" s="33">
        <f>ROUND(H130*1.5, 2)</f>
      </c>
      <c r="R130" s="33">
        <f>ROUND(H130*2.0, 2)</f>
      </c>
      <c r="S130" s="14">
        <f>IF(F130&lt;=R130, "TRIGGER INDENT", "STOCK HEALTHY")</f>
      </c>
      <c r="T130" s="33">
        <f>IF(F130&lt;=R130, ROUND(MAX(H130, (I130+Q130)-F130), 2), 0)</f>
      </c>
    </row>
    <row r="131" ht="20" customHeight="1" spans="1:20" x14ac:dyDescent="0.25">
      <c r="A131" s="12" t="s">
        <v>424</v>
      </c>
      <c r="B131" s="12" t="s">
        <v>425</v>
      </c>
      <c r="C131" s="12" t="s">
        <v>147</v>
      </c>
      <c r="D131" s="12" t="s">
        <v>148</v>
      </c>
      <c r="E131" s="30">
        <v>219.2899932861328</v>
      </c>
      <c r="F131" s="31">
        <v>32</v>
      </c>
      <c r="G131" s="12" t="s">
        <v>177</v>
      </c>
      <c r="H131" s="31">
        <v>6.4</v>
      </c>
      <c r="I131" s="31">
        <f>ROUND(H131*1.0, 2)</f>
      </c>
      <c r="J131" s="31">
        <f>ROUND(H131*0.95, 2)</f>
      </c>
      <c r="K131" s="31">
        <f>ROUND(H131*0.95, 2)</f>
      </c>
      <c r="L131" s="31">
        <f>ROUND(H131*1.05, 2)</f>
      </c>
      <c r="M131" s="31">
        <f>ROUND(H131*1.25, 2)</f>
      </c>
      <c r="N131" s="31">
        <f>ROUND(H131*1.55, 2)</f>
      </c>
      <c r="O131" s="31">
        <f>ROUND(H131*1.65, 2)</f>
      </c>
      <c r="P131" s="31">
        <f>SUM(I131:O131)</f>
      </c>
      <c r="Q131" s="31">
        <f>ROUND(H131*1.5, 2)</f>
      </c>
      <c r="R131" s="31">
        <f>ROUND(H131*2.0, 2)</f>
      </c>
      <c r="S131" s="12">
        <f>IF(F131&lt;=R131, "TRIGGER INDENT", "STOCK HEALTHY")</f>
      </c>
      <c r="T131" s="31">
        <f>IF(F131&lt;=R131, ROUND(MAX(H131, (I131+Q131)-F131), 2), 0)</f>
      </c>
    </row>
    <row r="132" ht="20" customHeight="1" spans="1:20" x14ac:dyDescent="0.25">
      <c r="A132" s="14" t="s">
        <v>426</v>
      </c>
      <c r="B132" s="14" t="s">
        <v>427</v>
      </c>
      <c r="C132" s="14" t="s">
        <v>257</v>
      </c>
      <c r="D132" s="14" t="s">
        <v>325</v>
      </c>
      <c r="E132" s="32">
        <v>73.69000244140625</v>
      </c>
      <c r="F132" s="33">
        <v>280</v>
      </c>
      <c r="G132" s="14" t="s">
        <v>177</v>
      </c>
      <c r="H132" s="33">
        <v>22.4</v>
      </c>
      <c r="I132" s="33">
        <f>ROUND(H132*1.0, 2)</f>
      </c>
      <c r="J132" s="33">
        <f>ROUND(H132*0.95, 2)</f>
      </c>
      <c r="K132" s="33">
        <f>ROUND(H132*0.95, 2)</f>
      </c>
      <c r="L132" s="33">
        <f>ROUND(H132*1.05, 2)</f>
      </c>
      <c r="M132" s="33">
        <f>ROUND(H132*1.25, 2)</f>
      </c>
      <c r="N132" s="33">
        <f>ROUND(H132*1.55, 2)</f>
      </c>
      <c r="O132" s="33">
        <f>ROUND(H132*1.65, 2)</f>
      </c>
      <c r="P132" s="33">
        <f>SUM(I132:O132)</f>
      </c>
      <c r="Q132" s="33">
        <f>ROUND(H132*1.5, 2)</f>
      </c>
      <c r="R132" s="33">
        <f>ROUND(H132*2.0, 2)</f>
      </c>
      <c r="S132" s="14">
        <f>IF(F132&lt;=R132, "TRIGGER INDENT", "STOCK HEALTHY")</f>
      </c>
      <c r="T132" s="33">
        <f>IF(F132&lt;=R132, ROUND(MAX(H132, (I132+Q132)-F132), 2), 0)</f>
      </c>
    </row>
    <row r="133" ht="20" customHeight="1" spans="1:20" x14ac:dyDescent="0.25">
      <c r="A133" s="12" t="s">
        <v>428</v>
      </c>
      <c r="B133" s="12" t="s">
        <v>429</v>
      </c>
      <c r="C133" s="12" t="s">
        <v>170</v>
      </c>
      <c r="D133" s="12" t="s">
        <v>138</v>
      </c>
      <c r="E133" s="30">
        <v>110.29000091552734</v>
      </c>
      <c r="F133" s="31">
        <v>224</v>
      </c>
      <c r="G133" s="12" t="s">
        <v>186</v>
      </c>
      <c r="H133" s="31">
        <v>17.92</v>
      </c>
      <c r="I133" s="31">
        <f>ROUND(H133*1.0, 2)</f>
      </c>
      <c r="J133" s="31">
        <f>ROUND(H133*0.95, 2)</f>
      </c>
      <c r="K133" s="31">
        <f>ROUND(H133*0.95, 2)</f>
      </c>
      <c r="L133" s="31">
        <f>ROUND(H133*1.05, 2)</f>
      </c>
      <c r="M133" s="31">
        <f>ROUND(H133*1.25, 2)</f>
      </c>
      <c r="N133" s="31">
        <f>ROUND(H133*1.55, 2)</f>
      </c>
      <c r="O133" s="31">
        <f>ROUND(H133*1.65, 2)</f>
      </c>
      <c r="P133" s="31">
        <f>SUM(I133:O133)</f>
      </c>
      <c r="Q133" s="31">
        <f>ROUND(H133*1.5, 2)</f>
      </c>
      <c r="R133" s="31">
        <f>ROUND(H133*2.0, 2)</f>
      </c>
      <c r="S133" s="12">
        <f>IF(F133&lt;=R133, "TRIGGER INDENT", "STOCK HEALTHY")</f>
      </c>
      <c r="T133" s="31">
        <f>IF(F133&lt;=R133, ROUND(MAX(H133, (I133+Q133)-F133), 2), 0)</f>
      </c>
    </row>
    <row r="134" ht="20" customHeight="1" spans="1:20" x14ac:dyDescent="0.25">
      <c r="A134" s="14" t="s">
        <v>430</v>
      </c>
      <c r="B134" s="14" t="s">
        <v>431</v>
      </c>
      <c r="C134" s="14" t="s">
        <v>170</v>
      </c>
      <c r="D134" s="14" t="s">
        <v>138</v>
      </c>
      <c r="E134" s="32">
        <v>77.62999725341797</v>
      </c>
      <c r="F134" s="33">
        <v>224</v>
      </c>
      <c r="G134" s="14" t="s">
        <v>186</v>
      </c>
      <c r="H134" s="33">
        <v>17.92</v>
      </c>
      <c r="I134" s="33">
        <f>ROUND(H134*1.0, 2)</f>
      </c>
      <c r="J134" s="33">
        <f>ROUND(H134*0.95, 2)</f>
      </c>
      <c r="K134" s="33">
        <f>ROUND(H134*0.95, 2)</f>
      </c>
      <c r="L134" s="33">
        <f>ROUND(H134*1.05, 2)</f>
      </c>
      <c r="M134" s="33">
        <f>ROUND(H134*1.25, 2)</f>
      </c>
      <c r="N134" s="33">
        <f>ROUND(H134*1.55, 2)</f>
      </c>
      <c r="O134" s="33">
        <f>ROUND(H134*1.65, 2)</f>
      </c>
      <c r="P134" s="33">
        <f>SUM(I134:O134)</f>
      </c>
      <c r="Q134" s="33">
        <f>ROUND(H134*1.5, 2)</f>
      </c>
      <c r="R134" s="33">
        <f>ROUND(H134*2.0, 2)</f>
      </c>
      <c r="S134" s="14">
        <f>IF(F134&lt;=R134, "TRIGGER INDENT", "STOCK HEALTHY")</f>
      </c>
      <c r="T134" s="33">
        <f>IF(F134&lt;=R134, ROUND(MAX(H134, (I134+Q134)-F134), 2), 0)</f>
      </c>
    </row>
    <row r="135" ht="20" customHeight="1" spans="1:20" x14ac:dyDescent="0.25">
      <c r="A135" s="12" t="s">
        <v>432</v>
      </c>
      <c r="B135" s="12" t="s">
        <v>433</v>
      </c>
      <c r="C135" s="12" t="s">
        <v>211</v>
      </c>
      <c r="D135" s="12" t="s">
        <v>153</v>
      </c>
      <c r="E135" s="30">
        <v>63.5</v>
      </c>
      <c r="F135" s="31">
        <v>992</v>
      </c>
      <c r="G135" s="12" t="s">
        <v>154</v>
      </c>
      <c r="H135" s="31">
        <v>79.36</v>
      </c>
      <c r="I135" s="31">
        <f>ROUND(H135*1.0, 2)</f>
      </c>
      <c r="J135" s="31">
        <f>ROUND(H135*0.95, 2)</f>
      </c>
      <c r="K135" s="31">
        <f>ROUND(H135*0.95, 2)</f>
      </c>
      <c r="L135" s="31">
        <f>ROUND(H135*1.05, 2)</f>
      </c>
      <c r="M135" s="31">
        <f>ROUND(H135*1.25, 2)</f>
      </c>
      <c r="N135" s="31">
        <f>ROUND(H135*1.55, 2)</f>
      </c>
      <c r="O135" s="31">
        <f>ROUND(H135*1.65, 2)</f>
      </c>
      <c r="P135" s="31">
        <f>SUM(I135:O135)</f>
      </c>
      <c r="Q135" s="31">
        <f>ROUND(H135*1.5, 2)</f>
      </c>
      <c r="R135" s="31">
        <f>ROUND(H135*2.0, 2)</f>
      </c>
      <c r="S135" s="12">
        <f>IF(F135&lt;=R135, "TRIGGER INDENT", "STOCK HEALTHY")</f>
      </c>
      <c r="T135" s="31">
        <f>IF(F135&lt;=R135, ROUND(MAX(H135, (I135+Q135)-F135), 2), 0)</f>
      </c>
    </row>
    <row r="136" ht="20" customHeight="1" spans="1:20" x14ac:dyDescent="0.25">
      <c r="A136" s="14" t="s">
        <v>434</v>
      </c>
      <c r="B136" s="14" t="s">
        <v>435</v>
      </c>
      <c r="C136" s="14" t="s">
        <v>436</v>
      </c>
      <c r="D136" s="14" t="s">
        <v>148</v>
      </c>
      <c r="E136" s="32">
        <v>37.08000183105469</v>
      </c>
      <c r="F136" s="33">
        <v>240</v>
      </c>
      <c r="G136" s="14" t="s">
        <v>190</v>
      </c>
      <c r="H136" s="33">
        <v>19.2</v>
      </c>
      <c r="I136" s="33">
        <f>ROUND(H136*1.0, 2)</f>
      </c>
      <c r="J136" s="33">
        <f>ROUND(H136*0.95, 2)</f>
      </c>
      <c r="K136" s="33">
        <f>ROUND(H136*0.95, 2)</f>
      </c>
      <c r="L136" s="33">
        <f>ROUND(H136*1.05, 2)</f>
      </c>
      <c r="M136" s="33">
        <f>ROUND(H136*1.25, 2)</f>
      </c>
      <c r="N136" s="33">
        <f>ROUND(H136*1.55, 2)</f>
      </c>
      <c r="O136" s="33">
        <f>ROUND(H136*1.65, 2)</f>
      </c>
      <c r="P136" s="33">
        <f>SUM(I136:O136)</f>
      </c>
      <c r="Q136" s="33">
        <f>ROUND(H136*1.5, 2)</f>
      </c>
      <c r="R136" s="33">
        <f>ROUND(H136*2.0, 2)</f>
      </c>
      <c r="S136" s="14">
        <f>IF(F136&lt;=R136, "TRIGGER INDENT", "STOCK HEALTHY")</f>
      </c>
      <c r="T136" s="33">
        <f>IF(F136&lt;=R136, ROUND(MAX(H136, (I136+Q136)-F136), 2), 0)</f>
      </c>
    </row>
    <row r="137" ht="20" customHeight="1" spans="1:20" x14ac:dyDescent="0.25">
      <c r="A137" s="12" t="s">
        <v>437</v>
      </c>
      <c r="B137" s="12" t="s">
        <v>438</v>
      </c>
      <c r="C137" s="12" t="s">
        <v>147</v>
      </c>
      <c r="D137" s="12" t="s">
        <v>148</v>
      </c>
      <c r="E137" s="30">
        <v>280</v>
      </c>
      <c r="F137" s="31">
        <v>80</v>
      </c>
      <c r="G137" s="12" t="s">
        <v>177</v>
      </c>
      <c r="H137" s="31">
        <v>9.6</v>
      </c>
      <c r="I137" s="31">
        <f>ROUND(H137*1.0, 2)</f>
      </c>
      <c r="J137" s="31">
        <f>ROUND(H137*0.95, 2)</f>
      </c>
      <c r="K137" s="31">
        <f>ROUND(H137*0.95, 2)</f>
      </c>
      <c r="L137" s="31">
        <f>ROUND(H137*1.05, 2)</f>
      </c>
      <c r="M137" s="31">
        <f>ROUND(H137*1.25, 2)</f>
      </c>
      <c r="N137" s="31">
        <f>ROUND(H137*1.55, 2)</f>
      </c>
      <c r="O137" s="31">
        <f>ROUND(H137*1.65, 2)</f>
      </c>
      <c r="P137" s="31">
        <f>SUM(I137:O137)</f>
      </c>
      <c r="Q137" s="31">
        <f>ROUND(H137*1.5, 2)</f>
      </c>
      <c r="R137" s="31">
        <f>ROUND(H137*2.0, 2)</f>
      </c>
      <c r="S137" s="12">
        <f>IF(F137&lt;=R137, "TRIGGER INDENT", "STOCK HEALTHY")</f>
      </c>
      <c r="T137" s="31">
        <f>IF(F137&lt;=R137, ROUND(MAX(H137, (I137+Q137)-F137), 2), 0)</f>
      </c>
    </row>
    <row r="138" ht="20" customHeight="1" spans="1:20" x14ac:dyDescent="0.25">
      <c r="A138" s="14" t="s">
        <v>439</v>
      </c>
      <c r="B138" s="14" t="s">
        <v>440</v>
      </c>
      <c r="C138" s="14" t="s">
        <v>170</v>
      </c>
      <c r="D138" s="14" t="s">
        <v>153</v>
      </c>
      <c r="E138" s="32">
        <v>150</v>
      </c>
      <c r="F138" s="33">
        <v>1.5100002</v>
      </c>
      <c r="G138" s="14" t="s">
        <v>177</v>
      </c>
      <c r="H138" s="33">
        <v>1</v>
      </c>
      <c r="I138" s="33">
        <f>ROUND(H138*1.0, 2)</f>
      </c>
      <c r="J138" s="33">
        <f>ROUND(H138*0.95, 2)</f>
      </c>
      <c r="K138" s="33">
        <f>ROUND(H138*0.95, 2)</f>
      </c>
      <c r="L138" s="33">
        <f>ROUND(H138*1.05, 2)</f>
      </c>
      <c r="M138" s="33">
        <f>ROUND(H138*1.25, 2)</f>
      </c>
      <c r="N138" s="33">
        <f>ROUND(H138*1.55, 2)</f>
      </c>
      <c r="O138" s="33">
        <f>ROUND(H138*1.65, 2)</f>
      </c>
      <c r="P138" s="33">
        <f>SUM(I138:O138)</f>
      </c>
      <c r="Q138" s="33">
        <f>ROUND(H138*1.5, 2)</f>
      </c>
      <c r="R138" s="33">
        <f>ROUND(H138*2.0, 2)</f>
      </c>
      <c r="S138" s="14">
        <f>IF(F138&lt;=R138, "TRIGGER INDENT", "STOCK HEALTHY")</f>
      </c>
      <c r="T138" s="33">
        <f>IF(F138&lt;=R138, ROUND(MAX(H138, (I138+Q138)-F138), 2), 0)</f>
      </c>
    </row>
    <row r="139" ht="20" customHeight="1" spans="1:20" x14ac:dyDescent="0.25">
      <c r="A139" s="12" t="s">
        <v>441</v>
      </c>
      <c r="B139" s="12" t="s">
        <v>442</v>
      </c>
      <c r="C139" s="12" t="s">
        <v>137</v>
      </c>
      <c r="D139" s="12" t="s">
        <v>198</v>
      </c>
      <c r="E139" s="30">
        <v>50</v>
      </c>
      <c r="F139" s="31">
        <v>160</v>
      </c>
      <c r="G139" s="12" t="s">
        <v>139</v>
      </c>
      <c r="H139" s="31">
        <v>19.2</v>
      </c>
      <c r="I139" s="31">
        <f>ROUND(H139*1.0, 2)</f>
      </c>
      <c r="J139" s="31">
        <f>ROUND(H139*0.95, 2)</f>
      </c>
      <c r="K139" s="31">
        <f>ROUND(H139*0.95, 2)</f>
      </c>
      <c r="L139" s="31">
        <f>ROUND(H139*1.05, 2)</f>
      </c>
      <c r="M139" s="31">
        <f>ROUND(H139*1.25, 2)</f>
      </c>
      <c r="N139" s="31">
        <f>ROUND(H139*1.55, 2)</f>
      </c>
      <c r="O139" s="31">
        <f>ROUND(H139*1.65, 2)</f>
      </c>
      <c r="P139" s="31">
        <f>SUM(I139:O139)</f>
      </c>
      <c r="Q139" s="31">
        <f>ROUND(H139*1.5, 2)</f>
      </c>
      <c r="R139" s="31">
        <f>ROUND(H139*2.0, 2)</f>
      </c>
      <c r="S139" s="12">
        <f>IF(F139&lt;=R139, "TRIGGER INDENT", "STOCK HEALTHY")</f>
      </c>
      <c r="T139" s="31">
        <f>IF(F139&lt;=R139, ROUND(MAX(H139, (I139+Q139)-F139), 2), 0)</f>
      </c>
    </row>
    <row r="140" ht="20" customHeight="1" spans="1:20" x14ac:dyDescent="0.25">
      <c r="A140" s="14" t="s">
        <v>443</v>
      </c>
      <c r="B140" s="14" t="s">
        <v>444</v>
      </c>
      <c r="C140" s="14" t="s">
        <v>399</v>
      </c>
      <c r="D140" s="14" t="s">
        <v>325</v>
      </c>
      <c r="E140" s="32">
        <v>60.47999954223633</v>
      </c>
      <c r="F140" s="33">
        <v>352</v>
      </c>
      <c r="G140" s="14" t="s">
        <v>160</v>
      </c>
      <c r="H140" s="33">
        <v>28.16</v>
      </c>
      <c r="I140" s="33">
        <f>ROUND(H140*1.0, 2)</f>
      </c>
      <c r="J140" s="33">
        <f>ROUND(H140*0.95, 2)</f>
      </c>
      <c r="K140" s="33">
        <f>ROUND(H140*0.95, 2)</f>
      </c>
      <c r="L140" s="33">
        <f>ROUND(H140*1.05, 2)</f>
      </c>
      <c r="M140" s="33">
        <f>ROUND(H140*1.25, 2)</f>
      </c>
      <c r="N140" s="33">
        <f>ROUND(H140*1.55, 2)</f>
      </c>
      <c r="O140" s="33">
        <f>ROUND(H140*1.65, 2)</f>
      </c>
      <c r="P140" s="33">
        <f>SUM(I140:O140)</f>
      </c>
      <c r="Q140" s="33">
        <f>ROUND(H140*1.5, 2)</f>
      </c>
      <c r="R140" s="33">
        <f>ROUND(H140*2.0, 2)</f>
      </c>
      <c r="S140" s="14">
        <f>IF(F140&lt;=R140, "TRIGGER INDENT", "STOCK HEALTHY")</f>
      </c>
      <c r="T140" s="33">
        <f>IF(F140&lt;=R140, ROUND(MAX(H140, (I140+Q140)-F140), 2), 0)</f>
      </c>
    </row>
    <row r="141" ht="20" customHeight="1" spans="1:20" x14ac:dyDescent="0.25">
      <c r="A141" s="12" t="s">
        <v>445</v>
      </c>
      <c r="B141" s="12" t="s">
        <v>446</v>
      </c>
      <c r="C141" s="12" t="s">
        <v>399</v>
      </c>
      <c r="D141" s="12" t="s">
        <v>325</v>
      </c>
      <c r="E141" s="30">
        <v>40</v>
      </c>
      <c r="F141" s="31">
        <v>1328</v>
      </c>
      <c r="G141" s="12" t="s">
        <v>160</v>
      </c>
      <c r="H141" s="31">
        <v>66.4</v>
      </c>
      <c r="I141" s="31">
        <f>ROUND(H141*1.0, 2)</f>
      </c>
      <c r="J141" s="31">
        <f>ROUND(H141*0.95, 2)</f>
      </c>
      <c r="K141" s="31">
        <f>ROUND(H141*0.95, 2)</f>
      </c>
      <c r="L141" s="31">
        <f>ROUND(H141*1.05, 2)</f>
      </c>
      <c r="M141" s="31">
        <f>ROUND(H141*1.25, 2)</f>
      </c>
      <c r="N141" s="31">
        <f>ROUND(H141*1.55, 2)</f>
      </c>
      <c r="O141" s="31">
        <f>ROUND(H141*1.65, 2)</f>
      </c>
      <c r="P141" s="31">
        <f>SUM(I141:O141)</f>
      </c>
      <c r="Q141" s="31">
        <f>ROUND(H141*1.5, 2)</f>
      </c>
      <c r="R141" s="31">
        <f>ROUND(H141*2.0, 2)</f>
      </c>
      <c r="S141" s="12">
        <f>IF(F141&lt;=R141, "TRIGGER INDENT", "STOCK HEALTHY")</f>
      </c>
      <c r="T141" s="31">
        <f>IF(F141&lt;=R141, ROUND(MAX(H141, (I141+Q141)-F141), 2), 0)</f>
      </c>
    </row>
    <row r="142" ht="20" customHeight="1" spans="1:20" x14ac:dyDescent="0.25">
      <c r="A142" s="14" t="s">
        <v>447</v>
      </c>
      <c r="B142" s="14" t="s">
        <v>448</v>
      </c>
      <c r="C142" s="14" t="s">
        <v>170</v>
      </c>
      <c r="D142" s="14" t="s">
        <v>449</v>
      </c>
      <c r="E142" s="32">
        <v>520</v>
      </c>
      <c r="F142" s="33">
        <v>48</v>
      </c>
      <c r="G142" s="14" t="s">
        <v>177</v>
      </c>
      <c r="H142" s="33">
        <v>9.6</v>
      </c>
      <c r="I142" s="33">
        <f>ROUND(H142*1.0, 2)</f>
      </c>
      <c r="J142" s="33">
        <f>ROUND(H142*0.95, 2)</f>
      </c>
      <c r="K142" s="33">
        <f>ROUND(H142*0.95, 2)</f>
      </c>
      <c r="L142" s="33">
        <f>ROUND(H142*1.05, 2)</f>
      </c>
      <c r="M142" s="33">
        <f>ROUND(H142*1.25, 2)</f>
      </c>
      <c r="N142" s="33">
        <f>ROUND(H142*1.55, 2)</f>
      </c>
      <c r="O142" s="33">
        <f>ROUND(H142*1.65, 2)</f>
      </c>
      <c r="P142" s="33">
        <f>SUM(I142:O142)</f>
      </c>
      <c r="Q142" s="33">
        <f>ROUND(H142*1.5, 2)</f>
      </c>
      <c r="R142" s="33">
        <f>ROUND(H142*2.0, 2)</f>
      </c>
      <c r="S142" s="14">
        <f>IF(F142&lt;=R142, "TRIGGER INDENT", "STOCK HEALTHY")</f>
      </c>
      <c r="T142" s="33">
        <f>IF(F142&lt;=R142, ROUND(MAX(H142, (I142+Q142)-F142), 2), 0)</f>
      </c>
    </row>
    <row r="143" ht="20" customHeight="1" spans="1:20" x14ac:dyDescent="0.25">
      <c r="A143" s="12" t="s">
        <v>450</v>
      </c>
      <c r="B143" s="12" t="s">
        <v>451</v>
      </c>
      <c r="C143" s="12" t="s">
        <v>152</v>
      </c>
      <c r="D143" s="12" t="s">
        <v>138</v>
      </c>
      <c r="E143" s="30">
        <v>96.87999725341797</v>
      </c>
      <c r="F143" s="31">
        <v>1952</v>
      </c>
      <c r="G143" s="12" t="s">
        <v>139</v>
      </c>
      <c r="H143" s="31">
        <v>97.6</v>
      </c>
      <c r="I143" s="31">
        <f>ROUND(H143*1.0, 2)</f>
      </c>
      <c r="J143" s="31">
        <f>ROUND(H143*0.95, 2)</f>
      </c>
      <c r="K143" s="31">
        <f>ROUND(H143*0.95, 2)</f>
      </c>
      <c r="L143" s="31">
        <f>ROUND(H143*1.05, 2)</f>
      </c>
      <c r="M143" s="31">
        <f>ROUND(H143*1.25, 2)</f>
      </c>
      <c r="N143" s="31">
        <f>ROUND(H143*1.55, 2)</f>
      </c>
      <c r="O143" s="31">
        <f>ROUND(H143*1.65, 2)</f>
      </c>
      <c r="P143" s="31">
        <f>SUM(I143:O143)</f>
      </c>
      <c r="Q143" s="31">
        <f>ROUND(H143*1.5, 2)</f>
      </c>
      <c r="R143" s="31">
        <f>ROUND(H143*2.0, 2)</f>
      </c>
      <c r="S143" s="12">
        <f>IF(F143&lt;=R143, "TRIGGER INDENT", "STOCK HEALTHY")</f>
      </c>
      <c r="T143" s="31">
        <f>IF(F143&lt;=R143, ROUND(MAX(H143, (I143+Q143)-F143), 2), 0)</f>
      </c>
    </row>
    <row r="144" ht="20" customHeight="1" spans="1:20" x14ac:dyDescent="0.25">
      <c r="A144" s="14" t="s">
        <v>452</v>
      </c>
      <c r="B144" s="14" t="s">
        <v>453</v>
      </c>
      <c r="C144" s="14" t="s">
        <v>195</v>
      </c>
      <c r="D144" s="14" t="s">
        <v>153</v>
      </c>
      <c r="E144" s="32">
        <v>51.060001373291016</v>
      </c>
      <c r="F144" s="33">
        <v>4864</v>
      </c>
      <c r="G144" s="14" t="s">
        <v>293</v>
      </c>
      <c r="H144" s="33">
        <v>243.2</v>
      </c>
      <c r="I144" s="33">
        <f>ROUND(H144*1.0, 2)</f>
      </c>
      <c r="J144" s="33">
        <f>ROUND(H144*0.95, 2)</f>
      </c>
      <c r="K144" s="33">
        <f>ROUND(H144*0.95, 2)</f>
      </c>
      <c r="L144" s="33">
        <f>ROUND(H144*1.05, 2)</f>
      </c>
      <c r="M144" s="33">
        <f>ROUND(H144*1.25, 2)</f>
      </c>
      <c r="N144" s="33">
        <f>ROUND(H144*1.55, 2)</f>
      </c>
      <c r="O144" s="33">
        <f>ROUND(H144*1.65, 2)</f>
      </c>
      <c r="P144" s="33">
        <f>SUM(I144:O144)</f>
      </c>
      <c r="Q144" s="33">
        <f>ROUND(H144*1.5, 2)</f>
      </c>
      <c r="R144" s="33">
        <f>ROUND(H144*2.0, 2)</f>
      </c>
      <c r="S144" s="14">
        <f>IF(F144&lt;=R144, "TRIGGER INDENT", "STOCK HEALTHY")</f>
      </c>
      <c r="T144" s="33">
        <f>IF(F144&lt;=R144, ROUND(MAX(H144, (I144+Q144)-F144), 2), 0)</f>
      </c>
    </row>
    <row r="145" ht="20" customHeight="1" spans="1:20" x14ac:dyDescent="0.25">
      <c r="A145" s="12" t="s">
        <v>454</v>
      </c>
      <c r="B145" s="12" t="s">
        <v>455</v>
      </c>
      <c r="C145" s="12" t="s">
        <v>152</v>
      </c>
      <c r="D145" s="12" t="s">
        <v>153</v>
      </c>
      <c r="E145" s="30">
        <v>310</v>
      </c>
      <c r="F145" s="31">
        <v>9.6</v>
      </c>
      <c r="G145" s="12" t="s">
        <v>154</v>
      </c>
      <c r="H145" s="31">
        <v>1.92</v>
      </c>
      <c r="I145" s="31">
        <f>ROUND(H145*1.0, 2)</f>
      </c>
      <c r="J145" s="31">
        <f>ROUND(H145*0.95, 2)</f>
      </c>
      <c r="K145" s="31">
        <f>ROUND(H145*0.95, 2)</f>
      </c>
      <c r="L145" s="31">
        <f>ROUND(H145*1.05, 2)</f>
      </c>
      <c r="M145" s="31">
        <f>ROUND(H145*1.25, 2)</f>
      </c>
      <c r="N145" s="31">
        <f>ROUND(H145*1.55, 2)</f>
      </c>
      <c r="O145" s="31">
        <f>ROUND(H145*1.65, 2)</f>
      </c>
      <c r="P145" s="31">
        <f>SUM(I145:O145)</f>
      </c>
      <c r="Q145" s="31">
        <f>ROUND(H145*1.5, 2)</f>
      </c>
      <c r="R145" s="31">
        <f>ROUND(H145*2.0, 2)</f>
      </c>
      <c r="S145" s="12">
        <f>IF(F145&lt;=R145, "TRIGGER INDENT", "STOCK HEALTHY")</f>
      </c>
      <c r="T145" s="31">
        <f>IF(F145&lt;=R145, ROUND(MAX(H145, (I145+Q145)-F145), 2), 0)</f>
      </c>
    </row>
    <row r="146" ht="20" customHeight="1" spans="1:20" x14ac:dyDescent="0.25">
      <c r="A146" s="14" t="s">
        <v>456</v>
      </c>
      <c r="B146" s="14" t="s">
        <v>457</v>
      </c>
      <c r="C146" s="14" t="s">
        <v>170</v>
      </c>
      <c r="D146" s="14" t="s">
        <v>153</v>
      </c>
      <c r="E146" s="32">
        <v>200.69000244140625</v>
      </c>
      <c r="F146" s="33">
        <v>64</v>
      </c>
      <c r="G146" s="14" t="s">
        <v>190</v>
      </c>
      <c r="H146" s="33">
        <v>7.68</v>
      </c>
      <c r="I146" s="33">
        <f>ROUND(H146*1.0, 2)</f>
      </c>
      <c r="J146" s="33">
        <f>ROUND(H146*0.95, 2)</f>
      </c>
      <c r="K146" s="33">
        <f>ROUND(H146*0.95, 2)</f>
      </c>
      <c r="L146" s="33">
        <f>ROUND(H146*1.05, 2)</f>
      </c>
      <c r="M146" s="33">
        <f>ROUND(H146*1.25, 2)</f>
      </c>
      <c r="N146" s="33">
        <f>ROUND(H146*1.55, 2)</f>
      </c>
      <c r="O146" s="33">
        <f>ROUND(H146*1.65, 2)</f>
      </c>
      <c r="P146" s="33">
        <f>SUM(I146:O146)</f>
      </c>
      <c r="Q146" s="33">
        <f>ROUND(H146*1.5, 2)</f>
      </c>
      <c r="R146" s="33">
        <f>ROUND(H146*2.0, 2)</f>
      </c>
      <c r="S146" s="14">
        <f>IF(F146&lt;=R146, "TRIGGER INDENT", "STOCK HEALTHY")</f>
      </c>
      <c r="T146" s="33">
        <f>IF(F146&lt;=R146, ROUND(MAX(H146, (I146+Q146)-F146), 2), 0)</f>
      </c>
    </row>
    <row r="147" ht="20" customHeight="1" spans="1:20" x14ac:dyDescent="0.25">
      <c r="A147" s="12" t="s">
        <v>458</v>
      </c>
      <c r="B147" s="12" t="s">
        <v>459</v>
      </c>
      <c r="C147" s="12" t="s">
        <v>170</v>
      </c>
      <c r="D147" s="12" t="s">
        <v>198</v>
      </c>
      <c r="E147" s="30">
        <v>5.690000057220459</v>
      </c>
      <c r="F147" s="31">
        <v>1072</v>
      </c>
      <c r="G147" s="12" t="s">
        <v>160</v>
      </c>
      <c r="H147" s="31">
        <v>53.6</v>
      </c>
      <c r="I147" s="31">
        <f>ROUND(H147*1.0, 2)</f>
      </c>
      <c r="J147" s="31">
        <f>ROUND(H147*0.95, 2)</f>
      </c>
      <c r="K147" s="31">
        <f>ROUND(H147*0.95, 2)</f>
      </c>
      <c r="L147" s="31">
        <f>ROUND(H147*1.05, 2)</f>
      </c>
      <c r="M147" s="31">
        <f>ROUND(H147*1.25, 2)</f>
      </c>
      <c r="N147" s="31">
        <f>ROUND(H147*1.55, 2)</f>
      </c>
      <c r="O147" s="31">
        <f>ROUND(H147*1.65, 2)</f>
      </c>
      <c r="P147" s="31">
        <f>SUM(I147:O147)</f>
      </c>
      <c r="Q147" s="31">
        <f>ROUND(H147*1.5, 2)</f>
      </c>
      <c r="R147" s="31">
        <f>ROUND(H147*2.0, 2)</f>
      </c>
      <c r="S147" s="12">
        <f>IF(F147&lt;=R147, "TRIGGER INDENT", "STOCK HEALTHY")</f>
      </c>
      <c r="T147" s="31">
        <f>IF(F147&lt;=R147, ROUND(MAX(H147, (I147+Q147)-F147), 2), 0)</f>
      </c>
    </row>
    <row r="148" ht="20" customHeight="1" spans="1:20" x14ac:dyDescent="0.25">
      <c r="A148" s="14" t="s">
        <v>460</v>
      </c>
      <c r="B148" s="14" t="s">
        <v>461</v>
      </c>
      <c r="C148" s="14" t="s">
        <v>264</v>
      </c>
      <c r="D148" s="14" t="s">
        <v>198</v>
      </c>
      <c r="E148" s="32">
        <v>35</v>
      </c>
      <c r="F148" s="33">
        <v>1.5100002</v>
      </c>
      <c r="G148" s="14" t="s">
        <v>154</v>
      </c>
      <c r="H148" s="33">
        <v>1</v>
      </c>
      <c r="I148" s="33">
        <f>ROUND(H148*1.0, 2)</f>
      </c>
      <c r="J148" s="33">
        <f>ROUND(H148*0.95, 2)</f>
      </c>
      <c r="K148" s="33">
        <f>ROUND(H148*0.95, 2)</f>
      </c>
      <c r="L148" s="33">
        <f>ROUND(H148*1.05, 2)</f>
      </c>
      <c r="M148" s="33">
        <f>ROUND(H148*1.25, 2)</f>
      </c>
      <c r="N148" s="33">
        <f>ROUND(H148*1.55, 2)</f>
      </c>
      <c r="O148" s="33">
        <f>ROUND(H148*1.65, 2)</f>
      </c>
      <c r="P148" s="33">
        <f>SUM(I148:O148)</f>
      </c>
      <c r="Q148" s="33">
        <f>ROUND(H148*1.5, 2)</f>
      </c>
      <c r="R148" s="33">
        <f>ROUND(H148*2.0, 2)</f>
      </c>
      <c r="S148" s="14">
        <f>IF(F148&lt;=R148, "TRIGGER INDENT", "STOCK HEALTHY")</f>
      </c>
      <c r="T148" s="33">
        <f>IF(F148&lt;=R148, ROUND(MAX(H148, (I148+Q148)-F148), 2), 0)</f>
      </c>
    </row>
    <row r="149" ht="20" customHeight="1" spans="1:20" x14ac:dyDescent="0.25">
      <c r="A149" s="12" t="s">
        <v>462</v>
      </c>
      <c r="B149" s="12" t="s">
        <v>463</v>
      </c>
      <c r="C149" s="12" t="s">
        <v>137</v>
      </c>
      <c r="D149" s="12" t="s">
        <v>198</v>
      </c>
      <c r="E149" s="30">
        <v>34.33000183105469</v>
      </c>
      <c r="F149" s="31">
        <v>1760</v>
      </c>
      <c r="G149" s="12" t="s">
        <v>154</v>
      </c>
      <c r="H149" s="31">
        <v>88</v>
      </c>
      <c r="I149" s="31">
        <f>ROUND(H149*1.0, 2)</f>
      </c>
      <c r="J149" s="31">
        <f>ROUND(H149*0.95, 2)</f>
      </c>
      <c r="K149" s="31">
        <f>ROUND(H149*0.95, 2)</f>
      </c>
      <c r="L149" s="31">
        <f>ROUND(H149*1.05, 2)</f>
      </c>
      <c r="M149" s="31">
        <f>ROUND(H149*1.25, 2)</f>
      </c>
      <c r="N149" s="31">
        <f>ROUND(H149*1.55, 2)</f>
      </c>
      <c r="O149" s="31">
        <f>ROUND(H149*1.65, 2)</f>
      </c>
      <c r="P149" s="31">
        <f>SUM(I149:O149)</f>
      </c>
      <c r="Q149" s="31">
        <f>ROUND(H149*1.5, 2)</f>
      </c>
      <c r="R149" s="31">
        <f>ROUND(H149*2.0, 2)</f>
      </c>
      <c r="S149" s="12">
        <f>IF(F149&lt;=R149, "TRIGGER INDENT", "STOCK HEALTHY")</f>
      </c>
      <c r="T149" s="31">
        <f>IF(F149&lt;=R149, ROUND(MAX(H149, (I149+Q149)-F149), 2), 0)</f>
      </c>
    </row>
    <row r="150" ht="20" customHeight="1" spans="1:20" x14ac:dyDescent="0.25">
      <c r="A150" s="14" t="s">
        <v>464</v>
      </c>
      <c r="B150" s="14" t="s">
        <v>465</v>
      </c>
      <c r="C150" s="14" t="s">
        <v>137</v>
      </c>
      <c r="D150" s="14" t="s">
        <v>198</v>
      </c>
      <c r="E150" s="32">
        <v>3.799999952316284</v>
      </c>
      <c r="F150" s="33">
        <v>10400</v>
      </c>
      <c r="G150" s="14" t="s">
        <v>139</v>
      </c>
      <c r="H150" s="33">
        <v>520</v>
      </c>
      <c r="I150" s="33">
        <f>ROUND(H150*1.0, 2)</f>
      </c>
      <c r="J150" s="33">
        <f>ROUND(H150*0.95, 2)</f>
      </c>
      <c r="K150" s="33">
        <f>ROUND(H150*0.95, 2)</f>
      </c>
      <c r="L150" s="33">
        <f>ROUND(H150*1.05, 2)</f>
      </c>
      <c r="M150" s="33">
        <f>ROUND(H150*1.25, 2)</f>
      </c>
      <c r="N150" s="33">
        <f>ROUND(H150*1.55, 2)</f>
      </c>
      <c r="O150" s="33">
        <f>ROUND(H150*1.65, 2)</f>
      </c>
      <c r="P150" s="33">
        <f>SUM(I150:O150)</f>
      </c>
      <c r="Q150" s="33">
        <f>ROUND(H150*1.5, 2)</f>
      </c>
      <c r="R150" s="33">
        <f>ROUND(H150*2.0, 2)</f>
      </c>
      <c r="S150" s="14">
        <f>IF(F150&lt;=R150, "TRIGGER INDENT", "STOCK HEALTHY")</f>
      </c>
      <c r="T150" s="33">
        <f>IF(F150&lt;=R150, ROUND(MAX(H150, (I150+Q150)-F150), 2), 0)</f>
      </c>
    </row>
    <row r="151" ht="20" customHeight="1" spans="1:20" x14ac:dyDescent="0.25">
      <c r="A151" s="12" t="s">
        <v>466</v>
      </c>
      <c r="B151" s="12" t="s">
        <v>467</v>
      </c>
      <c r="C151" s="12" t="s">
        <v>167</v>
      </c>
      <c r="D151" s="12" t="s">
        <v>153</v>
      </c>
      <c r="E151" s="30">
        <v>37.61000061035156</v>
      </c>
      <c r="F151" s="31">
        <v>2976</v>
      </c>
      <c r="G151" s="12" t="s">
        <v>149</v>
      </c>
      <c r="H151" s="31">
        <v>148.8</v>
      </c>
      <c r="I151" s="31">
        <f>ROUND(H151*1.0, 2)</f>
      </c>
      <c r="J151" s="31">
        <f>ROUND(H151*0.95, 2)</f>
      </c>
      <c r="K151" s="31">
        <f>ROUND(H151*0.95, 2)</f>
      </c>
      <c r="L151" s="31">
        <f>ROUND(H151*1.05, 2)</f>
      </c>
      <c r="M151" s="31">
        <f>ROUND(H151*1.25, 2)</f>
      </c>
      <c r="N151" s="31">
        <f>ROUND(H151*1.55, 2)</f>
      </c>
      <c r="O151" s="31">
        <f>ROUND(H151*1.65, 2)</f>
      </c>
      <c r="P151" s="31">
        <f>SUM(I151:O151)</f>
      </c>
      <c r="Q151" s="31">
        <f>ROUND(H151*1.5, 2)</f>
      </c>
      <c r="R151" s="31">
        <f>ROUND(H151*2.0, 2)</f>
      </c>
      <c r="S151" s="12">
        <f>IF(F151&lt;=R151, "TRIGGER INDENT", "STOCK HEALTHY")</f>
      </c>
      <c r="T151" s="31">
        <f>IF(F151&lt;=R151, ROUND(MAX(H151, (I151+Q151)-F151), 2), 0)</f>
      </c>
    </row>
    <row r="152" ht="20" customHeight="1" spans="1:20" x14ac:dyDescent="0.25">
      <c r="A152" s="14" t="s">
        <v>468</v>
      </c>
      <c r="B152" s="14" t="s">
        <v>469</v>
      </c>
      <c r="C152" s="14" t="s">
        <v>195</v>
      </c>
      <c r="D152" s="14" t="s">
        <v>153</v>
      </c>
      <c r="E152" s="32">
        <v>52.5</v>
      </c>
      <c r="F152" s="33">
        <v>1.5100002</v>
      </c>
      <c r="G152" s="14" t="s">
        <v>149</v>
      </c>
      <c r="H152" s="33">
        <v>1</v>
      </c>
      <c r="I152" s="33">
        <f>ROUND(H152*1.0, 2)</f>
      </c>
      <c r="J152" s="33">
        <f>ROUND(H152*0.95, 2)</f>
      </c>
      <c r="K152" s="33">
        <f>ROUND(H152*0.95, 2)</f>
      </c>
      <c r="L152" s="33">
        <f>ROUND(H152*1.05, 2)</f>
      </c>
      <c r="M152" s="33">
        <f>ROUND(H152*1.25, 2)</f>
      </c>
      <c r="N152" s="33">
        <f>ROUND(H152*1.55, 2)</f>
      </c>
      <c r="O152" s="33">
        <f>ROUND(H152*1.65, 2)</f>
      </c>
      <c r="P152" s="33">
        <f>SUM(I152:O152)</f>
      </c>
      <c r="Q152" s="33">
        <f>ROUND(H152*1.5, 2)</f>
      </c>
      <c r="R152" s="33">
        <f>ROUND(H152*2.0, 2)</f>
      </c>
      <c r="S152" s="14">
        <f>IF(F152&lt;=R152, "TRIGGER INDENT", "STOCK HEALTHY")</f>
      </c>
      <c r="T152" s="33">
        <f>IF(F152&lt;=R152, ROUND(MAX(H152, (I152+Q152)-F152), 2), 0)</f>
      </c>
    </row>
    <row r="153" ht="20" customHeight="1" spans="1:20" x14ac:dyDescent="0.25">
      <c r="A153" s="12" t="s">
        <v>470</v>
      </c>
      <c r="B153" s="12" t="s">
        <v>471</v>
      </c>
      <c r="C153" s="12" t="s">
        <v>189</v>
      </c>
      <c r="D153" s="12" t="s">
        <v>138</v>
      </c>
      <c r="E153" s="30">
        <v>2995.030029296875</v>
      </c>
      <c r="F153" s="31">
        <v>463.60007</v>
      </c>
      <c r="G153" s="12" t="s">
        <v>149</v>
      </c>
      <c r="H153" s="31">
        <v>37.09</v>
      </c>
      <c r="I153" s="31">
        <f>ROUND(H153*1.0, 2)</f>
      </c>
      <c r="J153" s="31">
        <f>ROUND(H153*0.95, 2)</f>
      </c>
      <c r="K153" s="31">
        <f>ROUND(H153*0.95, 2)</f>
      </c>
      <c r="L153" s="31">
        <f>ROUND(H153*1.05, 2)</f>
      </c>
      <c r="M153" s="31">
        <f>ROUND(H153*1.25, 2)</f>
      </c>
      <c r="N153" s="31">
        <f>ROUND(H153*1.55, 2)</f>
      </c>
      <c r="O153" s="31">
        <f>ROUND(H153*1.65, 2)</f>
      </c>
      <c r="P153" s="31">
        <f>SUM(I153:O153)</f>
      </c>
      <c r="Q153" s="31">
        <f>ROUND(H153*1.5, 2)</f>
      </c>
      <c r="R153" s="31">
        <f>ROUND(H153*2.0, 2)</f>
      </c>
      <c r="S153" s="12">
        <f>IF(F153&lt;=R153, "TRIGGER INDENT", "STOCK HEALTHY")</f>
      </c>
      <c r="T153" s="31">
        <f>IF(F153&lt;=R153, ROUND(MAX(H153, (I153+Q153)-F153), 2), 0)</f>
      </c>
    </row>
    <row r="154" ht="20" customHeight="1" spans="1:20" x14ac:dyDescent="0.25">
      <c r="A154" s="14" t="s">
        <v>472</v>
      </c>
      <c r="B154" s="14" t="s">
        <v>473</v>
      </c>
      <c r="C154" s="14" t="s">
        <v>170</v>
      </c>
      <c r="D154" s="14" t="s">
        <v>153</v>
      </c>
      <c r="E154" s="32">
        <v>53.0099983215332</v>
      </c>
      <c r="F154" s="33">
        <v>264.80002</v>
      </c>
      <c r="G154" s="14" t="s">
        <v>139</v>
      </c>
      <c r="H154" s="33">
        <v>21.18</v>
      </c>
      <c r="I154" s="33">
        <f>ROUND(H154*1.0, 2)</f>
      </c>
      <c r="J154" s="33">
        <f>ROUND(H154*0.95, 2)</f>
      </c>
      <c r="K154" s="33">
        <f>ROUND(H154*0.95, 2)</f>
      </c>
      <c r="L154" s="33">
        <f>ROUND(H154*1.05, 2)</f>
      </c>
      <c r="M154" s="33">
        <f>ROUND(H154*1.25, 2)</f>
      </c>
      <c r="N154" s="33">
        <f>ROUND(H154*1.55, 2)</f>
      </c>
      <c r="O154" s="33">
        <f>ROUND(H154*1.65, 2)</f>
      </c>
      <c r="P154" s="33">
        <f>SUM(I154:O154)</f>
      </c>
      <c r="Q154" s="33">
        <f>ROUND(H154*1.5, 2)</f>
      </c>
      <c r="R154" s="33">
        <f>ROUND(H154*2.0, 2)</f>
      </c>
      <c r="S154" s="14">
        <f>IF(F154&lt;=R154, "TRIGGER INDENT", "STOCK HEALTHY")</f>
      </c>
      <c r="T154" s="33">
        <f>IF(F154&lt;=R154, ROUND(MAX(H154, (I154+Q154)-F154), 2), 0)</f>
      </c>
    </row>
    <row r="155" ht="20" customHeight="1" spans="1:20" x14ac:dyDescent="0.25">
      <c r="A155" s="12" t="s">
        <v>474</v>
      </c>
      <c r="B155" s="12" t="s">
        <v>475</v>
      </c>
      <c r="C155" s="12" t="s">
        <v>152</v>
      </c>
      <c r="D155" s="12" t="s">
        <v>153</v>
      </c>
      <c r="E155" s="30">
        <v>954.4000244140625</v>
      </c>
      <c r="F155" s="31">
        <v>16.959995</v>
      </c>
      <c r="G155" s="12" t="s">
        <v>142</v>
      </c>
      <c r="H155" s="31">
        <v>3.39</v>
      </c>
      <c r="I155" s="31">
        <f>ROUND(H155*1.0, 2)</f>
      </c>
      <c r="J155" s="31">
        <f>ROUND(H155*0.95, 2)</f>
      </c>
      <c r="K155" s="31">
        <f>ROUND(H155*0.95, 2)</f>
      </c>
      <c r="L155" s="31">
        <f>ROUND(H155*1.05, 2)</f>
      </c>
      <c r="M155" s="31">
        <f>ROUND(H155*1.25, 2)</f>
      </c>
      <c r="N155" s="31">
        <f>ROUND(H155*1.55, 2)</f>
      </c>
      <c r="O155" s="31">
        <f>ROUND(H155*1.65, 2)</f>
      </c>
      <c r="P155" s="31">
        <f>SUM(I155:O155)</f>
      </c>
      <c r="Q155" s="31">
        <f>ROUND(H155*1.5, 2)</f>
      </c>
      <c r="R155" s="31">
        <f>ROUND(H155*2.0, 2)</f>
      </c>
      <c r="S155" s="12">
        <f>IF(F155&lt;=R155, "TRIGGER INDENT", "STOCK HEALTHY")</f>
      </c>
      <c r="T155" s="31">
        <f>IF(F155&lt;=R155, ROUND(MAX(H155, (I155+Q155)-F155), 2), 0)</f>
      </c>
    </row>
    <row r="156" ht="20" customHeight="1" spans="1:20" x14ac:dyDescent="0.25">
      <c r="A156" s="14" t="s">
        <v>476</v>
      </c>
      <c r="B156" s="14" t="s">
        <v>477</v>
      </c>
      <c r="C156" s="14" t="s">
        <v>152</v>
      </c>
      <c r="D156" s="14" t="s">
        <v>153</v>
      </c>
      <c r="E156" s="32">
        <v>317.6499938964844</v>
      </c>
      <c r="F156" s="33">
        <v>72</v>
      </c>
      <c r="G156" s="14" t="s">
        <v>154</v>
      </c>
      <c r="H156" s="33">
        <v>8.64</v>
      </c>
      <c r="I156" s="33">
        <f>ROUND(H156*1.0, 2)</f>
      </c>
      <c r="J156" s="33">
        <f>ROUND(H156*0.95, 2)</f>
      </c>
      <c r="K156" s="33">
        <f>ROUND(H156*0.95, 2)</f>
      </c>
      <c r="L156" s="33">
        <f>ROUND(H156*1.05, 2)</f>
      </c>
      <c r="M156" s="33">
        <f>ROUND(H156*1.25, 2)</f>
      </c>
      <c r="N156" s="33">
        <f>ROUND(H156*1.55, 2)</f>
      </c>
      <c r="O156" s="33">
        <f>ROUND(H156*1.65, 2)</f>
      </c>
      <c r="P156" s="33">
        <f>SUM(I156:O156)</f>
      </c>
      <c r="Q156" s="33">
        <f>ROUND(H156*1.5, 2)</f>
      </c>
      <c r="R156" s="33">
        <f>ROUND(H156*2.0, 2)</f>
      </c>
      <c r="S156" s="14">
        <f>IF(F156&lt;=R156, "TRIGGER INDENT", "STOCK HEALTHY")</f>
      </c>
      <c r="T156" s="33">
        <f>IF(F156&lt;=R156, ROUND(MAX(H156, (I156+Q156)-F156), 2), 0)</f>
      </c>
    </row>
    <row r="157" ht="20" customHeight="1" spans="1:20" x14ac:dyDescent="0.25">
      <c r="A157" s="12" t="s">
        <v>478</v>
      </c>
      <c r="B157" s="12" t="s">
        <v>479</v>
      </c>
      <c r="C157" s="12" t="s">
        <v>137</v>
      </c>
      <c r="D157" s="12" t="s">
        <v>153</v>
      </c>
      <c r="E157" s="30">
        <v>185</v>
      </c>
      <c r="F157" s="31">
        <v>384</v>
      </c>
      <c r="G157" s="12" t="s">
        <v>154</v>
      </c>
      <c r="H157" s="31">
        <v>30.72</v>
      </c>
      <c r="I157" s="31">
        <f>ROUND(H157*1.0, 2)</f>
      </c>
      <c r="J157" s="31">
        <f>ROUND(H157*0.95, 2)</f>
      </c>
      <c r="K157" s="31">
        <f>ROUND(H157*0.95, 2)</f>
      </c>
      <c r="L157" s="31">
        <f>ROUND(H157*1.05, 2)</f>
      </c>
      <c r="M157" s="31">
        <f>ROUND(H157*1.25, 2)</f>
      </c>
      <c r="N157" s="31">
        <f>ROUND(H157*1.55, 2)</f>
      </c>
      <c r="O157" s="31">
        <f>ROUND(H157*1.65, 2)</f>
      </c>
      <c r="P157" s="31">
        <f>SUM(I157:O157)</f>
      </c>
      <c r="Q157" s="31">
        <f>ROUND(H157*1.5, 2)</f>
      </c>
      <c r="R157" s="31">
        <f>ROUND(H157*2.0, 2)</f>
      </c>
      <c r="S157" s="12">
        <f>IF(F157&lt;=R157, "TRIGGER INDENT", "STOCK HEALTHY")</f>
      </c>
      <c r="T157" s="31">
        <f>IF(F157&lt;=R157, ROUND(MAX(H157, (I157+Q157)-F157), 2), 0)</f>
      </c>
    </row>
    <row r="158" ht="20" customHeight="1" spans="1:20" x14ac:dyDescent="0.25">
      <c r="A158" s="14" t="s">
        <v>480</v>
      </c>
      <c r="B158" s="14" t="s">
        <v>481</v>
      </c>
      <c r="C158" s="14" t="s">
        <v>170</v>
      </c>
      <c r="D158" s="14" t="s">
        <v>449</v>
      </c>
      <c r="E158" s="32">
        <v>100</v>
      </c>
      <c r="F158" s="33">
        <v>64</v>
      </c>
      <c r="G158" s="14" t="s">
        <v>177</v>
      </c>
      <c r="H158" s="33">
        <v>7.68</v>
      </c>
      <c r="I158" s="33">
        <f>ROUND(H158*1.0, 2)</f>
      </c>
      <c r="J158" s="33">
        <f>ROUND(H158*0.95, 2)</f>
      </c>
      <c r="K158" s="33">
        <f>ROUND(H158*0.95, 2)</f>
      </c>
      <c r="L158" s="33">
        <f>ROUND(H158*1.05, 2)</f>
      </c>
      <c r="M158" s="33">
        <f>ROUND(H158*1.25, 2)</f>
      </c>
      <c r="N158" s="33">
        <f>ROUND(H158*1.55, 2)</f>
      </c>
      <c r="O158" s="33">
        <f>ROUND(H158*1.65, 2)</f>
      </c>
      <c r="P158" s="33">
        <f>SUM(I158:O158)</f>
      </c>
      <c r="Q158" s="33">
        <f>ROUND(H158*1.5, 2)</f>
      </c>
      <c r="R158" s="33">
        <f>ROUND(H158*2.0, 2)</f>
      </c>
      <c r="S158" s="14">
        <f>IF(F158&lt;=R158, "TRIGGER INDENT", "STOCK HEALTHY")</f>
      </c>
      <c r="T158" s="33">
        <f>IF(F158&lt;=R158, ROUND(MAX(H158, (I158+Q158)-F158), 2), 0)</f>
      </c>
    </row>
    <row r="159" ht="20" customHeight="1" spans="1:20" x14ac:dyDescent="0.25">
      <c r="A159" s="12" t="s">
        <v>482</v>
      </c>
      <c r="B159" s="12" t="s">
        <v>483</v>
      </c>
      <c r="C159" s="12" t="s">
        <v>152</v>
      </c>
      <c r="D159" s="12" t="s">
        <v>153</v>
      </c>
      <c r="E159" s="30">
        <v>2478.800048828125</v>
      </c>
      <c r="F159" s="31">
        <v>8.800001</v>
      </c>
      <c r="G159" s="12" t="s">
        <v>142</v>
      </c>
      <c r="H159" s="31">
        <v>1.76</v>
      </c>
      <c r="I159" s="31">
        <f>ROUND(H159*1.0, 2)</f>
      </c>
      <c r="J159" s="31">
        <f>ROUND(H159*0.95, 2)</f>
      </c>
      <c r="K159" s="31">
        <f>ROUND(H159*0.95, 2)</f>
      </c>
      <c r="L159" s="31">
        <f>ROUND(H159*1.05, 2)</f>
      </c>
      <c r="M159" s="31">
        <f>ROUND(H159*1.25, 2)</f>
      </c>
      <c r="N159" s="31">
        <f>ROUND(H159*1.55, 2)</f>
      </c>
      <c r="O159" s="31">
        <f>ROUND(H159*1.65, 2)</f>
      </c>
      <c r="P159" s="31">
        <f>SUM(I159:O159)</f>
      </c>
      <c r="Q159" s="31">
        <f>ROUND(H159*1.5, 2)</f>
      </c>
      <c r="R159" s="31">
        <f>ROUND(H159*2.0, 2)</f>
      </c>
      <c r="S159" s="12">
        <f>IF(F159&lt;=R159, "TRIGGER INDENT", "STOCK HEALTHY")</f>
      </c>
      <c r="T159" s="31">
        <f>IF(F159&lt;=R159, ROUND(MAX(H159, (I159+Q159)-F159), 2), 0)</f>
      </c>
    </row>
    <row r="160" ht="20" customHeight="1" spans="1:20" x14ac:dyDescent="0.25">
      <c r="A160" s="14" t="s">
        <v>484</v>
      </c>
      <c r="B160" s="14" t="s">
        <v>485</v>
      </c>
      <c r="C160" s="14" t="s">
        <v>152</v>
      </c>
      <c r="D160" s="14" t="s">
        <v>153</v>
      </c>
      <c r="E160" s="32">
        <v>266.79998779296875</v>
      </c>
      <c r="F160" s="33">
        <v>356.79996</v>
      </c>
      <c r="G160" s="14" t="s">
        <v>293</v>
      </c>
      <c r="H160" s="33">
        <v>28.54</v>
      </c>
      <c r="I160" s="33">
        <f>ROUND(H160*1.0, 2)</f>
      </c>
      <c r="J160" s="33">
        <f>ROUND(H160*0.95, 2)</f>
      </c>
      <c r="K160" s="33">
        <f>ROUND(H160*0.95, 2)</f>
      </c>
      <c r="L160" s="33">
        <f>ROUND(H160*1.05, 2)</f>
      </c>
      <c r="M160" s="33">
        <f>ROUND(H160*1.25, 2)</f>
      </c>
      <c r="N160" s="33">
        <f>ROUND(H160*1.55, 2)</f>
      </c>
      <c r="O160" s="33">
        <f>ROUND(H160*1.65, 2)</f>
      </c>
      <c r="P160" s="33">
        <f>SUM(I160:O160)</f>
      </c>
      <c r="Q160" s="33">
        <f>ROUND(H160*1.5, 2)</f>
      </c>
      <c r="R160" s="33">
        <f>ROUND(H160*2.0, 2)</f>
      </c>
      <c r="S160" s="14">
        <f>IF(F160&lt;=R160, "TRIGGER INDENT", "STOCK HEALTHY")</f>
      </c>
      <c r="T160" s="33">
        <f>IF(F160&lt;=R160, ROUND(MAX(H160, (I160+Q160)-F160), 2), 0)</f>
      </c>
    </row>
    <row r="161" ht="20" customHeight="1" spans="1:20" x14ac:dyDescent="0.25">
      <c r="A161" s="12" t="s">
        <v>486</v>
      </c>
      <c r="B161" s="12" t="s">
        <v>487</v>
      </c>
      <c r="C161" s="12" t="s">
        <v>147</v>
      </c>
      <c r="D161" s="12" t="s">
        <v>148</v>
      </c>
      <c r="E161" s="30">
        <v>160.6699981689453</v>
      </c>
      <c r="F161" s="31">
        <v>32</v>
      </c>
      <c r="G161" s="12" t="s">
        <v>177</v>
      </c>
      <c r="H161" s="31">
        <v>6.4</v>
      </c>
      <c r="I161" s="31">
        <f>ROUND(H161*1.0, 2)</f>
      </c>
      <c r="J161" s="31">
        <f>ROUND(H161*0.95, 2)</f>
      </c>
      <c r="K161" s="31">
        <f>ROUND(H161*0.95, 2)</f>
      </c>
      <c r="L161" s="31">
        <f>ROUND(H161*1.05, 2)</f>
      </c>
      <c r="M161" s="31">
        <f>ROUND(H161*1.25, 2)</f>
      </c>
      <c r="N161" s="31">
        <f>ROUND(H161*1.55, 2)</f>
      </c>
      <c r="O161" s="31">
        <f>ROUND(H161*1.65, 2)</f>
      </c>
      <c r="P161" s="31">
        <f>SUM(I161:O161)</f>
      </c>
      <c r="Q161" s="31">
        <f>ROUND(H161*1.5, 2)</f>
      </c>
      <c r="R161" s="31">
        <f>ROUND(H161*2.0, 2)</f>
      </c>
      <c r="S161" s="12">
        <f>IF(F161&lt;=R161, "TRIGGER INDENT", "STOCK HEALTHY")</f>
      </c>
      <c r="T161" s="31">
        <f>IF(F161&lt;=R161, ROUND(MAX(H161, (I161+Q161)-F161), 2), 0)</f>
      </c>
    </row>
    <row r="162" ht="20" customHeight="1" spans="1:20" x14ac:dyDescent="0.25">
      <c r="A162" s="14" t="s">
        <v>488</v>
      </c>
      <c r="B162" s="14" t="s">
        <v>489</v>
      </c>
      <c r="C162" s="14" t="s">
        <v>152</v>
      </c>
      <c r="D162" s="14" t="s">
        <v>153</v>
      </c>
      <c r="E162" s="32">
        <v>333.0899963378906</v>
      </c>
      <c r="F162" s="33">
        <v>406.39993</v>
      </c>
      <c r="G162" s="14" t="s">
        <v>177</v>
      </c>
      <c r="H162" s="33">
        <v>32.51</v>
      </c>
      <c r="I162" s="33">
        <f>ROUND(H162*1.0, 2)</f>
      </c>
      <c r="J162" s="33">
        <f>ROUND(H162*0.95, 2)</f>
      </c>
      <c r="K162" s="33">
        <f>ROUND(H162*0.95, 2)</f>
      </c>
      <c r="L162" s="33">
        <f>ROUND(H162*1.05, 2)</f>
      </c>
      <c r="M162" s="33">
        <f>ROUND(H162*1.25, 2)</f>
      </c>
      <c r="N162" s="33">
        <f>ROUND(H162*1.55, 2)</f>
      </c>
      <c r="O162" s="33">
        <f>ROUND(H162*1.65, 2)</f>
      </c>
      <c r="P162" s="33">
        <f>SUM(I162:O162)</f>
      </c>
      <c r="Q162" s="33">
        <f>ROUND(H162*1.5, 2)</f>
      </c>
      <c r="R162" s="33">
        <f>ROUND(H162*2.0, 2)</f>
      </c>
      <c r="S162" s="14">
        <f>IF(F162&lt;=R162, "TRIGGER INDENT", "STOCK HEALTHY")</f>
      </c>
      <c r="T162" s="33">
        <f>IF(F162&lt;=R162, ROUND(MAX(H162, (I162+Q162)-F162), 2), 0)</f>
      </c>
    </row>
    <row r="163" ht="20" customHeight="1" spans="1:20" x14ac:dyDescent="0.25">
      <c r="A163" s="12" t="s">
        <v>490</v>
      </c>
      <c r="B163" s="12" t="s">
        <v>491</v>
      </c>
      <c r="C163" s="12" t="s">
        <v>211</v>
      </c>
      <c r="D163" s="12" t="s">
        <v>153</v>
      </c>
      <c r="E163" s="30">
        <v>100.9000015258789</v>
      </c>
      <c r="F163" s="31">
        <v>1168</v>
      </c>
      <c r="G163" s="12" t="s">
        <v>142</v>
      </c>
      <c r="H163" s="31">
        <v>58.4</v>
      </c>
      <c r="I163" s="31">
        <f>ROUND(H163*1.0, 2)</f>
      </c>
      <c r="J163" s="31">
        <f>ROUND(H163*0.95, 2)</f>
      </c>
      <c r="K163" s="31">
        <f>ROUND(H163*0.95, 2)</f>
      </c>
      <c r="L163" s="31">
        <f>ROUND(H163*1.05, 2)</f>
      </c>
      <c r="M163" s="31">
        <f>ROUND(H163*1.25, 2)</f>
      </c>
      <c r="N163" s="31">
        <f>ROUND(H163*1.55, 2)</f>
      </c>
      <c r="O163" s="31">
        <f>ROUND(H163*1.65, 2)</f>
      </c>
      <c r="P163" s="31">
        <f>SUM(I163:O163)</f>
      </c>
      <c r="Q163" s="31">
        <f>ROUND(H163*1.5, 2)</f>
      </c>
      <c r="R163" s="31">
        <f>ROUND(H163*2.0, 2)</f>
      </c>
      <c r="S163" s="12">
        <f>IF(F163&lt;=R163, "TRIGGER INDENT", "STOCK HEALTHY")</f>
      </c>
      <c r="T163" s="31">
        <f>IF(F163&lt;=R163, ROUND(MAX(H163, (I163+Q163)-F163), 2), 0)</f>
      </c>
    </row>
    <row r="164" ht="20" customHeight="1" spans="1:20" x14ac:dyDescent="0.25">
      <c r="A164" s="14" t="s">
        <v>492</v>
      </c>
      <c r="B164" s="14" t="s">
        <v>493</v>
      </c>
      <c r="C164" s="14" t="s">
        <v>176</v>
      </c>
      <c r="D164" s="14" t="s">
        <v>153</v>
      </c>
      <c r="E164" s="32">
        <v>717.5</v>
      </c>
      <c r="F164" s="33">
        <v>206.39996</v>
      </c>
      <c r="G164" s="14" t="s">
        <v>190</v>
      </c>
      <c r="H164" s="33">
        <v>16.51</v>
      </c>
      <c r="I164" s="33">
        <f>ROUND(H164*1.0, 2)</f>
      </c>
      <c r="J164" s="33">
        <f>ROUND(H164*0.95, 2)</f>
      </c>
      <c r="K164" s="33">
        <f>ROUND(H164*0.95, 2)</f>
      </c>
      <c r="L164" s="33">
        <f>ROUND(H164*1.05, 2)</f>
      </c>
      <c r="M164" s="33">
        <f>ROUND(H164*1.25, 2)</f>
      </c>
      <c r="N164" s="33">
        <f>ROUND(H164*1.55, 2)</f>
      </c>
      <c r="O164" s="33">
        <f>ROUND(H164*1.65, 2)</f>
      </c>
      <c r="P164" s="33">
        <f>SUM(I164:O164)</f>
      </c>
      <c r="Q164" s="33">
        <f>ROUND(H164*1.5, 2)</f>
      </c>
      <c r="R164" s="33">
        <f>ROUND(H164*2.0, 2)</f>
      </c>
      <c r="S164" s="14">
        <f>IF(F164&lt;=R164, "TRIGGER INDENT", "STOCK HEALTHY")</f>
      </c>
      <c r="T164" s="33">
        <f>IF(F164&lt;=R164, ROUND(MAX(H164, (I164+Q164)-F164), 2), 0)</f>
      </c>
    </row>
    <row r="165" ht="20" customHeight="1" spans="1:20" x14ac:dyDescent="0.25">
      <c r="A165" s="12" t="s">
        <v>494</v>
      </c>
      <c r="B165" s="12" t="s">
        <v>495</v>
      </c>
      <c r="C165" s="12" t="s">
        <v>176</v>
      </c>
      <c r="D165" s="12" t="s">
        <v>153</v>
      </c>
      <c r="E165" s="30">
        <v>606.3200073242188</v>
      </c>
      <c r="F165" s="31">
        <v>240</v>
      </c>
      <c r="G165" s="12" t="s">
        <v>293</v>
      </c>
      <c r="H165" s="31">
        <v>19.2</v>
      </c>
      <c r="I165" s="31">
        <f>ROUND(H165*1.0, 2)</f>
      </c>
      <c r="J165" s="31">
        <f>ROUND(H165*0.95, 2)</f>
      </c>
      <c r="K165" s="31">
        <f>ROUND(H165*0.95, 2)</f>
      </c>
      <c r="L165" s="31">
        <f>ROUND(H165*1.05, 2)</f>
      </c>
      <c r="M165" s="31">
        <f>ROUND(H165*1.25, 2)</f>
      </c>
      <c r="N165" s="31">
        <f>ROUND(H165*1.55, 2)</f>
      </c>
      <c r="O165" s="31">
        <f>ROUND(H165*1.65, 2)</f>
      </c>
      <c r="P165" s="31">
        <f>SUM(I165:O165)</f>
      </c>
      <c r="Q165" s="31">
        <f>ROUND(H165*1.5, 2)</f>
      </c>
      <c r="R165" s="31">
        <f>ROUND(H165*2.0, 2)</f>
      </c>
      <c r="S165" s="12">
        <f>IF(F165&lt;=R165, "TRIGGER INDENT", "STOCK HEALTHY")</f>
      </c>
      <c r="T165" s="31">
        <f>IF(F165&lt;=R165, ROUND(MAX(H165, (I165+Q165)-F165), 2), 0)</f>
      </c>
    </row>
    <row r="166" ht="20" customHeight="1" spans="1:20" x14ac:dyDescent="0.25">
      <c r="A166" s="14" t="s">
        <v>496</v>
      </c>
      <c r="B166" s="14" t="s">
        <v>497</v>
      </c>
      <c r="C166" s="14" t="s">
        <v>147</v>
      </c>
      <c r="D166" s="14" t="s">
        <v>148</v>
      </c>
      <c r="E166" s="32">
        <v>161.57000732421875</v>
      </c>
      <c r="F166" s="33">
        <v>48</v>
      </c>
      <c r="G166" s="14" t="s">
        <v>177</v>
      </c>
      <c r="H166" s="33">
        <v>9.6</v>
      </c>
      <c r="I166" s="33">
        <f>ROUND(H166*1.0, 2)</f>
      </c>
      <c r="J166" s="33">
        <f>ROUND(H166*0.95, 2)</f>
      </c>
      <c r="K166" s="33">
        <f>ROUND(H166*0.95, 2)</f>
      </c>
      <c r="L166" s="33">
        <f>ROUND(H166*1.05, 2)</f>
      </c>
      <c r="M166" s="33">
        <f>ROUND(H166*1.25, 2)</f>
      </c>
      <c r="N166" s="33">
        <f>ROUND(H166*1.55, 2)</f>
      </c>
      <c r="O166" s="33">
        <f>ROUND(H166*1.65, 2)</f>
      </c>
      <c r="P166" s="33">
        <f>SUM(I166:O166)</f>
      </c>
      <c r="Q166" s="33">
        <f>ROUND(H166*1.5, 2)</f>
      </c>
      <c r="R166" s="33">
        <f>ROUND(H166*2.0, 2)</f>
      </c>
      <c r="S166" s="14">
        <f>IF(F166&lt;=R166, "TRIGGER INDENT", "STOCK HEALTHY")</f>
      </c>
      <c r="T166" s="33">
        <f>IF(F166&lt;=R166, ROUND(MAX(H166, (I166+Q166)-F166), 2), 0)</f>
      </c>
    </row>
    <row r="167" ht="20" customHeight="1" spans="1:20" x14ac:dyDescent="0.25">
      <c r="A167" s="12" t="s">
        <v>498</v>
      </c>
      <c r="B167" s="12" t="s">
        <v>499</v>
      </c>
      <c r="C167" s="12" t="s">
        <v>152</v>
      </c>
      <c r="D167" s="12" t="s">
        <v>153</v>
      </c>
      <c r="E167" s="30">
        <v>680</v>
      </c>
      <c r="F167" s="31">
        <v>336</v>
      </c>
      <c r="G167" s="12" t="s">
        <v>190</v>
      </c>
      <c r="H167" s="31">
        <v>26.88</v>
      </c>
      <c r="I167" s="31">
        <f>ROUND(H167*1.0, 2)</f>
      </c>
      <c r="J167" s="31">
        <f>ROUND(H167*0.95, 2)</f>
      </c>
      <c r="K167" s="31">
        <f>ROUND(H167*0.95, 2)</f>
      </c>
      <c r="L167" s="31">
        <f>ROUND(H167*1.05, 2)</f>
      </c>
      <c r="M167" s="31">
        <f>ROUND(H167*1.25, 2)</f>
      </c>
      <c r="N167" s="31">
        <f>ROUND(H167*1.55, 2)</f>
      </c>
      <c r="O167" s="31">
        <f>ROUND(H167*1.65, 2)</f>
      </c>
      <c r="P167" s="31">
        <f>SUM(I167:O167)</f>
      </c>
      <c r="Q167" s="31">
        <f>ROUND(H167*1.5, 2)</f>
      </c>
      <c r="R167" s="31">
        <f>ROUND(H167*2.0, 2)</f>
      </c>
      <c r="S167" s="12">
        <f>IF(F167&lt;=R167, "TRIGGER INDENT", "STOCK HEALTHY")</f>
      </c>
      <c r="T167" s="31">
        <f>IF(F167&lt;=R167, ROUND(MAX(H167, (I167+Q167)-F167), 2), 0)</f>
      </c>
    </row>
    <row r="168" ht="20" customHeight="1" spans="1:20" x14ac:dyDescent="0.25">
      <c r="A168" s="14" t="s">
        <v>500</v>
      </c>
      <c r="B168" s="14" t="s">
        <v>501</v>
      </c>
      <c r="C168" s="14" t="s">
        <v>152</v>
      </c>
      <c r="D168" s="14" t="s">
        <v>153</v>
      </c>
      <c r="E168" s="32">
        <v>266.8900146484375</v>
      </c>
      <c r="F168" s="33">
        <v>16.800001</v>
      </c>
      <c r="G168" s="14" t="s">
        <v>142</v>
      </c>
      <c r="H168" s="33">
        <v>3.36</v>
      </c>
      <c r="I168" s="33">
        <f>ROUND(H168*1.0, 2)</f>
      </c>
      <c r="J168" s="33">
        <f>ROUND(H168*0.95, 2)</f>
      </c>
      <c r="K168" s="33">
        <f>ROUND(H168*0.95, 2)</f>
      </c>
      <c r="L168" s="33">
        <f>ROUND(H168*1.05, 2)</f>
      </c>
      <c r="M168" s="33">
        <f>ROUND(H168*1.25, 2)</f>
      </c>
      <c r="N168" s="33">
        <f>ROUND(H168*1.55, 2)</f>
      </c>
      <c r="O168" s="33">
        <f>ROUND(H168*1.65, 2)</f>
      </c>
      <c r="P168" s="33">
        <f>SUM(I168:O168)</f>
      </c>
      <c r="Q168" s="33">
        <f>ROUND(H168*1.5, 2)</f>
      </c>
      <c r="R168" s="33">
        <f>ROUND(H168*2.0, 2)</f>
      </c>
      <c r="S168" s="14">
        <f>IF(F168&lt;=R168, "TRIGGER INDENT", "STOCK HEALTHY")</f>
      </c>
      <c r="T168" s="33">
        <f>IF(F168&lt;=R168, ROUND(MAX(H168, (I168+Q168)-F168), 2), 0)</f>
      </c>
    </row>
    <row r="169" ht="20" customHeight="1" spans="1:20" x14ac:dyDescent="0.25">
      <c r="A169" s="12" t="s">
        <v>502</v>
      </c>
      <c r="B169" s="12" t="s">
        <v>503</v>
      </c>
      <c r="C169" s="12" t="s">
        <v>170</v>
      </c>
      <c r="D169" s="12" t="s">
        <v>148</v>
      </c>
      <c r="E169" s="30">
        <v>44.529998779296875</v>
      </c>
      <c r="F169" s="31">
        <v>80</v>
      </c>
      <c r="G169" s="12" t="s">
        <v>142</v>
      </c>
      <c r="H169" s="31">
        <v>9.6</v>
      </c>
      <c r="I169" s="31">
        <f>ROUND(H169*1.0, 2)</f>
      </c>
      <c r="J169" s="31">
        <f>ROUND(H169*0.95, 2)</f>
      </c>
      <c r="K169" s="31">
        <f>ROUND(H169*0.95, 2)</f>
      </c>
      <c r="L169" s="31">
        <f>ROUND(H169*1.05, 2)</f>
      </c>
      <c r="M169" s="31">
        <f>ROUND(H169*1.25, 2)</f>
      </c>
      <c r="N169" s="31">
        <f>ROUND(H169*1.55, 2)</f>
      </c>
      <c r="O169" s="31">
        <f>ROUND(H169*1.65, 2)</f>
      </c>
      <c r="P169" s="31">
        <f>SUM(I169:O169)</f>
      </c>
      <c r="Q169" s="31">
        <f>ROUND(H169*1.5, 2)</f>
      </c>
      <c r="R169" s="31">
        <f>ROUND(H169*2.0, 2)</f>
      </c>
      <c r="S169" s="12">
        <f>IF(F169&lt;=R169, "TRIGGER INDENT", "STOCK HEALTHY")</f>
      </c>
      <c r="T169" s="31">
        <f>IF(F169&lt;=R169, ROUND(MAX(H169, (I169+Q169)-F169), 2), 0)</f>
      </c>
    </row>
    <row r="170" ht="20" customHeight="1" spans="1:20" x14ac:dyDescent="0.25">
      <c r="A170" s="14" t="s">
        <v>504</v>
      </c>
      <c r="B170" s="14" t="s">
        <v>505</v>
      </c>
      <c r="C170" s="14" t="s">
        <v>152</v>
      </c>
      <c r="D170" s="14" t="s">
        <v>153</v>
      </c>
      <c r="E170" s="32">
        <v>1594.5</v>
      </c>
      <c r="F170" s="33">
        <v>37.6</v>
      </c>
      <c r="G170" s="14" t="s">
        <v>293</v>
      </c>
      <c r="H170" s="33">
        <v>7.52</v>
      </c>
      <c r="I170" s="33">
        <f>ROUND(H170*1.0, 2)</f>
      </c>
      <c r="J170" s="33">
        <f>ROUND(H170*0.95, 2)</f>
      </c>
      <c r="K170" s="33">
        <f>ROUND(H170*0.95, 2)</f>
      </c>
      <c r="L170" s="33">
        <f>ROUND(H170*1.05, 2)</f>
      </c>
      <c r="M170" s="33">
        <f>ROUND(H170*1.25, 2)</f>
      </c>
      <c r="N170" s="33">
        <f>ROUND(H170*1.55, 2)</f>
      </c>
      <c r="O170" s="33">
        <f>ROUND(H170*1.65, 2)</f>
      </c>
      <c r="P170" s="33">
        <f>SUM(I170:O170)</f>
      </c>
      <c r="Q170" s="33">
        <f>ROUND(H170*1.5, 2)</f>
      </c>
      <c r="R170" s="33">
        <f>ROUND(H170*2.0, 2)</f>
      </c>
      <c r="S170" s="14">
        <f>IF(F170&lt;=R170, "TRIGGER INDENT", "STOCK HEALTHY")</f>
      </c>
      <c r="T170" s="33">
        <f>IF(F170&lt;=R170, ROUND(MAX(H170, (I170+Q170)-F170), 2), 0)</f>
      </c>
    </row>
    <row r="171" ht="20" customHeight="1" spans="1:20" x14ac:dyDescent="0.25">
      <c r="A171" s="12" t="s">
        <v>506</v>
      </c>
      <c r="B171" s="12" t="s">
        <v>507</v>
      </c>
      <c r="C171" s="12" t="s">
        <v>137</v>
      </c>
      <c r="D171" s="12" t="s">
        <v>138</v>
      </c>
      <c r="E171" s="30">
        <v>457.1400146484375</v>
      </c>
      <c r="F171" s="31">
        <v>32</v>
      </c>
      <c r="G171" s="12" t="s">
        <v>154</v>
      </c>
      <c r="H171" s="31">
        <v>6.4</v>
      </c>
      <c r="I171" s="31">
        <f>ROUND(H171*1.0, 2)</f>
      </c>
      <c r="J171" s="31">
        <f>ROUND(H171*0.95, 2)</f>
      </c>
      <c r="K171" s="31">
        <f>ROUND(H171*0.95, 2)</f>
      </c>
      <c r="L171" s="31">
        <f>ROUND(H171*1.05, 2)</f>
      </c>
      <c r="M171" s="31">
        <f>ROUND(H171*1.25, 2)</f>
      </c>
      <c r="N171" s="31">
        <f>ROUND(H171*1.55, 2)</f>
      </c>
      <c r="O171" s="31">
        <f>ROUND(H171*1.65, 2)</f>
      </c>
      <c r="P171" s="31">
        <f>SUM(I171:O171)</f>
      </c>
      <c r="Q171" s="31">
        <f>ROUND(H171*1.5, 2)</f>
      </c>
      <c r="R171" s="31">
        <f>ROUND(H171*2.0, 2)</f>
      </c>
      <c r="S171" s="12">
        <f>IF(F171&lt;=R171, "TRIGGER INDENT", "STOCK HEALTHY")</f>
      </c>
      <c r="T171" s="31">
        <f>IF(F171&lt;=R171, ROUND(MAX(H171, (I171+Q171)-F171), 2), 0)</f>
      </c>
    </row>
    <row r="172" ht="20" customHeight="1" spans="1:20" x14ac:dyDescent="0.25">
      <c r="A172" s="14" t="s">
        <v>508</v>
      </c>
      <c r="B172" s="14" t="s">
        <v>509</v>
      </c>
      <c r="C172" s="14" t="s">
        <v>334</v>
      </c>
      <c r="D172" s="14" t="s">
        <v>510</v>
      </c>
      <c r="E172" s="32">
        <v>174.02000427246094</v>
      </c>
      <c r="F172" s="33">
        <v>1.5100002</v>
      </c>
      <c r="G172" s="14" t="s">
        <v>149</v>
      </c>
      <c r="H172" s="33">
        <v>1</v>
      </c>
      <c r="I172" s="33">
        <f>ROUND(H172*1.0, 2)</f>
      </c>
      <c r="J172" s="33">
        <f>ROUND(H172*0.95, 2)</f>
      </c>
      <c r="K172" s="33">
        <f>ROUND(H172*0.95, 2)</f>
      </c>
      <c r="L172" s="33">
        <f>ROUND(H172*1.05, 2)</f>
      </c>
      <c r="M172" s="33">
        <f>ROUND(H172*1.25, 2)</f>
      </c>
      <c r="N172" s="33">
        <f>ROUND(H172*1.55, 2)</f>
      </c>
      <c r="O172" s="33">
        <f>ROUND(H172*1.65, 2)</f>
      </c>
      <c r="P172" s="33">
        <f>SUM(I172:O172)</f>
      </c>
      <c r="Q172" s="33">
        <f>ROUND(H172*1.5, 2)</f>
      </c>
      <c r="R172" s="33">
        <f>ROUND(H172*2.0, 2)</f>
      </c>
      <c r="S172" s="14">
        <f>IF(F172&lt;=R172, "TRIGGER INDENT", "STOCK HEALTHY")</f>
      </c>
      <c r="T172" s="33">
        <f>IF(F172&lt;=R172, ROUND(MAX(H172, (I172+Q172)-F172), 2), 0)</f>
      </c>
    </row>
    <row r="173" ht="20" customHeight="1" spans="1:20" x14ac:dyDescent="0.25">
      <c r="A173" s="12" t="s">
        <v>511</v>
      </c>
      <c r="B173" s="12" t="s">
        <v>512</v>
      </c>
      <c r="C173" s="12" t="s">
        <v>176</v>
      </c>
      <c r="D173" s="12" t="s">
        <v>153</v>
      </c>
      <c r="E173" s="30">
        <v>544.2000122070312</v>
      </c>
      <c r="F173" s="31">
        <v>19.2</v>
      </c>
      <c r="G173" s="12" t="s">
        <v>154</v>
      </c>
      <c r="H173" s="31">
        <v>3.84</v>
      </c>
      <c r="I173" s="31">
        <f>ROUND(H173*1.0, 2)</f>
      </c>
      <c r="J173" s="31">
        <f>ROUND(H173*0.95, 2)</f>
      </c>
      <c r="K173" s="31">
        <f>ROUND(H173*0.95, 2)</f>
      </c>
      <c r="L173" s="31">
        <f>ROUND(H173*1.05, 2)</f>
      </c>
      <c r="M173" s="31">
        <f>ROUND(H173*1.25, 2)</f>
      </c>
      <c r="N173" s="31">
        <f>ROUND(H173*1.55, 2)</f>
      </c>
      <c r="O173" s="31">
        <f>ROUND(H173*1.65, 2)</f>
      </c>
      <c r="P173" s="31">
        <f>SUM(I173:O173)</f>
      </c>
      <c r="Q173" s="31">
        <f>ROUND(H173*1.5, 2)</f>
      </c>
      <c r="R173" s="31">
        <f>ROUND(H173*2.0, 2)</f>
      </c>
      <c r="S173" s="12">
        <f>IF(F173&lt;=R173, "TRIGGER INDENT", "STOCK HEALTHY")</f>
      </c>
      <c r="T173" s="31">
        <f>IF(F173&lt;=R173, ROUND(MAX(H173, (I173+Q173)-F173), 2), 0)</f>
      </c>
    </row>
    <row r="174" ht="20" customHeight="1" spans="1:20" x14ac:dyDescent="0.25">
      <c r="A174" s="14" t="s">
        <v>513</v>
      </c>
      <c r="B174" s="14" t="s">
        <v>514</v>
      </c>
      <c r="C174" s="14" t="s">
        <v>170</v>
      </c>
      <c r="D174" s="14" t="s">
        <v>153</v>
      </c>
      <c r="E174" s="32">
        <v>90</v>
      </c>
      <c r="F174" s="33">
        <v>30.880003</v>
      </c>
      <c r="G174" s="14" t="s">
        <v>186</v>
      </c>
      <c r="H174" s="33">
        <v>6.18</v>
      </c>
      <c r="I174" s="33">
        <f>ROUND(H174*1.0, 2)</f>
      </c>
      <c r="J174" s="33">
        <f>ROUND(H174*0.95, 2)</f>
      </c>
      <c r="K174" s="33">
        <f>ROUND(H174*0.95, 2)</f>
      </c>
      <c r="L174" s="33">
        <f>ROUND(H174*1.05, 2)</f>
      </c>
      <c r="M174" s="33">
        <f>ROUND(H174*1.25, 2)</f>
      </c>
      <c r="N174" s="33">
        <f>ROUND(H174*1.55, 2)</f>
      </c>
      <c r="O174" s="33">
        <f>ROUND(H174*1.65, 2)</f>
      </c>
      <c r="P174" s="33">
        <f>SUM(I174:O174)</f>
      </c>
      <c r="Q174" s="33">
        <f>ROUND(H174*1.5, 2)</f>
      </c>
      <c r="R174" s="33">
        <f>ROUND(H174*2.0, 2)</f>
      </c>
      <c r="S174" s="14">
        <f>IF(F174&lt;=R174, "TRIGGER INDENT", "STOCK HEALTHY")</f>
      </c>
      <c r="T174" s="33">
        <f>IF(F174&lt;=R174, ROUND(MAX(H174, (I174+Q174)-F174), 2), 0)</f>
      </c>
    </row>
    <row r="175" ht="20" customHeight="1" spans="1:20" x14ac:dyDescent="0.25">
      <c r="A175" s="12" t="s">
        <v>515</v>
      </c>
      <c r="B175" s="12" t="s">
        <v>516</v>
      </c>
      <c r="C175" s="12" t="s">
        <v>170</v>
      </c>
      <c r="D175" s="12" t="s">
        <v>198</v>
      </c>
      <c r="E175" s="30">
        <v>28.829999923706055</v>
      </c>
      <c r="F175" s="31">
        <v>608</v>
      </c>
      <c r="G175" s="12" t="s">
        <v>177</v>
      </c>
      <c r="H175" s="31">
        <v>48.64</v>
      </c>
      <c r="I175" s="31">
        <f>ROUND(H175*1.0, 2)</f>
      </c>
      <c r="J175" s="31">
        <f>ROUND(H175*0.95, 2)</f>
      </c>
      <c r="K175" s="31">
        <f>ROUND(H175*0.95, 2)</f>
      </c>
      <c r="L175" s="31">
        <f>ROUND(H175*1.05, 2)</f>
      </c>
      <c r="M175" s="31">
        <f>ROUND(H175*1.25, 2)</f>
      </c>
      <c r="N175" s="31">
        <f>ROUND(H175*1.55, 2)</f>
      </c>
      <c r="O175" s="31">
        <f>ROUND(H175*1.65, 2)</f>
      </c>
      <c r="P175" s="31">
        <f>SUM(I175:O175)</f>
      </c>
      <c r="Q175" s="31">
        <f>ROUND(H175*1.5, 2)</f>
      </c>
      <c r="R175" s="31">
        <f>ROUND(H175*2.0, 2)</f>
      </c>
      <c r="S175" s="12">
        <f>IF(F175&lt;=R175, "TRIGGER INDENT", "STOCK HEALTHY")</f>
      </c>
      <c r="T175" s="31">
        <f>IF(F175&lt;=R175, ROUND(MAX(H175, (I175+Q175)-F175), 2), 0)</f>
      </c>
    </row>
    <row r="176" ht="20" customHeight="1" spans="1:20" x14ac:dyDescent="0.25">
      <c r="A176" s="14" t="s">
        <v>517</v>
      </c>
      <c r="B176" s="14" t="s">
        <v>518</v>
      </c>
      <c r="C176" s="14" t="s">
        <v>152</v>
      </c>
      <c r="D176" s="14" t="s">
        <v>153</v>
      </c>
      <c r="E176" s="32">
        <v>650</v>
      </c>
      <c r="F176" s="33">
        <v>32</v>
      </c>
      <c r="G176" s="14" t="s">
        <v>154</v>
      </c>
      <c r="H176" s="33">
        <v>6.4</v>
      </c>
      <c r="I176" s="33">
        <f>ROUND(H176*1.0, 2)</f>
      </c>
      <c r="J176" s="33">
        <f>ROUND(H176*0.95, 2)</f>
      </c>
      <c r="K176" s="33">
        <f>ROUND(H176*0.95, 2)</f>
      </c>
      <c r="L176" s="33">
        <f>ROUND(H176*1.05, 2)</f>
      </c>
      <c r="M176" s="33">
        <f>ROUND(H176*1.25, 2)</f>
      </c>
      <c r="N176" s="33">
        <f>ROUND(H176*1.55, 2)</f>
      </c>
      <c r="O176" s="33">
        <f>ROUND(H176*1.65, 2)</f>
      </c>
      <c r="P176" s="33">
        <f>SUM(I176:O176)</f>
      </c>
      <c r="Q176" s="33">
        <f>ROUND(H176*1.5, 2)</f>
      </c>
      <c r="R176" s="33">
        <f>ROUND(H176*2.0, 2)</f>
      </c>
      <c r="S176" s="14">
        <f>IF(F176&lt;=R176, "TRIGGER INDENT", "STOCK HEALTHY")</f>
      </c>
      <c r="T176" s="33">
        <f>IF(F176&lt;=R176, ROUND(MAX(H176, (I176+Q176)-F176), 2), 0)</f>
      </c>
    </row>
    <row r="177" ht="20" customHeight="1" spans="1:20" x14ac:dyDescent="0.25">
      <c r="A177" s="12" t="s">
        <v>519</v>
      </c>
      <c r="B177" s="12" t="s">
        <v>520</v>
      </c>
      <c r="C177" s="12" t="s">
        <v>147</v>
      </c>
      <c r="D177" s="12" t="s">
        <v>148</v>
      </c>
      <c r="E177" s="30">
        <v>100</v>
      </c>
      <c r="F177" s="31">
        <v>1.5100002</v>
      </c>
      <c r="G177" s="12" t="s">
        <v>149</v>
      </c>
      <c r="H177" s="31">
        <v>1</v>
      </c>
      <c r="I177" s="31">
        <f>ROUND(H177*1.0, 2)</f>
      </c>
      <c r="J177" s="31">
        <f>ROUND(H177*0.95, 2)</f>
      </c>
      <c r="K177" s="31">
        <f>ROUND(H177*0.95, 2)</f>
      </c>
      <c r="L177" s="31">
        <f>ROUND(H177*1.05, 2)</f>
      </c>
      <c r="M177" s="31">
        <f>ROUND(H177*1.25, 2)</f>
      </c>
      <c r="N177" s="31">
        <f>ROUND(H177*1.55, 2)</f>
      </c>
      <c r="O177" s="31">
        <f>ROUND(H177*1.65, 2)</f>
      </c>
      <c r="P177" s="31">
        <f>SUM(I177:O177)</f>
      </c>
      <c r="Q177" s="31">
        <f>ROUND(H177*1.5, 2)</f>
      </c>
      <c r="R177" s="31">
        <f>ROUND(H177*2.0, 2)</f>
      </c>
      <c r="S177" s="12">
        <f>IF(F177&lt;=R177, "TRIGGER INDENT", "STOCK HEALTHY")</f>
      </c>
      <c r="T177" s="31">
        <f>IF(F177&lt;=R177, ROUND(MAX(H177, (I177+Q177)-F177), 2), 0)</f>
      </c>
    </row>
    <row r="178" ht="20" customHeight="1" spans="1:20" x14ac:dyDescent="0.25">
      <c r="A178" s="14" t="s">
        <v>521</v>
      </c>
      <c r="B178" s="14" t="s">
        <v>522</v>
      </c>
      <c r="C178" s="14" t="s">
        <v>257</v>
      </c>
      <c r="D178" s="14" t="s">
        <v>153</v>
      </c>
      <c r="E178" s="32">
        <v>431.42999267578125</v>
      </c>
      <c r="F178" s="33">
        <v>16</v>
      </c>
      <c r="G178" s="14" t="s">
        <v>177</v>
      </c>
      <c r="H178" s="33">
        <v>3.2</v>
      </c>
      <c r="I178" s="33">
        <f>ROUND(H178*1.0, 2)</f>
      </c>
      <c r="J178" s="33">
        <f>ROUND(H178*0.95, 2)</f>
      </c>
      <c r="K178" s="33">
        <f>ROUND(H178*0.95, 2)</f>
      </c>
      <c r="L178" s="33">
        <f>ROUND(H178*1.05, 2)</f>
      </c>
      <c r="M178" s="33">
        <f>ROUND(H178*1.25, 2)</f>
      </c>
      <c r="N178" s="33">
        <f>ROUND(H178*1.55, 2)</f>
      </c>
      <c r="O178" s="33">
        <f>ROUND(H178*1.65, 2)</f>
      </c>
      <c r="P178" s="33">
        <f>SUM(I178:O178)</f>
      </c>
      <c r="Q178" s="33">
        <f>ROUND(H178*1.5, 2)</f>
      </c>
      <c r="R178" s="33">
        <f>ROUND(H178*2.0, 2)</f>
      </c>
      <c r="S178" s="14">
        <f>IF(F178&lt;=R178, "TRIGGER INDENT", "STOCK HEALTHY")</f>
      </c>
      <c r="T178" s="33">
        <f>IF(F178&lt;=R178, ROUND(MAX(H178, (I178+Q178)-F178), 2), 0)</f>
      </c>
    </row>
    <row r="179" ht="20" customHeight="1" spans="1:20" x14ac:dyDescent="0.25">
      <c r="A179" s="12" t="s">
        <v>523</v>
      </c>
      <c r="B179" s="12" t="s">
        <v>524</v>
      </c>
      <c r="C179" s="12" t="s">
        <v>402</v>
      </c>
      <c r="D179" s="12" t="s">
        <v>138</v>
      </c>
      <c r="E179" s="30">
        <v>110</v>
      </c>
      <c r="F179" s="31">
        <v>384</v>
      </c>
      <c r="G179" s="12" t="s">
        <v>177</v>
      </c>
      <c r="H179" s="31">
        <v>30.72</v>
      </c>
      <c r="I179" s="31">
        <f>ROUND(H179*1.0, 2)</f>
      </c>
      <c r="J179" s="31">
        <f>ROUND(H179*0.95, 2)</f>
      </c>
      <c r="K179" s="31">
        <f>ROUND(H179*0.95, 2)</f>
      </c>
      <c r="L179" s="31">
        <f>ROUND(H179*1.05, 2)</f>
      </c>
      <c r="M179" s="31">
        <f>ROUND(H179*1.25, 2)</f>
      </c>
      <c r="N179" s="31">
        <f>ROUND(H179*1.55, 2)</f>
      </c>
      <c r="O179" s="31">
        <f>ROUND(H179*1.65, 2)</f>
      </c>
      <c r="P179" s="31">
        <f>SUM(I179:O179)</f>
      </c>
      <c r="Q179" s="31">
        <f>ROUND(H179*1.5, 2)</f>
      </c>
      <c r="R179" s="31">
        <f>ROUND(H179*2.0, 2)</f>
      </c>
      <c r="S179" s="12">
        <f>IF(F179&lt;=R179, "TRIGGER INDENT", "STOCK HEALTHY")</f>
      </c>
      <c r="T179" s="31">
        <f>IF(F179&lt;=R179, ROUND(MAX(H179, (I179+Q179)-F179), 2), 0)</f>
      </c>
    </row>
    <row r="180" ht="20" customHeight="1" spans="1:20" x14ac:dyDescent="0.25">
      <c r="A180" s="14" t="s">
        <v>525</v>
      </c>
      <c r="B180" s="14" t="s">
        <v>526</v>
      </c>
      <c r="C180" s="14" t="s">
        <v>176</v>
      </c>
      <c r="D180" s="14" t="s">
        <v>153</v>
      </c>
      <c r="E180" s="32">
        <v>289.2900085449219</v>
      </c>
      <c r="F180" s="33">
        <v>80</v>
      </c>
      <c r="G180" s="14" t="s">
        <v>154</v>
      </c>
      <c r="H180" s="33">
        <v>9.6</v>
      </c>
      <c r="I180" s="33">
        <f>ROUND(H180*1.0, 2)</f>
      </c>
      <c r="J180" s="33">
        <f>ROUND(H180*0.95, 2)</f>
      </c>
      <c r="K180" s="33">
        <f>ROUND(H180*0.95, 2)</f>
      </c>
      <c r="L180" s="33">
        <f>ROUND(H180*1.05, 2)</f>
      </c>
      <c r="M180" s="33">
        <f>ROUND(H180*1.25, 2)</f>
      </c>
      <c r="N180" s="33">
        <f>ROUND(H180*1.55, 2)</f>
      </c>
      <c r="O180" s="33">
        <f>ROUND(H180*1.65, 2)</f>
      </c>
      <c r="P180" s="33">
        <f>SUM(I180:O180)</f>
      </c>
      <c r="Q180" s="33">
        <f>ROUND(H180*1.5, 2)</f>
      </c>
      <c r="R180" s="33">
        <f>ROUND(H180*2.0, 2)</f>
      </c>
      <c r="S180" s="14">
        <f>IF(F180&lt;=R180, "TRIGGER INDENT", "STOCK HEALTHY")</f>
      </c>
      <c r="T180" s="33">
        <f>IF(F180&lt;=R180, ROUND(MAX(H180, (I180+Q180)-F180), 2), 0)</f>
      </c>
    </row>
    <row r="181" ht="20" customHeight="1" spans="1:20" x14ac:dyDescent="0.25">
      <c r="A181" s="12" t="s">
        <v>527</v>
      </c>
      <c r="B181" s="12" t="s">
        <v>528</v>
      </c>
      <c r="C181" s="12" t="s">
        <v>170</v>
      </c>
      <c r="D181" s="12" t="s">
        <v>138</v>
      </c>
      <c r="E181" s="30">
        <v>25.829999923706055</v>
      </c>
      <c r="F181" s="31">
        <v>672</v>
      </c>
      <c r="G181" s="12" t="s">
        <v>160</v>
      </c>
      <c r="H181" s="31">
        <v>53.76</v>
      </c>
      <c r="I181" s="31">
        <f>ROUND(H181*1.0, 2)</f>
      </c>
      <c r="J181" s="31">
        <f>ROUND(H181*0.95, 2)</f>
      </c>
      <c r="K181" s="31">
        <f>ROUND(H181*0.95, 2)</f>
      </c>
      <c r="L181" s="31">
        <f>ROUND(H181*1.05, 2)</f>
      </c>
      <c r="M181" s="31">
        <f>ROUND(H181*1.25, 2)</f>
      </c>
      <c r="N181" s="31">
        <f>ROUND(H181*1.55, 2)</f>
      </c>
      <c r="O181" s="31">
        <f>ROUND(H181*1.65, 2)</f>
      </c>
      <c r="P181" s="31">
        <f>SUM(I181:O181)</f>
      </c>
      <c r="Q181" s="31">
        <f>ROUND(H181*1.5, 2)</f>
      </c>
      <c r="R181" s="31">
        <f>ROUND(H181*2.0, 2)</f>
      </c>
      <c r="S181" s="12">
        <f>IF(F181&lt;=R181, "TRIGGER INDENT", "STOCK HEALTHY")</f>
      </c>
      <c r="T181" s="31">
        <f>IF(F181&lt;=R181, ROUND(MAX(H181, (I181+Q181)-F181), 2), 0)</f>
      </c>
    </row>
    <row r="182" ht="20" customHeight="1" spans="1:20" x14ac:dyDescent="0.25">
      <c r="A182" s="14" t="s">
        <v>529</v>
      </c>
      <c r="B182" s="14" t="s">
        <v>530</v>
      </c>
      <c r="C182" s="14" t="s">
        <v>152</v>
      </c>
      <c r="D182" s="14" t="s">
        <v>153</v>
      </c>
      <c r="E182" s="32">
        <v>892</v>
      </c>
      <c r="F182" s="33">
        <v>48</v>
      </c>
      <c r="G182" s="14" t="s">
        <v>293</v>
      </c>
      <c r="H182" s="33">
        <v>9.6</v>
      </c>
      <c r="I182" s="33">
        <f>ROUND(H182*1.0, 2)</f>
      </c>
      <c r="J182" s="33">
        <f>ROUND(H182*0.95, 2)</f>
      </c>
      <c r="K182" s="33">
        <f>ROUND(H182*0.95, 2)</f>
      </c>
      <c r="L182" s="33">
        <f>ROUND(H182*1.05, 2)</f>
      </c>
      <c r="M182" s="33">
        <f>ROUND(H182*1.25, 2)</f>
      </c>
      <c r="N182" s="33">
        <f>ROUND(H182*1.55, 2)</f>
      </c>
      <c r="O182" s="33">
        <f>ROUND(H182*1.65, 2)</f>
      </c>
      <c r="P182" s="33">
        <f>SUM(I182:O182)</f>
      </c>
      <c r="Q182" s="33">
        <f>ROUND(H182*1.5, 2)</f>
      </c>
      <c r="R182" s="33">
        <f>ROUND(H182*2.0, 2)</f>
      </c>
      <c r="S182" s="14">
        <f>IF(F182&lt;=R182, "TRIGGER INDENT", "STOCK HEALTHY")</f>
      </c>
      <c r="T182" s="33">
        <f>IF(F182&lt;=R182, ROUND(MAX(H182, (I182+Q182)-F182), 2), 0)</f>
      </c>
    </row>
    <row r="183" ht="20" customHeight="1" spans="1:20" x14ac:dyDescent="0.25">
      <c r="A183" s="12" t="s">
        <v>531</v>
      </c>
      <c r="B183" s="12" t="s">
        <v>532</v>
      </c>
      <c r="C183" s="12" t="s">
        <v>170</v>
      </c>
      <c r="D183" s="12" t="s">
        <v>153</v>
      </c>
      <c r="E183" s="30">
        <v>165</v>
      </c>
      <c r="F183" s="31">
        <v>28.799995</v>
      </c>
      <c r="G183" s="12" t="s">
        <v>154</v>
      </c>
      <c r="H183" s="31">
        <v>5.76</v>
      </c>
      <c r="I183" s="31">
        <f>ROUND(H183*1.0, 2)</f>
      </c>
      <c r="J183" s="31">
        <f>ROUND(H183*0.95, 2)</f>
      </c>
      <c r="K183" s="31">
        <f>ROUND(H183*0.95, 2)</f>
      </c>
      <c r="L183" s="31">
        <f>ROUND(H183*1.05, 2)</f>
      </c>
      <c r="M183" s="31">
        <f>ROUND(H183*1.25, 2)</f>
      </c>
      <c r="N183" s="31">
        <f>ROUND(H183*1.55, 2)</f>
      </c>
      <c r="O183" s="31">
        <f>ROUND(H183*1.65, 2)</f>
      </c>
      <c r="P183" s="31">
        <f>SUM(I183:O183)</f>
      </c>
      <c r="Q183" s="31">
        <f>ROUND(H183*1.5, 2)</f>
      </c>
      <c r="R183" s="31">
        <f>ROUND(H183*2.0, 2)</f>
      </c>
      <c r="S183" s="12">
        <f>IF(F183&lt;=R183, "TRIGGER INDENT", "STOCK HEALTHY")</f>
      </c>
      <c r="T183" s="31">
        <f>IF(F183&lt;=R183, ROUND(MAX(H183, (I183+Q183)-F183), 2), 0)</f>
      </c>
    </row>
    <row r="184" ht="20" customHeight="1" spans="1:20" x14ac:dyDescent="0.25">
      <c r="A184" s="14" t="s">
        <v>533</v>
      </c>
      <c r="B184" s="14" t="s">
        <v>534</v>
      </c>
      <c r="C184" s="14" t="s">
        <v>211</v>
      </c>
      <c r="D184" s="14" t="s">
        <v>153</v>
      </c>
      <c r="E184" s="32">
        <v>77.94000244140625</v>
      </c>
      <c r="F184" s="33">
        <v>24</v>
      </c>
      <c r="G184" s="14" t="s">
        <v>154</v>
      </c>
      <c r="H184" s="33">
        <v>4.8</v>
      </c>
      <c r="I184" s="33">
        <f>ROUND(H184*1.0, 2)</f>
      </c>
      <c r="J184" s="33">
        <f>ROUND(H184*0.95, 2)</f>
      </c>
      <c r="K184" s="33">
        <f>ROUND(H184*0.95, 2)</f>
      </c>
      <c r="L184" s="33">
        <f>ROUND(H184*1.05, 2)</f>
      </c>
      <c r="M184" s="33">
        <f>ROUND(H184*1.25, 2)</f>
      </c>
      <c r="N184" s="33">
        <f>ROUND(H184*1.55, 2)</f>
      </c>
      <c r="O184" s="33">
        <f>ROUND(H184*1.65, 2)</f>
      </c>
      <c r="P184" s="33">
        <f>SUM(I184:O184)</f>
      </c>
      <c r="Q184" s="33">
        <f>ROUND(H184*1.5, 2)</f>
      </c>
      <c r="R184" s="33">
        <f>ROUND(H184*2.0, 2)</f>
      </c>
      <c r="S184" s="14">
        <f>IF(F184&lt;=R184, "TRIGGER INDENT", "STOCK HEALTHY")</f>
      </c>
      <c r="T184" s="33">
        <f>IF(F184&lt;=R184, ROUND(MAX(H184, (I184+Q184)-F184), 2), 0)</f>
      </c>
    </row>
    <row r="185" ht="20" customHeight="1" spans="1:20" x14ac:dyDescent="0.25">
      <c r="A185" s="12" t="s">
        <v>535</v>
      </c>
      <c r="B185" s="12" t="s">
        <v>536</v>
      </c>
      <c r="C185" s="12" t="s">
        <v>167</v>
      </c>
      <c r="D185" s="12" t="s">
        <v>153</v>
      </c>
      <c r="E185" s="30">
        <v>40.34000015258789</v>
      </c>
      <c r="F185" s="31">
        <v>3146.3997</v>
      </c>
      <c r="G185" s="12" t="s">
        <v>149</v>
      </c>
      <c r="H185" s="31">
        <v>157.32</v>
      </c>
      <c r="I185" s="31">
        <f>ROUND(H185*1.0, 2)</f>
      </c>
      <c r="J185" s="31">
        <f>ROUND(H185*0.95, 2)</f>
      </c>
      <c r="K185" s="31">
        <f>ROUND(H185*0.95, 2)</f>
      </c>
      <c r="L185" s="31">
        <f>ROUND(H185*1.05, 2)</f>
      </c>
      <c r="M185" s="31">
        <f>ROUND(H185*1.25, 2)</f>
      </c>
      <c r="N185" s="31">
        <f>ROUND(H185*1.55, 2)</f>
      </c>
      <c r="O185" s="31">
        <f>ROUND(H185*1.65, 2)</f>
      </c>
      <c r="P185" s="31">
        <f>SUM(I185:O185)</f>
      </c>
      <c r="Q185" s="31">
        <f>ROUND(H185*1.5, 2)</f>
      </c>
      <c r="R185" s="31">
        <f>ROUND(H185*2.0, 2)</f>
      </c>
      <c r="S185" s="12">
        <f>IF(F185&lt;=R185, "TRIGGER INDENT", "STOCK HEALTHY")</f>
      </c>
      <c r="T185" s="31">
        <f>IF(F185&lt;=R185, ROUND(MAX(H185, (I185+Q185)-F185), 2), 0)</f>
      </c>
    </row>
    <row r="186" ht="20" customHeight="1" spans="1:20" x14ac:dyDescent="0.25">
      <c r="A186" s="14" t="s">
        <v>537</v>
      </c>
      <c r="B186" s="14" t="s">
        <v>538</v>
      </c>
      <c r="C186" s="14" t="s">
        <v>170</v>
      </c>
      <c r="D186" s="14" t="s">
        <v>153</v>
      </c>
      <c r="E186" s="32">
        <v>100.25</v>
      </c>
      <c r="F186" s="33">
        <v>160</v>
      </c>
      <c r="G186" s="14" t="s">
        <v>149</v>
      </c>
      <c r="H186" s="33">
        <v>19.2</v>
      </c>
      <c r="I186" s="33">
        <f>ROUND(H186*1.0, 2)</f>
      </c>
      <c r="J186" s="33">
        <f>ROUND(H186*0.95, 2)</f>
      </c>
      <c r="K186" s="33">
        <f>ROUND(H186*0.95, 2)</f>
      </c>
      <c r="L186" s="33">
        <f>ROUND(H186*1.05, 2)</f>
      </c>
      <c r="M186" s="33">
        <f>ROUND(H186*1.25, 2)</f>
      </c>
      <c r="N186" s="33">
        <f>ROUND(H186*1.55, 2)</f>
      </c>
      <c r="O186" s="33">
        <f>ROUND(H186*1.65, 2)</f>
      </c>
      <c r="P186" s="33">
        <f>SUM(I186:O186)</f>
      </c>
      <c r="Q186" s="33">
        <f>ROUND(H186*1.5, 2)</f>
      </c>
      <c r="R186" s="33">
        <f>ROUND(H186*2.0, 2)</f>
      </c>
      <c r="S186" s="14">
        <f>IF(F186&lt;=R186, "TRIGGER INDENT", "STOCK HEALTHY")</f>
      </c>
      <c r="T186" s="33">
        <f>IF(F186&lt;=R186, ROUND(MAX(H186, (I186+Q186)-F186), 2), 0)</f>
      </c>
    </row>
    <row r="187" ht="20" customHeight="1" spans="1:20" x14ac:dyDescent="0.25">
      <c r="A187" s="12" t="s">
        <v>539</v>
      </c>
      <c r="B187" s="12" t="s">
        <v>540</v>
      </c>
      <c r="C187" s="12" t="s">
        <v>147</v>
      </c>
      <c r="D187" s="12" t="s">
        <v>148</v>
      </c>
      <c r="E187" s="30">
        <v>175.7899932861328</v>
      </c>
      <c r="F187" s="31">
        <v>1.5100002</v>
      </c>
      <c r="G187" s="12" t="s">
        <v>177</v>
      </c>
      <c r="H187" s="31">
        <v>1</v>
      </c>
      <c r="I187" s="31">
        <f>ROUND(H187*1.0, 2)</f>
      </c>
      <c r="J187" s="31">
        <f>ROUND(H187*0.95, 2)</f>
      </c>
      <c r="K187" s="31">
        <f>ROUND(H187*0.95, 2)</f>
      </c>
      <c r="L187" s="31">
        <f>ROUND(H187*1.05, 2)</f>
      </c>
      <c r="M187" s="31">
        <f>ROUND(H187*1.25, 2)</f>
      </c>
      <c r="N187" s="31">
        <f>ROUND(H187*1.55, 2)</f>
      </c>
      <c r="O187" s="31">
        <f>ROUND(H187*1.65, 2)</f>
      </c>
      <c r="P187" s="31">
        <f>SUM(I187:O187)</f>
      </c>
      <c r="Q187" s="31">
        <f>ROUND(H187*1.5, 2)</f>
      </c>
      <c r="R187" s="31">
        <f>ROUND(H187*2.0, 2)</f>
      </c>
      <c r="S187" s="12">
        <f>IF(F187&lt;=R187, "TRIGGER INDENT", "STOCK HEALTHY")</f>
      </c>
      <c r="T187" s="31">
        <f>IF(F187&lt;=R187, ROUND(MAX(H187, (I187+Q187)-F187), 2), 0)</f>
      </c>
    </row>
    <row r="188" ht="20" customHeight="1" spans="1:20" x14ac:dyDescent="0.25">
      <c r="A188" s="14" t="s">
        <v>541</v>
      </c>
      <c r="B188" s="14" t="s">
        <v>542</v>
      </c>
      <c r="C188" s="14" t="s">
        <v>264</v>
      </c>
      <c r="D188" s="14" t="s">
        <v>265</v>
      </c>
      <c r="E188" s="32">
        <v>671.2999877929688</v>
      </c>
      <c r="F188" s="33">
        <v>1.5100002</v>
      </c>
      <c r="G188" s="14" t="s">
        <v>177</v>
      </c>
      <c r="H188" s="33">
        <v>1</v>
      </c>
      <c r="I188" s="33">
        <f>ROUND(H188*1.0, 2)</f>
      </c>
      <c r="J188" s="33">
        <f>ROUND(H188*0.95, 2)</f>
      </c>
      <c r="K188" s="33">
        <f>ROUND(H188*0.95, 2)</f>
      </c>
      <c r="L188" s="33">
        <f>ROUND(H188*1.05, 2)</f>
      </c>
      <c r="M188" s="33">
        <f>ROUND(H188*1.25, 2)</f>
      </c>
      <c r="N188" s="33">
        <f>ROUND(H188*1.55, 2)</f>
      </c>
      <c r="O188" s="33">
        <f>ROUND(H188*1.65, 2)</f>
      </c>
      <c r="P188" s="33">
        <f>SUM(I188:O188)</f>
      </c>
      <c r="Q188" s="33">
        <f>ROUND(H188*1.5, 2)</f>
      </c>
      <c r="R188" s="33">
        <f>ROUND(H188*2.0, 2)</f>
      </c>
      <c r="S188" s="14">
        <f>IF(F188&lt;=R188, "TRIGGER INDENT", "STOCK HEALTHY")</f>
      </c>
      <c r="T188" s="33">
        <f>IF(F188&lt;=R188, ROUND(MAX(H188, (I188+Q188)-F188), 2), 0)</f>
      </c>
    </row>
    <row r="189" ht="20" customHeight="1" spans="1:20" x14ac:dyDescent="0.25">
      <c r="A189" s="12" t="s">
        <v>543</v>
      </c>
      <c r="B189" s="12" t="s">
        <v>544</v>
      </c>
      <c r="C189" s="12" t="s">
        <v>170</v>
      </c>
      <c r="D189" s="12" t="s">
        <v>153</v>
      </c>
      <c r="E189" s="30">
        <v>62.529998779296875</v>
      </c>
      <c r="F189" s="31">
        <v>128</v>
      </c>
      <c r="G189" s="12" t="s">
        <v>154</v>
      </c>
      <c r="H189" s="31">
        <v>15.36</v>
      </c>
      <c r="I189" s="31">
        <f>ROUND(H189*1.0, 2)</f>
      </c>
      <c r="J189" s="31">
        <f>ROUND(H189*0.95, 2)</f>
      </c>
      <c r="K189" s="31">
        <f>ROUND(H189*0.95, 2)</f>
      </c>
      <c r="L189" s="31">
        <f>ROUND(H189*1.05, 2)</f>
      </c>
      <c r="M189" s="31">
        <f>ROUND(H189*1.25, 2)</f>
      </c>
      <c r="N189" s="31">
        <f>ROUND(H189*1.55, 2)</f>
      </c>
      <c r="O189" s="31">
        <f>ROUND(H189*1.65, 2)</f>
      </c>
      <c r="P189" s="31">
        <f>SUM(I189:O189)</f>
      </c>
      <c r="Q189" s="31">
        <f>ROUND(H189*1.5, 2)</f>
      </c>
      <c r="R189" s="31">
        <f>ROUND(H189*2.0, 2)</f>
      </c>
      <c r="S189" s="12">
        <f>IF(F189&lt;=R189, "TRIGGER INDENT", "STOCK HEALTHY")</f>
      </c>
      <c r="T189" s="31">
        <f>IF(F189&lt;=R189, ROUND(MAX(H189, (I189+Q189)-F189), 2), 0)</f>
      </c>
    </row>
    <row r="190" ht="20" customHeight="1" spans="1:20" x14ac:dyDescent="0.25">
      <c r="A190" s="14" t="s">
        <v>545</v>
      </c>
      <c r="B190" s="14" t="s">
        <v>546</v>
      </c>
      <c r="C190" s="14" t="s">
        <v>159</v>
      </c>
      <c r="D190" s="14" t="s">
        <v>153</v>
      </c>
      <c r="E190" s="32">
        <v>68.7699966430664</v>
      </c>
      <c r="F190" s="33">
        <v>16</v>
      </c>
      <c r="G190" s="14" t="s">
        <v>149</v>
      </c>
      <c r="H190" s="33">
        <v>3.2</v>
      </c>
      <c r="I190" s="33">
        <f>ROUND(H190*1.0, 2)</f>
      </c>
      <c r="J190" s="33">
        <f>ROUND(H190*0.95, 2)</f>
      </c>
      <c r="K190" s="33">
        <f>ROUND(H190*0.95, 2)</f>
      </c>
      <c r="L190" s="33">
        <f>ROUND(H190*1.05, 2)</f>
      </c>
      <c r="M190" s="33">
        <f>ROUND(H190*1.25, 2)</f>
      </c>
      <c r="N190" s="33">
        <f>ROUND(H190*1.55, 2)</f>
      </c>
      <c r="O190" s="33">
        <f>ROUND(H190*1.65, 2)</f>
      </c>
      <c r="P190" s="33">
        <f>SUM(I190:O190)</f>
      </c>
      <c r="Q190" s="33">
        <f>ROUND(H190*1.5, 2)</f>
      </c>
      <c r="R190" s="33">
        <f>ROUND(H190*2.0, 2)</f>
      </c>
      <c r="S190" s="14">
        <f>IF(F190&lt;=R190, "TRIGGER INDENT", "STOCK HEALTHY")</f>
      </c>
      <c r="T190" s="33">
        <f>IF(F190&lt;=R190, ROUND(MAX(H190, (I190+Q190)-F190), 2), 0)</f>
      </c>
    </row>
    <row r="191" ht="20" customHeight="1" spans="1:20" x14ac:dyDescent="0.25">
      <c r="A191" s="12" t="s">
        <v>547</v>
      </c>
      <c r="B191" s="12" t="s">
        <v>548</v>
      </c>
      <c r="C191" s="12" t="s">
        <v>137</v>
      </c>
      <c r="D191" s="12" t="s">
        <v>138</v>
      </c>
      <c r="E191" s="30">
        <v>4</v>
      </c>
      <c r="F191" s="31">
        <v>800</v>
      </c>
      <c r="G191" s="12" t="s">
        <v>154</v>
      </c>
      <c r="H191" s="31">
        <v>64</v>
      </c>
      <c r="I191" s="31">
        <f>ROUND(H191*1.0, 2)</f>
      </c>
      <c r="J191" s="31">
        <f>ROUND(H191*0.95, 2)</f>
      </c>
      <c r="K191" s="31">
        <f>ROUND(H191*0.95, 2)</f>
      </c>
      <c r="L191" s="31">
        <f>ROUND(H191*1.05, 2)</f>
      </c>
      <c r="M191" s="31">
        <f>ROUND(H191*1.25, 2)</f>
      </c>
      <c r="N191" s="31">
        <f>ROUND(H191*1.55, 2)</f>
      </c>
      <c r="O191" s="31">
        <f>ROUND(H191*1.65, 2)</f>
      </c>
      <c r="P191" s="31">
        <f>SUM(I191:O191)</f>
      </c>
      <c r="Q191" s="31">
        <f>ROUND(H191*1.5, 2)</f>
      </c>
      <c r="R191" s="31">
        <f>ROUND(H191*2.0, 2)</f>
      </c>
      <c r="S191" s="12">
        <f>IF(F191&lt;=R191, "TRIGGER INDENT", "STOCK HEALTHY")</f>
      </c>
      <c r="T191" s="31">
        <f>IF(F191&lt;=R191, ROUND(MAX(H191, (I191+Q191)-F191), 2), 0)</f>
      </c>
    </row>
    <row r="192" ht="20" customHeight="1" spans="1:20" x14ac:dyDescent="0.25">
      <c r="A192" s="14" t="s">
        <v>549</v>
      </c>
      <c r="B192" s="14" t="s">
        <v>550</v>
      </c>
      <c r="C192" s="14" t="s">
        <v>211</v>
      </c>
      <c r="D192" s="14" t="s">
        <v>153</v>
      </c>
      <c r="E192" s="32">
        <v>82</v>
      </c>
      <c r="F192" s="33">
        <v>840.79987</v>
      </c>
      <c r="G192" s="14" t="s">
        <v>149</v>
      </c>
      <c r="H192" s="33">
        <v>67.26</v>
      </c>
      <c r="I192" s="33">
        <f>ROUND(H192*1.0, 2)</f>
      </c>
      <c r="J192" s="33">
        <f>ROUND(H192*0.95, 2)</f>
      </c>
      <c r="K192" s="33">
        <f>ROUND(H192*0.95, 2)</f>
      </c>
      <c r="L192" s="33">
        <f>ROUND(H192*1.05, 2)</f>
      </c>
      <c r="M192" s="33">
        <f>ROUND(H192*1.25, 2)</f>
      </c>
      <c r="N192" s="33">
        <f>ROUND(H192*1.55, 2)</f>
      </c>
      <c r="O192" s="33">
        <f>ROUND(H192*1.65, 2)</f>
      </c>
      <c r="P192" s="33">
        <f>SUM(I192:O192)</f>
      </c>
      <c r="Q192" s="33">
        <f>ROUND(H192*1.5, 2)</f>
      </c>
      <c r="R192" s="33">
        <f>ROUND(H192*2.0, 2)</f>
      </c>
      <c r="S192" s="14">
        <f>IF(F192&lt;=R192, "TRIGGER INDENT", "STOCK HEALTHY")</f>
      </c>
      <c r="T192" s="33">
        <f>IF(F192&lt;=R192, ROUND(MAX(H192, (I192+Q192)-F192), 2), 0)</f>
      </c>
    </row>
    <row r="193" ht="20" customHeight="1" spans="1:20" x14ac:dyDescent="0.25">
      <c r="A193" s="12" t="s">
        <v>551</v>
      </c>
      <c r="B193" s="12" t="s">
        <v>552</v>
      </c>
      <c r="C193" s="12" t="s">
        <v>436</v>
      </c>
      <c r="D193" s="12" t="s">
        <v>198</v>
      </c>
      <c r="E193" s="30">
        <v>122.5</v>
      </c>
      <c r="F193" s="31">
        <v>48</v>
      </c>
      <c r="G193" s="12" t="s">
        <v>142</v>
      </c>
      <c r="H193" s="31">
        <v>9.6</v>
      </c>
      <c r="I193" s="31">
        <f>ROUND(H193*1.0, 2)</f>
      </c>
      <c r="J193" s="31">
        <f>ROUND(H193*0.95, 2)</f>
      </c>
      <c r="K193" s="31">
        <f>ROUND(H193*0.95, 2)</f>
      </c>
      <c r="L193" s="31">
        <f>ROUND(H193*1.05, 2)</f>
      </c>
      <c r="M193" s="31">
        <f>ROUND(H193*1.25, 2)</f>
      </c>
      <c r="N193" s="31">
        <f>ROUND(H193*1.55, 2)</f>
      </c>
      <c r="O193" s="31">
        <f>ROUND(H193*1.65, 2)</f>
      </c>
      <c r="P193" s="31">
        <f>SUM(I193:O193)</f>
      </c>
      <c r="Q193" s="31">
        <f>ROUND(H193*1.5, 2)</f>
      </c>
      <c r="R193" s="31">
        <f>ROUND(H193*2.0, 2)</f>
      </c>
      <c r="S193" s="12">
        <f>IF(F193&lt;=R193, "TRIGGER INDENT", "STOCK HEALTHY")</f>
      </c>
      <c r="T193" s="31">
        <f>IF(F193&lt;=R193, ROUND(MAX(H193, (I193+Q193)-F193), 2), 0)</f>
      </c>
    </row>
    <row r="194" ht="20" customHeight="1" spans="1:20" x14ac:dyDescent="0.25">
      <c r="A194" s="14" t="s">
        <v>553</v>
      </c>
      <c r="B194" s="14" t="s">
        <v>554</v>
      </c>
      <c r="C194" s="14" t="s">
        <v>170</v>
      </c>
      <c r="D194" s="14" t="s">
        <v>153</v>
      </c>
      <c r="E194" s="32">
        <v>108.66999816894531</v>
      </c>
      <c r="F194" s="33">
        <v>80</v>
      </c>
      <c r="G194" s="14" t="s">
        <v>149</v>
      </c>
      <c r="H194" s="33">
        <v>9.6</v>
      </c>
      <c r="I194" s="33">
        <f>ROUND(H194*1.0, 2)</f>
      </c>
      <c r="J194" s="33">
        <f>ROUND(H194*0.95, 2)</f>
      </c>
      <c r="K194" s="33">
        <f>ROUND(H194*0.95, 2)</f>
      </c>
      <c r="L194" s="33">
        <f>ROUND(H194*1.05, 2)</f>
      </c>
      <c r="M194" s="33">
        <f>ROUND(H194*1.25, 2)</f>
      </c>
      <c r="N194" s="33">
        <f>ROUND(H194*1.55, 2)</f>
      </c>
      <c r="O194" s="33">
        <f>ROUND(H194*1.65, 2)</f>
      </c>
      <c r="P194" s="33">
        <f>SUM(I194:O194)</f>
      </c>
      <c r="Q194" s="33">
        <f>ROUND(H194*1.5, 2)</f>
      </c>
      <c r="R194" s="33">
        <f>ROUND(H194*2.0, 2)</f>
      </c>
      <c r="S194" s="14">
        <f>IF(F194&lt;=R194, "TRIGGER INDENT", "STOCK HEALTHY")</f>
      </c>
      <c r="T194" s="33">
        <f>IF(F194&lt;=R194, ROUND(MAX(H194, (I194+Q194)-F194), 2), 0)</f>
      </c>
    </row>
    <row r="195" ht="20" customHeight="1" spans="1:20" x14ac:dyDescent="0.25">
      <c r="A195" s="12" t="s">
        <v>555</v>
      </c>
      <c r="B195" s="12" t="s">
        <v>556</v>
      </c>
      <c r="C195" s="12" t="s">
        <v>170</v>
      </c>
      <c r="D195" s="12" t="s">
        <v>153</v>
      </c>
      <c r="E195" s="30">
        <v>149.41000366210938</v>
      </c>
      <c r="F195" s="31">
        <v>80</v>
      </c>
      <c r="G195" s="12" t="s">
        <v>149</v>
      </c>
      <c r="H195" s="31">
        <v>9.6</v>
      </c>
      <c r="I195" s="31">
        <f>ROUND(H195*1.0, 2)</f>
      </c>
      <c r="J195" s="31">
        <f>ROUND(H195*0.95, 2)</f>
      </c>
      <c r="K195" s="31">
        <f>ROUND(H195*0.95, 2)</f>
      </c>
      <c r="L195" s="31">
        <f>ROUND(H195*1.05, 2)</f>
      </c>
      <c r="M195" s="31">
        <f>ROUND(H195*1.25, 2)</f>
      </c>
      <c r="N195" s="31">
        <f>ROUND(H195*1.55, 2)</f>
      </c>
      <c r="O195" s="31">
        <f>ROUND(H195*1.65, 2)</f>
      </c>
      <c r="P195" s="31">
        <f>SUM(I195:O195)</f>
      </c>
      <c r="Q195" s="31">
        <f>ROUND(H195*1.5, 2)</f>
      </c>
      <c r="R195" s="31">
        <f>ROUND(H195*2.0, 2)</f>
      </c>
      <c r="S195" s="12">
        <f>IF(F195&lt;=R195, "TRIGGER INDENT", "STOCK HEALTHY")</f>
      </c>
      <c r="T195" s="31">
        <f>IF(F195&lt;=R195, ROUND(MAX(H195, (I195+Q195)-F195), 2), 0)</f>
      </c>
    </row>
    <row r="196" ht="20" customHeight="1" spans="1:20" x14ac:dyDescent="0.25">
      <c r="A196" s="14" t="s">
        <v>557</v>
      </c>
      <c r="B196" s="14" t="s">
        <v>558</v>
      </c>
      <c r="C196" s="14" t="s">
        <v>152</v>
      </c>
      <c r="D196" s="14" t="s">
        <v>153</v>
      </c>
      <c r="E196" s="32">
        <v>96</v>
      </c>
      <c r="F196" s="33">
        <v>70.40001</v>
      </c>
      <c r="G196" s="14" t="s">
        <v>149</v>
      </c>
      <c r="H196" s="33">
        <v>8.45</v>
      </c>
      <c r="I196" s="33">
        <f>ROUND(H196*1.0, 2)</f>
      </c>
      <c r="J196" s="33">
        <f>ROUND(H196*0.95, 2)</f>
      </c>
      <c r="K196" s="33">
        <f>ROUND(H196*0.95, 2)</f>
      </c>
      <c r="L196" s="33">
        <f>ROUND(H196*1.05, 2)</f>
      </c>
      <c r="M196" s="33">
        <f>ROUND(H196*1.25, 2)</f>
      </c>
      <c r="N196" s="33">
        <f>ROUND(H196*1.55, 2)</f>
      </c>
      <c r="O196" s="33">
        <f>ROUND(H196*1.65, 2)</f>
      </c>
      <c r="P196" s="33">
        <f>SUM(I196:O196)</f>
      </c>
      <c r="Q196" s="33">
        <f>ROUND(H196*1.5, 2)</f>
      </c>
      <c r="R196" s="33">
        <f>ROUND(H196*2.0, 2)</f>
      </c>
      <c r="S196" s="14">
        <f>IF(F196&lt;=R196, "TRIGGER INDENT", "STOCK HEALTHY")</f>
      </c>
      <c r="T196" s="33">
        <f>IF(F196&lt;=R196, ROUND(MAX(H196, (I196+Q196)-F196), 2), 0)</f>
      </c>
    </row>
    <row r="197" ht="20" customHeight="1" spans="1:20" x14ac:dyDescent="0.25">
      <c r="A197" s="12" t="s">
        <v>559</v>
      </c>
      <c r="B197" s="12" t="s">
        <v>560</v>
      </c>
      <c r="C197" s="12" t="s">
        <v>257</v>
      </c>
      <c r="D197" s="12" t="s">
        <v>325</v>
      </c>
      <c r="E197" s="30">
        <v>55.279998779296875</v>
      </c>
      <c r="F197" s="31">
        <v>832</v>
      </c>
      <c r="G197" s="12" t="s">
        <v>154</v>
      </c>
      <c r="H197" s="31">
        <v>66.56</v>
      </c>
      <c r="I197" s="31">
        <f>ROUND(H197*1.0, 2)</f>
      </c>
      <c r="J197" s="31">
        <f>ROUND(H197*0.95, 2)</f>
      </c>
      <c r="K197" s="31">
        <f>ROUND(H197*0.95, 2)</f>
      </c>
      <c r="L197" s="31">
        <f>ROUND(H197*1.05, 2)</f>
      </c>
      <c r="M197" s="31">
        <f>ROUND(H197*1.25, 2)</f>
      </c>
      <c r="N197" s="31">
        <f>ROUND(H197*1.55, 2)</f>
      </c>
      <c r="O197" s="31">
        <f>ROUND(H197*1.65, 2)</f>
      </c>
      <c r="P197" s="31">
        <f>SUM(I197:O197)</f>
      </c>
      <c r="Q197" s="31">
        <f>ROUND(H197*1.5, 2)</f>
      </c>
      <c r="R197" s="31">
        <f>ROUND(H197*2.0, 2)</f>
      </c>
      <c r="S197" s="12">
        <f>IF(F197&lt;=R197, "TRIGGER INDENT", "STOCK HEALTHY")</f>
      </c>
      <c r="T197" s="31">
        <f>IF(F197&lt;=R197, ROUND(MAX(H197, (I197+Q197)-F197), 2), 0)</f>
      </c>
    </row>
    <row r="198" ht="20" customHeight="1" spans="1:20" x14ac:dyDescent="0.25">
      <c r="A198" s="14" t="s">
        <v>561</v>
      </c>
      <c r="B198" s="14" t="s">
        <v>562</v>
      </c>
      <c r="C198" s="14" t="s">
        <v>170</v>
      </c>
      <c r="D198" s="14" t="s">
        <v>173</v>
      </c>
      <c r="E198" s="32">
        <v>135.39999389648438</v>
      </c>
      <c r="F198" s="33">
        <v>80</v>
      </c>
      <c r="G198" s="14" t="s">
        <v>149</v>
      </c>
      <c r="H198" s="33">
        <v>9.6</v>
      </c>
      <c r="I198" s="33">
        <f>ROUND(H198*1.0, 2)</f>
      </c>
      <c r="J198" s="33">
        <f>ROUND(H198*0.95, 2)</f>
      </c>
      <c r="K198" s="33">
        <f>ROUND(H198*0.95, 2)</f>
      </c>
      <c r="L198" s="33">
        <f>ROUND(H198*1.05, 2)</f>
      </c>
      <c r="M198" s="33">
        <f>ROUND(H198*1.25, 2)</f>
      </c>
      <c r="N198" s="33">
        <f>ROUND(H198*1.55, 2)</f>
      </c>
      <c r="O198" s="33">
        <f>ROUND(H198*1.65, 2)</f>
      </c>
      <c r="P198" s="33">
        <f>SUM(I198:O198)</f>
      </c>
      <c r="Q198" s="33">
        <f>ROUND(H198*1.5, 2)</f>
      </c>
      <c r="R198" s="33">
        <f>ROUND(H198*2.0, 2)</f>
      </c>
      <c r="S198" s="14">
        <f>IF(F198&lt;=R198, "TRIGGER INDENT", "STOCK HEALTHY")</f>
      </c>
      <c r="T198" s="33">
        <f>IF(F198&lt;=R198, ROUND(MAX(H198, (I198+Q198)-F198), 2), 0)</f>
      </c>
    </row>
    <row r="199" ht="20" customHeight="1" spans="1:20" x14ac:dyDescent="0.25">
      <c r="A199" s="12" t="s">
        <v>563</v>
      </c>
      <c r="B199" s="12" t="s">
        <v>564</v>
      </c>
      <c r="C199" s="12" t="s">
        <v>334</v>
      </c>
      <c r="D199" s="12" t="s">
        <v>510</v>
      </c>
      <c r="E199" s="30">
        <v>134.6199951171875</v>
      </c>
      <c r="F199" s="31">
        <v>864</v>
      </c>
      <c r="G199" s="12" t="s">
        <v>160</v>
      </c>
      <c r="H199" s="31">
        <v>69.12</v>
      </c>
      <c r="I199" s="31">
        <f>ROUND(H199*1.0, 2)</f>
      </c>
      <c r="J199" s="31">
        <f>ROUND(H199*0.95, 2)</f>
      </c>
      <c r="K199" s="31">
        <f>ROUND(H199*0.95, 2)</f>
      </c>
      <c r="L199" s="31">
        <f>ROUND(H199*1.05, 2)</f>
      </c>
      <c r="M199" s="31">
        <f>ROUND(H199*1.25, 2)</f>
      </c>
      <c r="N199" s="31">
        <f>ROUND(H199*1.55, 2)</f>
      </c>
      <c r="O199" s="31">
        <f>ROUND(H199*1.65, 2)</f>
      </c>
      <c r="P199" s="31">
        <f>SUM(I199:O199)</f>
      </c>
      <c r="Q199" s="31">
        <f>ROUND(H199*1.5, 2)</f>
      </c>
      <c r="R199" s="31">
        <f>ROUND(H199*2.0, 2)</f>
      </c>
      <c r="S199" s="12">
        <f>IF(F199&lt;=R199, "TRIGGER INDENT", "STOCK HEALTHY")</f>
      </c>
      <c r="T199" s="31">
        <f>IF(F199&lt;=R199, ROUND(MAX(H199, (I199+Q199)-F199), 2), 0)</f>
      </c>
    </row>
    <row r="200" ht="20" customHeight="1" spans="1:20" x14ac:dyDescent="0.25">
      <c r="A200" s="14" t="s">
        <v>565</v>
      </c>
      <c r="B200" s="14" t="s">
        <v>566</v>
      </c>
      <c r="C200" s="14" t="s">
        <v>334</v>
      </c>
      <c r="D200" s="14" t="s">
        <v>510</v>
      </c>
      <c r="E200" s="32">
        <v>191.25</v>
      </c>
      <c r="F200" s="33">
        <v>48</v>
      </c>
      <c r="G200" s="14" t="s">
        <v>149</v>
      </c>
      <c r="H200" s="33">
        <v>9.6</v>
      </c>
      <c r="I200" s="33">
        <f>ROUND(H200*1.0, 2)</f>
      </c>
      <c r="J200" s="33">
        <f>ROUND(H200*0.95, 2)</f>
      </c>
      <c r="K200" s="33">
        <f>ROUND(H200*0.95, 2)</f>
      </c>
      <c r="L200" s="33">
        <f>ROUND(H200*1.05, 2)</f>
      </c>
      <c r="M200" s="33">
        <f>ROUND(H200*1.25, 2)</f>
      </c>
      <c r="N200" s="33">
        <f>ROUND(H200*1.55, 2)</f>
      </c>
      <c r="O200" s="33">
        <f>ROUND(H200*1.65, 2)</f>
      </c>
      <c r="P200" s="33">
        <f>SUM(I200:O200)</f>
      </c>
      <c r="Q200" s="33">
        <f>ROUND(H200*1.5, 2)</f>
      </c>
      <c r="R200" s="33">
        <f>ROUND(H200*2.0, 2)</f>
      </c>
      <c r="S200" s="14">
        <f>IF(F200&lt;=R200, "TRIGGER INDENT", "STOCK HEALTHY")</f>
      </c>
      <c r="T200" s="33">
        <f>IF(F200&lt;=R200, ROUND(MAX(H200, (I200+Q200)-F200), 2), 0)</f>
      </c>
    </row>
    <row r="201" ht="20" customHeight="1" spans="1:20" x14ac:dyDescent="0.25">
      <c r="A201" s="12" t="s">
        <v>567</v>
      </c>
      <c r="B201" s="12" t="s">
        <v>568</v>
      </c>
      <c r="C201" s="12" t="s">
        <v>334</v>
      </c>
      <c r="D201" s="12" t="s">
        <v>510</v>
      </c>
      <c r="E201" s="30">
        <v>170.32000732421875</v>
      </c>
      <c r="F201" s="31">
        <v>576</v>
      </c>
      <c r="G201" s="12" t="s">
        <v>186</v>
      </c>
      <c r="H201" s="31">
        <v>46.08</v>
      </c>
      <c r="I201" s="31">
        <f>ROUND(H201*1.0, 2)</f>
      </c>
      <c r="J201" s="31">
        <f>ROUND(H201*0.95, 2)</f>
      </c>
      <c r="K201" s="31">
        <f>ROUND(H201*0.95, 2)</f>
      </c>
      <c r="L201" s="31">
        <f>ROUND(H201*1.05, 2)</f>
      </c>
      <c r="M201" s="31">
        <f>ROUND(H201*1.25, 2)</f>
      </c>
      <c r="N201" s="31">
        <f>ROUND(H201*1.55, 2)</f>
      </c>
      <c r="O201" s="31">
        <f>ROUND(H201*1.65, 2)</f>
      </c>
      <c r="P201" s="31">
        <f>SUM(I201:O201)</f>
      </c>
      <c r="Q201" s="31">
        <f>ROUND(H201*1.5, 2)</f>
      </c>
      <c r="R201" s="31">
        <f>ROUND(H201*2.0, 2)</f>
      </c>
      <c r="S201" s="12">
        <f>IF(F201&lt;=R201, "TRIGGER INDENT", "STOCK HEALTHY")</f>
      </c>
      <c r="T201" s="31">
        <f>IF(F201&lt;=R201, ROUND(MAX(H201, (I201+Q201)-F201), 2), 0)</f>
      </c>
    </row>
    <row r="202" ht="20" customHeight="1" spans="1:20" x14ac:dyDescent="0.25">
      <c r="A202" s="14" t="s">
        <v>569</v>
      </c>
      <c r="B202" s="14" t="s">
        <v>570</v>
      </c>
      <c r="C202" s="14" t="s">
        <v>137</v>
      </c>
      <c r="D202" s="14" t="s">
        <v>138</v>
      </c>
      <c r="E202" s="32">
        <v>0.009999999776482582</v>
      </c>
      <c r="F202" s="33">
        <v>9120</v>
      </c>
      <c r="G202" s="14" t="s">
        <v>154</v>
      </c>
      <c r="H202" s="33">
        <v>456</v>
      </c>
      <c r="I202" s="33">
        <f>ROUND(H202*1.0, 2)</f>
      </c>
      <c r="J202" s="33">
        <f>ROUND(H202*0.95, 2)</f>
      </c>
      <c r="K202" s="33">
        <f>ROUND(H202*0.95, 2)</f>
      </c>
      <c r="L202" s="33">
        <f>ROUND(H202*1.05, 2)</f>
      </c>
      <c r="M202" s="33">
        <f>ROUND(H202*1.25, 2)</f>
      </c>
      <c r="N202" s="33">
        <f>ROUND(H202*1.55, 2)</f>
      </c>
      <c r="O202" s="33">
        <f>ROUND(H202*1.65, 2)</f>
      </c>
      <c r="P202" s="33">
        <f>SUM(I202:O202)</f>
      </c>
      <c r="Q202" s="33">
        <f>ROUND(H202*1.5, 2)</f>
      </c>
      <c r="R202" s="33">
        <f>ROUND(H202*2.0, 2)</f>
      </c>
      <c r="S202" s="14">
        <f>IF(F202&lt;=R202, "TRIGGER INDENT", "STOCK HEALTHY")</f>
      </c>
      <c r="T202" s="33">
        <f>IF(F202&lt;=R202, ROUND(MAX(H202, (I202+Q202)-F202), 2), 0)</f>
      </c>
    </row>
    <row r="203" ht="20" customHeight="1" spans="1:20" x14ac:dyDescent="0.25">
      <c r="A203" s="12" t="s">
        <v>571</v>
      </c>
      <c r="B203" s="12" t="s">
        <v>572</v>
      </c>
      <c r="C203" s="12" t="s">
        <v>211</v>
      </c>
      <c r="D203" s="12" t="s">
        <v>153</v>
      </c>
      <c r="E203" s="30">
        <v>97.56999969482422</v>
      </c>
      <c r="F203" s="31">
        <v>1344</v>
      </c>
      <c r="G203" s="12" t="s">
        <v>149</v>
      </c>
      <c r="H203" s="31">
        <v>67.2</v>
      </c>
      <c r="I203" s="31">
        <f>ROUND(H203*1.0, 2)</f>
      </c>
      <c r="J203" s="31">
        <f>ROUND(H203*0.95, 2)</f>
      </c>
      <c r="K203" s="31">
        <f>ROUND(H203*0.95, 2)</f>
      </c>
      <c r="L203" s="31">
        <f>ROUND(H203*1.05, 2)</f>
      </c>
      <c r="M203" s="31">
        <f>ROUND(H203*1.25, 2)</f>
      </c>
      <c r="N203" s="31">
        <f>ROUND(H203*1.55, 2)</f>
      </c>
      <c r="O203" s="31">
        <f>ROUND(H203*1.65, 2)</f>
      </c>
      <c r="P203" s="31">
        <f>SUM(I203:O203)</f>
      </c>
      <c r="Q203" s="31">
        <f>ROUND(H203*1.5, 2)</f>
      </c>
      <c r="R203" s="31">
        <f>ROUND(H203*2.0, 2)</f>
      </c>
      <c r="S203" s="12">
        <f>IF(F203&lt;=R203, "TRIGGER INDENT", "STOCK HEALTHY")</f>
      </c>
      <c r="T203" s="31">
        <f>IF(F203&lt;=R203, ROUND(MAX(H203, (I203+Q203)-F203), 2), 0)</f>
      </c>
    </row>
    <row r="204" ht="20" customHeight="1" spans="1:20" x14ac:dyDescent="0.25">
      <c r="A204" s="14" t="s">
        <v>573</v>
      </c>
      <c r="B204" s="14" t="s">
        <v>574</v>
      </c>
      <c r="C204" s="14" t="s">
        <v>137</v>
      </c>
      <c r="D204" s="14" t="s">
        <v>138</v>
      </c>
      <c r="E204" s="32">
        <v>120</v>
      </c>
      <c r="F204" s="33">
        <v>144</v>
      </c>
      <c r="G204" s="14" t="s">
        <v>160</v>
      </c>
      <c r="H204" s="33">
        <v>17.28</v>
      </c>
      <c r="I204" s="33">
        <f>ROUND(H204*1.0, 2)</f>
      </c>
      <c r="J204" s="33">
        <f>ROUND(H204*0.95, 2)</f>
      </c>
      <c r="K204" s="33">
        <f>ROUND(H204*0.95, 2)</f>
      </c>
      <c r="L204" s="33">
        <f>ROUND(H204*1.05, 2)</f>
      </c>
      <c r="M204" s="33">
        <f>ROUND(H204*1.25, 2)</f>
      </c>
      <c r="N204" s="33">
        <f>ROUND(H204*1.55, 2)</f>
      </c>
      <c r="O204" s="33">
        <f>ROUND(H204*1.65, 2)</f>
      </c>
      <c r="P204" s="33">
        <f>SUM(I204:O204)</f>
      </c>
      <c r="Q204" s="33">
        <f>ROUND(H204*1.5, 2)</f>
      </c>
      <c r="R204" s="33">
        <f>ROUND(H204*2.0, 2)</f>
      </c>
      <c r="S204" s="14">
        <f>IF(F204&lt;=R204, "TRIGGER INDENT", "STOCK HEALTHY")</f>
      </c>
      <c r="T204" s="33">
        <f>IF(F204&lt;=R204, ROUND(MAX(H204, (I204+Q204)-F204), 2), 0)</f>
      </c>
    </row>
    <row r="205" ht="20" customHeight="1" spans="1:20" x14ac:dyDescent="0.25">
      <c r="A205" s="12" t="s">
        <v>575</v>
      </c>
      <c r="B205" s="12" t="s">
        <v>576</v>
      </c>
      <c r="C205" s="12" t="s">
        <v>159</v>
      </c>
      <c r="D205" s="12" t="s">
        <v>153</v>
      </c>
      <c r="E205" s="30">
        <v>91.95999908447266</v>
      </c>
      <c r="F205" s="31">
        <v>1.5100002</v>
      </c>
      <c r="G205" s="12" t="s">
        <v>160</v>
      </c>
      <c r="H205" s="31">
        <v>1</v>
      </c>
      <c r="I205" s="31">
        <f>ROUND(H205*1.0, 2)</f>
      </c>
      <c r="J205" s="31">
        <f>ROUND(H205*0.95, 2)</f>
      </c>
      <c r="K205" s="31">
        <f>ROUND(H205*0.95, 2)</f>
      </c>
      <c r="L205" s="31">
        <f>ROUND(H205*1.05, 2)</f>
      </c>
      <c r="M205" s="31">
        <f>ROUND(H205*1.25, 2)</f>
      </c>
      <c r="N205" s="31">
        <f>ROUND(H205*1.55, 2)</f>
      </c>
      <c r="O205" s="31">
        <f>ROUND(H205*1.65, 2)</f>
      </c>
      <c r="P205" s="31">
        <f>SUM(I205:O205)</f>
      </c>
      <c r="Q205" s="31">
        <f>ROUND(H205*1.5, 2)</f>
      </c>
      <c r="R205" s="31">
        <f>ROUND(H205*2.0, 2)</f>
      </c>
      <c r="S205" s="12">
        <f>IF(F205&lt;=R205, "TRIGGER INDENT", "STOCK HEALTHY")</f>
      </c>
      <c r="T205" s="31">
        <f>IF(F205&lt;=R205, ROUND(MAX(H205, (I205+Q205)-F205), 2), 0)</f>
      </c>
    </row>
    <row r="206" ht="20" customHeight="1" spans="1:20" x14ac:dyDescent="0.25">
      <c r="A206" s="14" t="s">
        <v>577</v>
      </c>
      <c r="B206" s="14" t="s">
        <v>578</v>
      </c>
      <c r="C206" s="14" t="s">
        <v>170</v>
      </c>
      <c r="D206" s="14" t="s">
        <v>198</v>
      </c>
      <c r="E206" s="32">
        <v>53.75</v>
      </c>
      <c r="F206" s="33">
        <v>1.5100002</v>
      </c>
      <c r="G206" s="14" t="s">
        <v>149</v>
      </c>
      <c r="H206" s="33">
        <v>1</v>
      </c>
      <c r="I206" s="33">
        <f>ROUND(H206*1.0, 2)</f>
      </c>
      <c r="J206" s="33">
        <f>ROUND(H206*0.95, 2)</f>
      </c>
      <c r="K206" s="33">
        <f>ROUND(H206*0.95, 2)</f>
      </c>
      <c r="L206" s="33">
        <f>ROUND(H206*1.05, 2)</f>
      </c>
      <c r="M206" s="33">
        <f>ROUND(H206*1.25, 2)</f>
      </c>
      <c r="N206" s="33">
        <f>ROUND(H206*1.55, 2)</f>
      </c>
      <c r="O206" s="33">
        <f>ROUND(H206*1.65, 2)</f>
      </c>
      <c r="P206" s="33">
        <f>SUM(I206:O206)</f>
      </c>
      <c r="Q206" s="33">
        <f>ROUND(H206*1.5, 2)</f>
      </c>
      <c r="R206" s="33">
        <f>ROUND(H206*2.0, 2)</f>
      </c>
      <c r="S206" s="14">
        <f>IF(F206&lt;=R206, "TRIGGER INDENT", "STOCK HEALTHY")</f>
      </c>
      <c r="T206" s="33">
        <f>IF(F206&lt;=R206, ROUND(MAX(H206, (I206+Q206)-F206), 2), 0)</f>
      </c>
    </row>
    <row r="207" ht="20" customHeight="1" spans="1:20" x14ac:dyDescent="0.25">
      <c r="A207" s="12" t="s">
        <v>579</v>
      </c>
      <c r="B207" s="12" t="s">
        <v>580</v>
      </c>
      <c r="C207" s="12" t="s">
        <v>211</v>
      </c>
      <c r="D207" s="12" t="s">
        <v>153</v>
      </c>
      <c r="E207" s="30">
        <v>102</v>
      </c>
      <c r="F207" s="31">
        <v>32</v>
      </c>
      <c r="G207" s="12" t="s">
        <v>154</v>
      </c>
      <c r="H207" s="31">
        <v>6.4</v>
      </c>
      <c r="I207" s="31">
        <f>ROUND(H207*1.0, 2)</f>
      </c>
      <c r="J207" s="31">
        <f>ROUND(H207*0.95, 2)</f>
      </c>
      <c r="K207" s="31">
        <f>ROUND(H207*0.95, 2)</f>
      </c>
      <c r="L207" s="31">
        <f>ROUND(H207*1.05, 2)</f>
      </c>
      <c r="M207" s="31">
        <f>ROUND(H207*1.25, 2)</f>
      </c>
      <c r="N207" s="31">
        <f>ROUND(H207*1.55, 2)</f>
      </c>
      <c r="O207" s="31">
        <f>ROUND(H207*1.65, 2)</f>
      </c>
      <c r="P207" s="31">
        <f>SUM(I207:O207)</f>
      </c>
      <c r="Q207" s="31">
        <f>ROUND(H207*1.5, 2)</f>
      </c>
      <c r="R207" s="31">
        <f>ROUND(H207*2.0, 2)</f>
      </c>
      <c r="S207" s="12">
        <f>IF(F207&lt;=R207, "TRIGGER INDENT", "STOCK HEALTHY")</f>
      </c>
      <c r="T207" s="31">
        <f>IF(F207&lt;=R207, ROUND(MAX(H207, (I207+Q207)-F207), 2), 0)</f>
      </c>
    </row>
    <row r="208" ht="20" customHeight="1" spans="1:20" x14ac:dyDescent="0.25">
      <c r="A208" s="14" t="s">
        <v>581</v>
      </c>
      <c r="B208" s="14" t="s">
        <v>582</v>
      </c>
      <c r="C208" s="14" t="s">
        <v>257</v>
      </c>
      <c r="D208" s="14" t="s">
        <v>198</v>
      </c>
      <c r="E208" s="32">
        <v>420.9700012207031</v>
      </c>
      <c r="F208" s="33">
        <v>160</v>
      </c>
      <c r="G208" s="14" t="s">
        <v>177</v>
      </c>
      <c r="H208" s="33">
        <v>19.2</v>
      </c>
      <c r="I208" s="33">
        <f>ROUND(H208*1.0, 2)</f>
      </c>
      <c r="J208" s="33">
        <f>ROUND(H208*0.95, 2)</f>
      </c>
      <c r="K208" s="33">
        <f>ROUND(H208*0.95, 2)</f>
      </c>
      <c r="L208" s="33">
        <f>ROUND(H208*1.05, 2)</f>
      </c>
      <c r="M208" s="33">
        <f>ROUND(H208*1.25, 2)</f>
      </c>
      <c r="N208" s="33">
        <f>ROUND(H208*1.55, 2)</f>
      </c>
      <c r="O208" s="33">
        <f>ROUND(H208*1.65, 2)</f>
      </c>
      <c r="P208" s="33">
        <f>SUM(I208:O208)</f>
      </c>
      <c r="Q208" s="33">
        <f>ROUND(H208*1.5, 2)</f>
      </c>
      <c r="R208" s="33">
        <f>ROUND(H208*2.0, 2)</f>
      </c>
      <c r="S208" s="14">
        <f>IF(F208&lt;=R208, "TRIGGER INDENT", "STOCK HEALTHY")</f>
      </c>
      <c r="T208" s="33">
        <f>IF(F208&lt;=R208, ROUND(MAX(H208, (I208+Q208)-F208), 2), 0)</f>
      </c>
    </row>
    <row r="209" ht="20" customHeight="1" spans="1:20" x14ac:dyDescent="0.25">
      <c r="A209" s="12" t="s">
        <v>583</v>
      </c>
      <c r="B209" s="12" t="s">
        <v>584</v>
      </c>
      <c r="C209" s="12" t="s">
        <v>152</v>
      </c>
      <c r="D209" s="12" t="s">
        <v>198</v>
      </c>
      <c r="E209" s="30">
        <v>144.1699981689453</v>
      </c>
      <c r="F209" s="31">
        <v>240</v>
      </c>
      <c r="G209" s="12" t="s">
        <v>139</v>
      </c>
      <c r="H209" s="31">
        <v>19.2</v>
      </c>
      <c r="I209" s="31">
        <f>ROUND(H209*1.0, 2)</f>
      </c>
      <c r="J209" s="31">
        <f>ROUND(H209*0.95, 2)</f>
      </c>
      <c r="K209" s="31">
        <f>ROUND(H209*0.95, 2)</f>
      </c>
      <c r="L209" s="31">
        <f>ROUND(H209*1.05, 2)</f>
      </c>
      <c r="M209" s="31">
        <f>ROUND(H209*1.25, 2)</f>
      </c>
      <c r="N209" s="31">
        <f>ROUND(H209*1.55, 2)</f>
      </c>
      <c r="O209" s="31">
        <f>ROUND(H209*1.65, 2)</f>
      </c>
      <c r="P209" s="31">
        <f>SUM(I209:O209)</f>
      </c>
      <c r="Q209" s="31">
        <f>ROUND(H209*1.5, 2)</f>
      </c>
      <c r="R209" s="31">
        <f>ROUND(H209*2.0, 2)</f>
      </c>
      <c r="S209" s="12">
        <f>IF(F209&lt;=R209, "TRIGGER INDENT", "STOCK HEALTHY")</f>
      </c>
      <c r="T209" s="31">
        <f>IF(F209&lt;=R209, ROUND(MAX(H209, (I209+Q209)-F209), 2), 0)</f>
      </c>
    </row>
    <row r="210" ht="20" customHeight="1" spans="1:20" x14ac:dyDescent="0.25">
      <c r="A210" s="14" t="s">
        <v>585</v>
      </c>
      <c r="B210" s="14" t="s">
        <v>586</v>
      </c>
      <c r="C210" s="14" t="s">
        <v>170</v>
      </c>
      <c r="D210" s="14" t="s">
        <v>153</v>
      </c>
      <c r="E210" s="32">
        <v>69.47000122070312</v>
      </c>
      <c r="F210" s="33">
        <v>112</v>
      </c>
      <c r="G210" s="14" t="s">
        <v>293</v>
      </c>
      <c r="H210" s="33">
        <v>13.44</v>
      </c>
      <c r="I210" s="33">
        <f>ROUND(H210*1.0, 2)</f>
      </c>
      <c r="J210" s="33">
        <f>ROUND(H210*0.95, 2)</f>
      </c>
      <c r="K210" s="33">
        <f>ROUND(H210*0.95, 2)</f>
      </c>
      <c r="L210" s="33">
        <f>ROUND(H210*1.05, 2)</f>
      </c>
      <c r="M210" s="33">
        <f>ROUND(H210*1.25, 2)</f>
      </c>
      <c r="N210" s="33">
        <f>ROUND(H210*1.55, 2)</f>
      </c>
      <c r="O210" s="33">
        <f>ROUND(H210*1.65, 2)</f>
      </c>
      <c r="P210" s="33">
        <f>SUM(I210:O210)</f>
      </c>
      <c r="Q210" s="33">
        <f>ROUND(H210*1.5, 2)</f>
      </c>
      <c r="R210" s="33">
        <f>ROUND(H210*2.0, 2)</f>
      </c>
      <c r="S210" s="14">
        <f>IF(F210&lt;=R210, "TRIGGER INDENT", "STOCK HEALTHY")</f>
      </c>
      <c r="T210" s="33">
        <f>IF(F210&lt;=R210, ROUND(MAX(H210, (I210+Q210)-F210), 2), 0)</f>
      </c>
    </row>
    <row r="211" ht="20" customHeight="1" spans="1:20" x14ac:dyDescent="0.25">
      <c r="A211" s="12" t="s">
        <v>587</v>
      </c>
      <c r="B211" s="12" t="s">
        <v>588</v>
      </c>
      <c r="C211" s="12" t="s">
        <v>415</v>
      </c>
      <c r="D211" s="12" t="s">
        <v>198</v>
      </c>
      <c r="E211" s="30">
        <v>64.87999725341797</v>
      </c>
      <c r="F211" s="31">
        <v>80</v>
      </c>
      <c r="G211" s="12" t="s">
        <v>142</v>
      </c>
      <c r="H211" s="31">
        <v>9.6</v>
      </c>
      <c r="I211" s="31">
        <f>ROUND(H211*1.0, 2)</f>
      </c>
      <c r="J211" s="31">
        <f>ROUND(H211*0.95, 2)</f>
      </c>
      <c r="K211" s="31">
        <f>ROUND(H211*0.95, 2)</f>
      </c>
      <c r="L211" s="31">
        <f>ROUND(H211*1.05, 2)</f>
      </c>
      <c r="M211" s="31">
        <f>ROUND(H211*1.25, 2)</f>
      </c>
      <c r="N211" s="31">
        <f>ROUND(H211*1.55, 2)</f>
      </c>
      <c r="O211" s="31">
        <f>ROUND(H211*1.65, 2)</f>
      </c>
      <c r="P211" s="31">
        <f>SUM(I211:O211)</f>
      </c>
      <c r="Q211" s="31">
        <f>ROUND(H211*1.5, 2)</f>
      </c>
      <c r="R211" s="31">
        <f>ROUND(H211*2.0, 2)</f>
      </c>
      <c r="S211" s="12">
        <f>IF(F211&lt;=R211, "TRIGGER INDENT", "STOCK HEALTHY")</f>
      </c>
      <c r="T211" s="31">
        <f>IF(F211&lt;=R211, ROUND(MAX(H211, (I211+Q211)-F211), 2), 0)</f>
      </c>
    </row>
    <row r="212" ht="20" customHeight="1" spans="1:20" x14ac:dyDescent="0.25">
      <c r="A212" s="14" t="s">
        <v>589</v>
      </c>
      <c r="B212" s="14" t="s">
        <v>590</v>
      </c>
      <c r="C212" s="14" t="s">
        <v>159</v>
      </c>
      <c r="D212" s="14" t="s">
        <v>153</v>
      </c>
      <c r="E212" s="32">
        <v>51.150001525878906</v>
      </c>
      <c r="F212" s="33">
        <v>1.5100002</v>
      </c>
      <c r="G212" s="14" t="s">
        <v>186</v>
      </c>
      <c r="H212" s="33">
        <v>1</v>
      </c>
      <c r="I212" s="33">
        <f>ROUND(H212*1.0, 2)</f>
      </c>
      <c r="J212" s="33">
        <f>ROUND(H212*0.95, 2)</f>
      </c>
      <c r="K212" s="33">
        <f>ROUND(H212*0.95, 2)</f>
      </c>
      <c r="L212" s="33">
        <f>ROUND(H212*1.05, 2)</f>
      </c>
      <c r="M212" s="33">
        <f>ROUND(H212*1.25, 2)</f>
      </c>
      <c r="N212" s="33">
        <f>ROUND(H212*1.55, 2)</f>
      </c>
      <c r="O212" s="33">
        <f>ROUND(H212*1.65, 2)</f>
      </c>
      <c r="P212" s="33">
        <f>SUM(I212:O212)</f>
      </c>
      <c r="Q212" s="33">
        <f>ROUND(H212*1.5, 2)</f>
      </c>
      <c r="R212" s="33">
        <f>ROUND(H212*2.0, 2)</f>
      </c>
      <c r="S212" s="14">
        <f>IF(F212&lt;=R212, "TRIGGER INDENT", "STOCK HEALTHY")</f>
      </c>
      <c r="T212" s="33">
        <f>IF(F212&lt;=R212, ROUND(MAX(H212, (I212+Q212)-F212), 2), 0)</f>
      </c>
    </row>
    <row r="213" ht="20" customHeight="1" spans="1:20" x14ac:dyDescent="0.25">
      <c r="A213" s="12" t="s">
        <v>591</v>
      </c>
      <c r="B213" s="12" t="s">
        <v>592</v>
      </c>
      <c r="C213" s="12" t="s">
        <v>324</v>
      </c>
      <c r="D213" s="12" t="s">
        <v>148</v>
      </c>
      <c r="E213" s="30">
        <v>200.3800048828125</v>
      </c>
      <c r="F213" s="31">
        <v>224</v>
      </c>
      <c r="G213" s="12" t="s">
        <v>154</v>
      </c>
      <c r="H213" s="31">
        <v>17.92</v>
      </c>
      <c r="I213" s="31">
        <f>ROUND(H213*1.0, 2)</f>
      </c>
      <c r="J213" s="31">
        <f>ROUND(H213*0.95, 2)</f>
      </c>
      <c r="K213" s="31">
        <f>ROUND(H213*0.95, 2)</f>
      </c>
      <c r="L213" s="31">
        <f>ROUND(H213*1.05, 2)</f>
      </c>
      <c r="M213" s="31">
        <f>ROUND(H213*1.25, 2)</f>
      </c>
      <c r="N213" s="31">
        <f>ROUND(H213*1.55, 2)</f>
      </c>
      <c r="O213" s="31">
        <f>ROUND(H213*1.65, 2)</f>
      </c>
      <c r="P213" s="31">
        <f>SUM(I213:O213)</f>
      </c>
      <c r="Q213" s="31">
        <f>ROUND(H213*1.5, 2)</f>
      </c>
      <c r="R213" s="31">
        <f>ROUND(H213*2.0, 2)</f>
      </c>
      <c r="S213" s="12">
        <f>IF(F213&lt;=R213, "TRIGGER INDENT", "STOCK HEALTHY")</f>
      </c>
      <c r="T213" s="31">
        <f>IF(F213&lt;=R213, ROUND(MAX(H213, (I213+Q213)-F213), 2), 0)</f>
      </c>
    </row>
    <row r="214" ht="20" customHeight="1" spans="1:20" x14ac:dyDescent="0.25">
      <c r="A214" s="14" t="s">
        <v>593</v>
      </c>
      <c r="B214" s="14" t="s">
        <v>594</v>
      </c>
      <c r="C214" s="14" t="s">
        <v>288</v>
      </c>
      <c r="D214" s="14" t="s">
        <v>153</v>
      </c>
      <c r="E214" s="32">
        <v>773.260009765625</v>
      </c>
      <c r="F214" s="33">
        <v>1.5100002</v>
      </c>
      <c r="G214" s="14" t="s">
        <v>142</v>
      </c>
      <c r="H214" s="33">
        <v>1</v>
      </c>
      <c r="I214" s="33">
        <f>ROUND(H214*1.0, 2)</f>
      </c>
      <c r="J214" s="33">
        <f>ROUND(H214*0.95, 2)</f>
      </c>
      <c r="K214" s="33">
        <f>ROUND(H214*0.95, 2)</f>
      </c>
      <c r="L214" s="33">
        <f>ROUND(H214*1.05, 2)</f>
      </c>
      <c r="M214" s="33">
        <f>ROUND(H214*1.25, 2)</f>
      </c>
      <c r="N214" s="33">
        <f>ROUND(H214*1.55, 2)</f>
      </c>
      <c r="O214" s="33">
        <f>ROUND(H214*1.65, 2)</f>
      </c>
      <c r="P214" s="33">
        <f>SUM(I214:O214)</f>
      </c>
      <c r="Q214" s="33">
        <f>ROUND(H214*1.5, 2)</f>
      </c>
      <c r="R214" s="33">
        <f>ROUND(H214*2.0, 2)</f>
      </c>
      <c r="S214" s="14">
        <f>IF(F214&lt;=R214, "TRIGGER INDENT", "STOCK HEALTHY")</f>
      </c>
      <c r="T214" s="33">
        <f>IF(F214&lt;=R214, ROUND(MAX(H214, (I214+Q214)-F214), 2), 0)</f>
      </c>
    </row>
    <row r="215" ht="20" customHeight="1" spans="1:20" x14ac:dyDescent="0.25">
      <c r="A215" s="12" t="s">
        <v>595</v>
      </c>
      <c r="B215" s="12" t="s">
        <v>596</v>
      </c>
      <c r="C215" s="12" t="s">
        <v>288</v>
      </c>
      <c r="D215" s="12" t="s">
        <v>153</v>
      </c>
      <c r="E215" s="30">
        <v>926.6699829101562</v>
      </c>
      <c r="F215" s="31">
        <v>1.5100002</v>
      </c>
      <c r="G215" s="12" t="s">
        <v>142</v>
      </c>
      <c r="H215" s="31">
        <v>1</v>
      </c>
      <c r="I215" s="31">
        <f>ROUND(H215*1.0, 2)</f>
      </c>
      <c r="J215" s="31">
        <f>ROUND(H215*0.95, 2)</f>
      </c>
      <c r="K215" s="31">
        <f>ROUND(H215*0.95, 2)</f>
      </c>
      <c r="L215" s="31">
        <f>ROUND(H215*1.05, 2)</f>
      </c>
      <c r="M215" s="31">
        <f>ROUND(H215*1.25, 2)</f>
      </c>
      <c r="N215" s="31">
        <f>ROUND(H215*1.55, 2)</f>
      </c>
      <c r="O215" s="31">
        <f>ROUND(H215*1.65, 2)</f>
      </c>
      <c r="P215" s="31">
        <f>SUM(I215:O215)</f>
      </c>
      <c r="Q215" s="31">
        <f>ROUND(H215*1.5, 2)</f>
      </c>
      <c r="R215" s="31">
        <f>ROUND(H215*2.0, 2)</f>
      </c>
      <c r="S215" s="12">
        <f>IF(F215&lt;=R215, "TRIGGER INDENT", "STOCK HEALTHY")</f>
      </c>
      <c r="T215" s="31">
        <f>IF(F215&lt;=R215, ROUND(MAX(H215, (I215+Q215)-F215), 2), 0)</f>
      </c>
    </row>
    <row r="216" ht="20" customHeight="1" spans="1:20" x14ac:dyDescent="0.25">
      <c r="A216" s="14" t="s">
        <v>597</v>
      </c>
      <c r="B216" s="14" t="s">
        <v>598</v>
      </c>
      <c r="C216" s="14" t="s">
        <v>137</v>
      </c>
      <c r="D216" s="14" t="s">
        <v>138</v>
      </c>
      <c r="E216" s="32">
        <v>2.4700000286102295</v>
      </c>
      <c r="F216" s="33">
        <v>2592</v>
      </c>
      <c r="G216" s="14" t="s">
        <v>154</v>
      </c>
      <c r="H216" s="33">
        <v>129.6</v>
      </c>
      <c r="I216" s="33">
        <f>ROUND(H216*1.0, 2)</f>
      </c>
      <c r="J216" s="33">
        <f>ROUND(H216*0.95, 2)</f>
      </c>
      <c r="K216" s="33">
        <f>ROUND(H216*0.95, 2)</f>
      </c>
      <c r="L216" s="33">
        <f>ROUND(H216*1.05, 2)</f>
      </c>
      <c r="M216" s="33">
        <f>ROUND(H216*1.25, 2)</f>
      </c>
      <c r="N216" s="33">
        <f>ROUND(H216*1.55, 2)</f>
      </c>
      <c r="O216" s="33">
        <f>ROUND(H216*1.65, 2)</f>
      </c>
      <c r="P216" s="33">
        <f>SUM(I216:O216)</f>
      </c>
      <c r="Q216" s="33">
        <f>ROUND(H216*1.5, 2)</f>
      </c>
      <c r="R216" s="33">
        <f>ROUND(H216*2.0, 2)</f>
      </c>
      <c r="S216" s="14">
        <f>IF(F216&lt;=R216, "TRIGGER INDENT", "STOCK HEALTHY")</f>
      </c>
      <c r="T216" s="33">
        <f>IF(F216&lt;=R216, ROUND(MAX(H216, (I216+Q216)-F216), 2), 0)</f>
      </c>
    </row>
    <row r="217" ht="20" customHeight="1" spans="1:20" x14ac:dyDescent="0.25">
      <c r="A217" s="12" t="s">
        <v>599</v>
      </c>
      <c r="B217" s="12" t="s">
        <v>600</v>
      </c>
      <c r="C217" s="12" t="s">
        <v>137</v>
      </c>
      <c r="D217" s="12" t="s">
        <v>198</v>
      </c>
      <c r="E217" s="30">
        <v>20</v>
      </c>
      <c r="F217" s="31">
        <v>5952</v>
      </c>
      <c r="G217" s="12" t="s">
        <v>160</v>
      </c>
      <c r="H217" s="31">
        <v>297.6</v>
      </c>
      <c r="I217" s="31">
        <f>ROUND(H217*1.0, 2)</f>
      </c>
      <c r="J217" s="31">
        <f>ROUND(H217*0.95, 2)</f>
      </c>
      <c r="K217" s="31">
        <f>ROUND(H217*0.95, 2)</f>
      </c>
      <c r="L217" s="31">
        <f>ROUND(H217*1.05, 2)</f>
      </c>
      <c r="M217" s="31">
        <f>ROUND(H217*1.25, 2)</f>
      </c>
      <c r="N217" s="31">
        <f>ROUND(H217*1.55, 2)</f>
      </c>
      <c r="O217" s="31">
        <f>ROUND(H217*1.65, 2)</f>
      </c>
      <c r="P217" s="31">
        <f>SUM(I217:O217)</f>
      </c>
      <c r="Q217" s="31">
        <f>ROUND(H217*1.5, 2)</f>
      </c>
      <c r="R217" s="31">
        <f>ROUND(H217*2.0, 2)</f>
      </c>
      <c r="S217" s="12">
        <f>IF(F217&lt;=R217, "TRIGGER INDENT", "STOCK HEALTHY")</f>
      </c>
      <c r="T217" s="31">
        <f>IF(F217&lt;=R217, ROUND(MAX(H217, (I217+Q217)-F217), 2), 0)</f>
      </c>
    </row>
    <row r="218" ht="20" customHeight="1" spans="1:20" x14ac:dyDescent="0.25">
      <c r="A218" s="14" t="s">
        <v>601</v>
      </c>
      <c r="B218" s="14" t="s">
        <v>602</v>
      </c>
      <c r="C218" s="14" t="s">
        <v>170</v>
      </c>
      <c r="D218" s="14" t="s">
        <v>198</v>
      </c>
      <c r="E218" s="32">
        <v>47.31999969482422</v>
      </c>
      <c r="F218" s="33">
        <v>496</v>
      </c>
      <c r="G218" s="14" t="s">
        <v>190</v>
      </c>
      <c r="H218" s="33">
        <v>39.68</v>
      </c>
      <c r="I218" s="33">
        <f>ROUND(H218*1.0, 2)</f>
      </c>
      <c r="J218" s="33">
        <f>ROUND(H218*0.95, 2)</f>
      </c>
      <c r="K218" s="33">
        <f>ROUND(H218*0.95, 2)</f>
      </c>
      <c r="L218" s="33">
        <f>ROUND(H218*1.05, 2)</f>
      </c>
      <c r="M218" s="33">
        <f>ROUND(H218*1.25, 2)</f>
      </c>
      <c r="N218" s="33">
        <f>ROUND(H218*1.55, 2)</f>
      </c>
      <c r="O218" s="33">
        <f>ROUND(H218*1.65, 2)</f>
      </c>
      <c r="P218" s="33">
        <f>SUM(I218:O218)</f>
      </c>
      <c r="Q218" s="33">
        <f>ROUND(H218*1.5, 2)</f>
      </c>
      <c r="R218" s="33">
        <f>ROUND(H218*2.0, 2)</f>
      </c>
      <c r="S218" s="14">
        <f>IF(F218&lt;=R218, "TRIGGER INDENT", "STOCK HEALTHY")</f>
      </c>
      <c r="T218" s="33">
        <f>IF(F218&lt;=R218, ROUND(MAX(H218, (I218+Q218)-F218), 2), 0)</f>
      </c>
    </row>
    <row r="219" ht="20" customHeight="1" spans="1:20" x14ac:dyDescent="0.25">
      <c r="A219" s="12" t="s">
        <v>603</v>
      </c>
      <c r="B219" s="12" t="s">
        <v>604</v>
      </c>
      <c r="C219" s="12" t="s">
        <v>170</v>
      </c>
      <c r="D219" s="12" t="s">
        <v>449</v>
      </c>
      <c r="E219" s="30">
        <v>345.7200012207031</v>
      </c>
      <c r="F219" s="31">
        <v>64</v>
      </c>
      <c r="G219" s="12" t="s">
        <v>190</v>
      </c>
      <c r="H219" s="31">
        <v>7.68</v>
      </c>
      <c r="I219" s="31">
        <f>ROUND(H219*1.0, 2)</f>
      </c>
      <c r="J219" s="31">
        <f>ROUND(H219*0.95, 2)</f>
      </c>
      <c r="K219" s="31">
        <f>ROUND(H219*0.95, 2)</f>
      </c>
      <c r="L219" s="31">
        <f>ROUND(H219*1.05, 2)</f>
      </c>
      <c r="M219" s="31">
        <f>ROUND(H219*1.25, 2)</f>
      </c>
      <c r="N219" s="31">
        <f>ROUND(H219*1.55, 2)</f>
      </c>
      <c r="O219" s="31">
        <f>ROUND(H219*1.65, 2)</f>
      </c>
      <c r="P219" s="31">
        <f>SUM(I219:O219)</f>
      </c>
      <c r="Q219" s="31">
        <f>ROUND(H219*1.5, 2)</f>
      </c>
      <c r="R219" s="31">
        <f>ROUND(H219*2.0, 2)</f>
      </c>
      <c r="S219" s="12">
        <f>IF(F219&lt;=R219, "TRIGGER INDENT", "STOCK HEALTHY")</f>
      </c>
      <c r="T219" s="31">
        <f>IF(F219&lt;=R219, ROUND(MAX(H219, (I219+Q219)-F219), 2), 0)</f>
      </c>
    </row>
    <row r="220" ht="20" customHeight="1" spans="1:20" x14ac:dyDescent="0.25">
      <c r="A220" s="14" t="s">
        <v>605</v>
      </c>
      <c r="B220" s="14" t="s">
        <v>606</v>
      </c>
      <c r="C220" s="14" t="s">
        <v>170</v>
      </c>
      <c r="D220" s="14" t="s">
        <v>198</v>
      </c>
      <c r="E220" s="32">
        <v>43.279998779296875</v>
      </c>
      <c r="F220" s="33">
        <v>272</v>
      </c>
      <c r="G220" s="14" t="s">
        <v>160</v>
      </c>
      <c r="H220" s="33">
        <v>21.76</v>
      </c>
      <c r="I220" s="33">
        <f>ROUND(H220*1.0, 2)</f>
      </c>
      <c r="J220" s="33">
        <f>ROUND(H220*0.95, 2)</f>
      </c>
      <c r="K220" s="33">
        <f>ROUND(H220*0.95, 2)</f>
      </c>
      <c r="L220" s="33">
        <f>ROUND(H220*1.05, 2)</f>
      </c>
      <c r="M220" s="33">
        <f>ROUND(H220*1.25, 2)</f>
      </c>
      <c r="N220" s="33">
        <f>ROUND(H220*1.55, 2)</f>
      </c>
      <c r="O220" s="33">
        <f>ROUND(H220*1.65, 2)</f>
      </c>
      <c r="P220" s="33">
        <f>SUM(I220:O220)</f>
      </c>
      <c r="Q220" s="33">
        <f>ROUND(H220*1.5, 2)</f>
      </c>
      <c r="R220" s="33">
        <f>ROUND(H220*2.0, 2)</f>
      </c>
      <c r="S220" s="14">
        <f>IF(F220&lt;=R220, "TRIGGER INDENT", "STOCK HEALTHY")</f>
      </c>
      <c r="T220" s="33">
        <f>IF(F220&lt;=R220, ROUND(MAX(H220, (I220+Q220)-F220), 2), 0)</f>
      </c>
    </row>
    <row r="221" ht="20" customHeight="1" spans="1:20" x14ac:dyDescent="0.25">
      <c r="A221" s="12" t="s">
        <v>607</v>
      </c>
      <c r="B221" s="12" t="s">
        <v>608</v>
      </c>
      <c r="C221" s="12" t="s">
        <v>415</v>
      </c>
      <c r="D221" s="12" t="s">
        <v>153</v>
      </c>
      <c r="E221" s="30">
        <v>14.220000267028809</v>
      </c>
      <c r="F221" s="31">
        <v>4152</v>
      </c>
      <c r="G221" s="12" t="s">
        <v>186</v>
      </c>
      <c r="H221" s="31">
        <v>207.6</v>
      </c>
      <c r="I221" s="31">
        <f>ROUND(H221*1.0, 2)</f>
      </c>
      <c r="J221" s="31">
        <f>ROUND(H221*0.95, 2)</f>
      </c>
      <c r="K221" s="31">
        <f>ROUND(H221*0.95, 2)</f>
      </c>
      <c r="L221" s="31">
        <f>ROUND(H221*1.05, 2)</f>
      </c>
      <c r="M221" s="31">
        <f>ROUND(H221*1.25, 2)</f>
      </c>
      <c r="N221" s="31">
        <f>ROUND(H221*1.55, 2)</f>
      </c>
      <c r="O221" s="31">
        <f>ROUND(H221*1.65, 2)</f>
      </c>
      <c r="P221" s="31">
        <f>SUM(I221:O221)</f>
      </c>
      <c r="Q221" s="31">
        <f>ROUND(H221*1.5, 2)</f>
      </c>
      <c r="R221" s="31">
        <f>ROUND(H221*2.0, 2)</f>
      </c>
      <c r="S221" s="12">
        <f>IF(F221&lt;=R221, "TRIGGER INDENT", "STOCK HEALTHY")</f>
      </c>
      <c r="T221" s="31">
        <f>IF(F221&lt;=R221, ROUND(MAX(H221, (I221+Q221)-F221), 2), 0)</f>
      </c>
    </row>
    <row r="222" ht="20" customHeight="1" spans="1:20" x14ac:dyDescent="0.25">
      <c r="A222" s="14" t="s">
        <v>609</v>
      </c>
      <c r="B222" s="14" t="s">
        <v>610</v>
      </c>
      <c r="C222" s="14" t="s">
        <v>159</v>
      </c>
      <c r="D222" s="14" t="s">
        <v>153</v>
      </c>
      <c r="E222" s="32">
        <v>177.47000122070312</v>
      </c>
      <c r="F222" s="33">
        <v>16</v>
      </c>
      <c r="G222" s="14" t="s">
        <v>160</v>
      </c>
      <c r="H222" s="33">
        <v>3.2</v>
      </c>
      <c r="I222" s="33">
        <f>ROUND(H222*1.0, 2)</f>
      </c>
      <c r="J222" s="33">
        <f>ROUND(H222*0.95, 2)</f>
      </c>
      <c r="K222" s="33">
        <f>ROUND(H222*0.95, 2)</f>
      </c>
      <c r="L222" s="33">
        <f>ROUND(H222*1.05, 2)</f>
      </c>
      <c r="M222" s="33">
        <f>ROUND(H222*1.25, 2)</f>
      </c>
      <c r="N222" s="33">
        <f>ROUND(H222*1.55, 2)</f>
      </c>
      <c r="O222" s="33">
        <f>ROUND(H222*1.65, 2)</f>
      </c>
      <c r="P222" s="33">
        <f>SUM(I222:O222)</f>
      </c>
      <c r="Q222" s="33">
        <f>ROUND(H222*1.5, 2)</f>
      </c>
      <c r="R222" s="33">
        <f>ROUND(H222*2.0, 2)</f>
      </c>
      <c r="S222" s="14">
        <f>IF(F222&lt;=R222, "TRIGGER INDENT", "STOCK HEALTHY")</f>
      </c>
      <c r="T222" s="33">
        <f>IF(F222&lt;=R222, ROUND(MAX(H222, (I222+Q222)-F222), 2), 0)</f>
      </c>
    </row>
    <row r="223" ht="20" customHeight="1" spans="1:20" x14ac:dyDescent="0.25">
      <c r="A223" s="12" t="s">
        <v>611</v>
      </c>
      <c r="B223" s="12" t="s">
        <v>612</v>
      </c>
      <c r="C223" s="12" t="s">
        <v>147</v>
      </c>
      <c r="D223" s="12" t="s">
        <v>148</v>
      </c>
      <c r="E223" s="30">
        <v>210</v>
      </c>
      <c r="F223" s="31">
        <v>16</v>
      </c>
      <c r="G223" s="12" t="s">
        <v>149</v>
      </c>
      <c r="H223" s="31">
        <v>3.2</v>
      </c>
      <c r="I223" s="31">
        <f>ROUND(H223*1.0, 2)</f>
      </c>
      <c r="J223" s="31">
        <f>ROUND(H223*0.95, 2)</f>
      </c>
      <c r="K223" s="31">
        <f>ROUND(H223*0.95, 2)</f>
      </c>
      <c r="L223" s="31">
        <f>ROUND(H223*1.05, 2)</f>
      </c>
      <c r="M223" s="31">
        <f>ROUND(H223*1.25, 2)</f>
      </c>
      <c r="N223" s="31">
        <f>ROUND(H223*1.55, 2)</f>
      </c>
      <c r="O223" s="31">
        <f>ROUND(H223*1.65, 2)</f>
      </c>
      <c r="P223" s="31">
        <f>SUM(I223:O223)</f>
      </c>
      <c r="Q223" s="31">
        <f>ROUND(H223*1.5, 2)</f>
      </c>
      <c r="R223" s="31">
        <f>ROUND(H223*2.0, 2)</f>
      </c>
      <c r="S223" s="12">
        <f>IF(F223&lt;=R223, "TRIGGER INDENT", "STOCK HEALTHY")</f>
      </c>
      <c r="T223" s="31">
        <f>IF(F223&lt;=R223, ROUND(MAX(H223, (I223+Q223)-F223), 2), 0)</f>
      </c>
    </row>
    <row r="224" ht="20" customHeight="1" spans="1:20" x14ac:dyDescent="0.25">
      <c r="A224" s="14" t="s">
        <v>613</v>
      </c>
      <c r="B224" s="14" t="s">
        <v>614</v>
      </c>
      <c r="C224" s="14" t="s">
        <v>152</v>
      </c>
      <c r="D224" s="14" t="s">
        <v>153</v>
      </c>
      <c r="E224" s="32">
        <v>321.42999267578125</v>
      </c>
      <c r="F224" s="33">
        <v>24</v>
      </c>
      <c r="G224" s="14" t="s">
        <v>177</v>
      </c>
      <c r="H224" s="33">
        <v>4.8</v>
      </c>
      <c r="I224" s="33">
        <f>ROUND(H224*1.0, 2)</f>
      </c>
      <c r="J224" s="33">
        <f>ROUND(H224*0.95, 2)</f>
      </c>
      <c r="K224" s="33">
        <f>ROUND(H224*0.95, 2)</f>
      </c>
      <c r="L224" s="33">
        <f>ROUND(H224*1.05, 2)</f>
      </c>
      <c r="M224" s="33">
        <f>ROUND(H224*1.25, 2)</f>
      </c>
      <c r="N224" s="33">
        <f>ROUND(H224*1.55, 2)</f>
      </c>
      <c r="O224" s="33">
        <f>ROUND(H224*1.65, 2)</f>
      </c>
      <c r="P224" s="33">
        <f>SUM(I224:O224)</f>
      </c>
      <c r="Q224" s="33">
        <f>ROUND(H224*1.5, 2)</f>
      </c>
      <c r="R224" s="33">
        <f>ROUND(H224*2.0, 2)</f>
      </c>
      <c r="S224" s="14">
        <f>IF(F224&lt;=R224, "TRIGGER INDENT", "STOCK HEALTHY")</f>
      </c>
      <c r="T224" s="33">
        <f>IF(F224&lt;=R224, ROUND(MAX(H224, (I224+Q224)-F224), 2), 0)</f>
      </c>
    </row>
    <row r="225" ht="20" customHeight="1" spans="1:20" x14ac:dyDescent="0.25">
      <c r="A225" s="12" t="s">
        <v>615</v>
      </c>
      <c r="B225" s="12" t="s">
        <v>616</v>
      </c>
      <c r="C225" s="12" t="s">
        <v>152</v>
      </c>
      <c r="D225" s="12" t="s">
        <v>198</v>
      </c>
      <c r="E225" s="30">
        <v>1.600000023841858</v>
      </c>
      <c r="F225" s="31">
        <v>1.5100002</v>
      </c>
      <c r="G225" s="12" t="s">
        <v>149</v>
      </c>
      <c r="H225" s="31">
        <v>1</v>
      </c>
      <c r="I225" s="31">
        <f>ROUND(H225*1.0, 2)</f>
      </c>
      <c r="J225" s="31">
        <f>ROUND(H225*0.95, 2)</f>
      </c>
      <c r="K225" s="31">
        <f>ROUND(H225*0.95, 2)</f>
      </c>
      <c r="L225" s="31">
        <f>ROUND(H225*1.05, 2)</f>
      </c>
      <c r="M225" s="31">
        <f>ROUND(H225*1.25, 2)</f>
      </c>
      <c r="N225" s="31">
        <f>ROUND(H225*1.55, 2)</f>
      </c>
      <c r="O225" s="31">
        <f>ROUND(H225*1.65, 2)</f>
      </c>
      <c r="P225" s="31">
        <f>SUM(I225:O225)</f>
      </c>
      <c r="Q225" s="31">
        <f>ROUND(H225*1.5, 2)</f>
      </c>
      <c r="R225" s="31">
        <f>ROUND(H225*2.0, 2)</f>
      </c>
      <c r="S225" s="12">
        <f>IF(F225&lt;=R225, "TRIGGER INDENT", "STOCK HEALTHY")</f>
      </c>
      <c r="T225" s="31">
        <f>IF(F225&lt;=R225, ROUND(MAX(H225, (I225+Q225)-F225), 2), 0)</f>
      </c>
    </row>
    <row r="226" ht="20" customHeight="1" spans="1:20" x14ac:dyDescent="0.25">
      <c r="A226" s="14" t="s">
        <v>617</v>
      </c>
      <c r="B226" s="14" t="s">
        <v>618</v>
      </c>
      <c r="C226" s="14" t="s">
        <v>170</v>
      </c>
      <c r="D226" s="14" t="s">
        <v>198</v>
      </c>
      <c r="E226" s="32">
        <v>29.020000457763672</v>
      </c>
      <c r="F226" s="33">
        <v>256</v>
      </c>
      <c r="G226" s="14" t="s">
        <v>177</v>
      </c>
      <c r="H226" s="33">
        <v>20.48</v>
      </c>
      <c r="I226" s="33">
        <f>ROUND(H226*1.0, 2)</f>
      </c>
      <c r="J226" s="33">
        <f>ROUND(H226*0.95, 2)</f>
      </c>
      <c r="K226" s="33">
        <f>ROUND(H226*0.95, 2)</f>
      </c>
      <c r="L226" s="33">
        <f>ROUND(H226*1.05, 2)</f>
      </c>
      <c r="M226" s="33">
        <f>ROUND(H226*1.25, 2)</f>
      </c>
      <c r="N226" s="33">
        <f>ROUND(H226*1.55, 2)</f>
      </c>
      <c r="O226" s="33">
        <f>ROUND(H226*1.65, 2)</f>
      </c>
      <c r="P226" s="33">
        <f>SUM(I226:O226)</f>
      </c>
      <c r="Q226" s="33">
        <f>ROUND(H226*1.5, 2)</f>
      </c>
      <c r="R226" s="33">
        <f>ROUND(H226*2.0, 2)</f>
      </c>
      <c r="S226" s="14">
        <f>IF(F226&lt;=R226, "TRIGGER INDENT", "STOCK HEALTHY")</f>
      </c>
      <c r="T226" s="33">
        <f>IF(F226&lt;=R226, ROUND(MAX(H226, (I226+Q226)-F226), 2), 0)</f>
      </c>
    </row>
    <row r="227" ht="20" customHeight="1" spans="1:20" x14ac:dyDescent="0.25">
      <c r="A227" s="12" t="s">
        <v>619</v>
      </c>
      <c r="B227" s="12" t="s">
        <v>620</v>
      </c>
      <c r="C227" s="12" t="s">
        <v>147</v>
      </c>
      <c r="D227" s="12" t="s">
        <v>148</v>
      </c>
      <c r="E227" s="30">
        <v>330</v>
      </c>
      <c r="F227" s="31">
        <v>64</v>
      </c>
      <c r="G227" s="12" t="s">
        <v>160</v>
      </c>
      <c r="H227" s="31">
        <v>7.68</v>
      </c>
      <c r="I227" s="31">
        <f>ROUND(H227*1.0, 2)</f>
      </c>
      <c r="J227" s="31">
        <f>ROUND(H227*0.95, 2)</f>
      </c>
      <c r="K227" s="31">
        <f>ROUND(H227*0.95, 2)</f>
      </c>
      <c r="L227" s="31">
        <f>ROUND(H227*1.05, 2)</f>
      </c>
      <c r="M227" s="31">
        <f>ROUND(H227*1.25, 2)</f>
      </c>
      <c r="N227" s="31">
        <f>ROUND(H227*1.55, 2)</f>
      </c>
      <c r="O227" s="31">
        <f>ROUND(H227*1.65, 2)</f>
      </c>
      <c r="P227" s="31">
        <f>SUM(I227:O227)</f>
      </c>
      <c r="Q227" s="31">
        <f>ROUND(H227*1.5, 2)</f>
      </c>
      <c r="R227" s="31">
        <f>ROUND(H227*2.0, 2)</f>
      </c>
      <c r="S227" s="12">
        <f>IF(F227&lt;=R227, "TRIGGER INDENT", "STOCK HEALTHY")</f>
      </c>
      <c r="T227" s="31">
        <f>IF(F227&lt;=R227, ROUND(MAX(H227, (I227+Q227)-F227), 2), 0)</f>
      </c>
    </row>
    <row r="228" ht="20" customHeight="1" spans="1:20" x14ac:dyDescent="0.25">
      <c r="A228" s="14" t="s">
        <v>621</v>
      </c>
      <c r="B228" s="14" t="s">
        <v>622</v>
      </c>
      <c r="C228" s="14" t="s">
        <v>170</v>
      </c>
      <c r="D228" s="14" t="s">
        <v>153</v>
      </c>
      <c r="E228" s="32">
        <v>130.30999755859375</v>
      </c>
      <c r="F228" s="33">
        <v>1540</v>
      </c>
      <c r="G228" s="14" t="s">
        <v>139</v>
      </c>
      <c r="H228" s="33">
        <v>77</v>
      </c>
      <c r="I228" s="33">
        <f>ROUND(H228*1.0, 2)</f>
      </c>
      <c r="J228" s="33">
        <f>ROUND(H228*0.95, 2)</f>
      </c>
      <c r="K228" s="33">
        <f>ROUND(H228*0.95, 2)</f>
      </c>
      <c r="L228" s="33">
        <f>ROUND(H228*1.05, 2)</f>
      </c>
      <c r="M228" s="33">
        <f>ROUND(H228*1.25, 2)</f>
      </c>
      <c r="N228" s="33">
        <f>ROUND(H228*1.55, 2)</f>
      </c>
      <c r="O228" s="33">
        <f>ROUND(H228*1.65, 2)</f>
      </c>
      <c r="P228" s="33">
        <f>SUM(I228:O228)</f>
      </c>
      <c r="Q228" s="33">
        <f>ROUND(H228*1.5, 2)</f>
      </c>
      <c r="R228" s="33">
        <f>ROUND(H228*2.0, 2)</f>
      </c>
      <c r="S228" s="14">
        <f>IF(F228&lt;=R228, "TRIGGER INDENT", "STOCK HEALTHY")</f>
      </c>
      <c r="T228" s="33">
        <f>IF(F228&lt;=R228, ROUND(MAX(H228, (I228+Q228)-F228), 2), 0)</f>
      </c>
    </row>
    <row r="229" ht="20" customHeight="1" spans="1:20" x14ac:dyDescent="0.25">
      <c r="A229" s="12" t="s">
        <v>623</v>
      </c>
      <c r="B229" s="12" t="s">
        <v>624</v>
      </c>
      <c r="C229" s="12" t="s">
        <v>324</v>
      </c>
      <c r="D229" s="12" t="s">
        <v>325</v>
      </c>
      <c r="E229" s="30">
        <v>121.4800033569336</v>
      </c>
      <c r="F229" s="31">
        <v>11760</v>
      </c>
      <c r="G229" s="12" t="s">
        <v>149</v>
      </c>
      <c r="H229" s="31">
        <v>588</v>
      </c>
      <c r="I229" s="31">
        <f>ROUND(H229*1.0, 2)</f>
      </c>
      <c r="J229" s="31">
        <f>ROUND(H229*0.95, 2)</f>
      </c>
      <c r="K229" s="31">
        <f>ROUND(H229*0.95, 2)</f>
      </c>
      <c r="L229" s="31">
        <f>ROUND(H229*1.05, 2)</f>
      </c>
      <c r="M229" s="31">
        <f>ROUND(H229*1.25, 2)</f>
      </c>
      <c r="N229" s="31">
        <f>ROUND(H229*1.55, 2)</f>
      </c>
      <c r="O229" s="31">
        <f>ROUND(H229*1.65, 2)</f>
      </c>
      <c r="P229" s="31">
        <f>SUM(I229:O229)</f>
      </c>
      <c r="Q229" s="31">
        <f>ROUND(H229*1.5, 2)</f>
      </c>
      <c r="R229" s="31">
        <f>ROUND(H229*2.0, 2)</f>
      </c>
      <c r="S229" s="12">
        <f>IF(F229&lt;=R229, "TRIGGER INDENT", "STOCK HEALTHY")</f>
      </c>
      <c r="T229" s="31">
        <f>IF(F229&lt;=R229, ROUND(MAX(H229, (I229+Q229)-F229), 2), 0)</f>
      </c>
    </row>
    <row r="230" ht="20" customHeight="1" spans="1:20" x14ac:dyDescent="0.25">
      <c r="A230" s="14" t="s">
        <v>625</v>
      </c>
      <c r="B230" s="14" t="s">
        <v>626</v>
      </c>
      <c r="C230" s="14" t="s">
        <v>257</v>
      </c>
      <c r="D230" s="14" t="s">
        <v>153</v>
      </c>
      <c r="E230" s="32">
        <v>396.510009765625</v>
      </c>
      <c r="F230" s="33">
        <v>342.39993</v>
      </c>
      <c r="G230" s="14" t="s">
        <v>154</v>
      </c>
      <c r="H230" s="33">
        <v>27.39</v>
      </c>
      <c r="I230" s="33">
        <f>ROUND(H230*1.0, 2)</f>
      </c>
      <c r="J230" s="33">
        <f>ROUND(H230*0.95, 2)</f>
      </c>
      <c r="K230" s="33">
        <f>ROUND(H230*0.95, 2)</f>
      </c>
      <c r="L230" s="33">
        <f>ROUND(H230*1.05, 2)</f>
      </c>
      <c r="M230" s="33">
        <f>ROUND(H230*1.25, 2)</f>
      </c>
      <c r="N230" s="33">
        <f>ROUND(H230*1.55, 2)</f>
      </c>
      <c r="O230" s="33">
        <f>ROUND(H230*1.65, 2)</f>
      </c>
      <c r="P230" s="33">
        <f>SUM(I230:O230)</f>
      </c>
      <c r="Q230" s="33">
        <f>ROUND(H230*1.5, 2)</f>
      </c>
      <c r="R230" s="33">
        <f>ROUND(H230*2.0, 2)</f>
      </c>
      <c r="S230" s="14">
        <f>IF(F230&lt;=R230, "TRIGGER INDENT", "STOCK HEALTHY")</f>
      </c>
      <c r="T230" s="33">
        <f>IF(F230&lt;=R230, ROUND(MAX(H230, (I230+Q230)-F230), 2), 0)</f>
      </c>
    </row>
    <row r="231" ht="20" customHeight="1" spans="1:20" x14ac:dyDescent="0.25">
      <c r="A231" s="12" t="s">
        <v>627</v>
      </c>
      <c r="B231" s="12" t="s">
        <v>628</v>
      </c>
      <c r="C231" s="12" t="s">
        <v>402</v>
      </c>
      <c r="D231" s="12" t="s">
        <v>198</v>
      </c>
      <c r="E231" s="30">
        <v>184.61000061035156</v>
      </c>
      <c r="F231" s="31">
        <v>1.5100002</v>
      </c>
      <c r="G231" s="12" t="s">
        <v>190</v>
      </c>
      <c r="H231" s="31">
        <v>1</v>
      </c>
      <c r="I231" s="31">
        <f>ROUND(H231*1.0, 2)</f>
      </c>
      <c r="J231" s="31">
        <f>ROUND(H231*0.95, 2)</f>
      </c>
      <c r="K231" s="31">
        <f>ROUND(H231*0.95, 2)</f>
      </c>
      <c r="L231" s="31">
        <f>ROUND(H231*1.05, 2)</f>
      </c>
      <c r="M231" s="31">
        <f>ROUND(H231*1.25, 2)</f>
      </c>
      <c r="N231" s="31">
        <f>ROUND(H231*1.55, 2)</f>
      </c>
      <c r="O231" s="31">
        <f>ROUND(H231*1.65, 2)</f>
      </c>
      <c r="P231" s="31">
        <f>SUM(I231:O231)</f>
      </c>
      <c r="Q231" s="31">
        <f>ROUND(H231*1.5, 2)</f>
      </c>
      <c r="R231" s="31">
        <f>ROUND(H231*2.0, 2)</f>
      </c>
      <c r="S231" s="12">
        <f>IF(F231&lt;=R231, "TRIGGER INDENT", "STOCK HEALTHY")</f>
      </c>
      <c r="T231" s="31">
        <f>IF(F231&lt;=R231, ROUND(MAX(H231, (I231+Q231)-F231), 2), 0)</f>
      </c>
    </row>
    <row r="232" ht="20" customHeight="1" spans="1:20" x14ac:dyDescent="0.25">
      <c r="A232" s="14" t="s">
        <v>629</v>
      </c>
      <c r="B232" s="14" t="s">
        <v>630</v>
      </c>
      <c r="C232" s="14" t="s">
        <v>170</v>
      </c>
      <c r="D232" s="14" t="s">
        <v>198</v>
      </c>
      <c r="E232" s="32">
        <v>50</v>
      </c>
      <c r="F232" s="33">
        <v>1552</v>
      </c>
      <c r="G232" s="14" t="s">
        <v>149</v>
      </c>
      <c r="H232" s="33">
        <v>77.6</v>
      </c>
      <c r="I232" s="33">
        <f>ROUND(H232*1.0, 2)</f>
      </c>
      <c r="J232" s="33">
        <f>ROUND(H232*0.95, 2)</f>
      </c>
      <c r="K232" s="33">
        <f>ROUND(H232*0.95, 2)</f>
      </c>
      <c r="L232" s="33">
        <f>ROUND(H232*1.05, 2)</f>
      </c>
      <c r="M232" s="33">
        <f>ROUND(H232*1.25, 2)</f>
      </c>
      <c r="N232" s="33">
        <f>ROUND(H232*1.55, 2)</f>
      </c>
      <c r="O232" s="33">
        <f>ROUND(H232*1.65, 2)</f>
      </c>
      <c r="P232" s="33">
        <f>SUM(I232:O232)</f>
      </c>
      <c r="Q232" s="33">
        <f>ROUND(H232*1.5, 2)</f>
      </c>
      <c r="R232" s="33">
        <f>ROUND(H232*2.0, 2)</f>
      </c>
      <c r="S232" s="14">
        <f>IF(F232&lt;=R232, "TRIGGER INDENT", "STOCK HEALTHY")</f>
      </c>
      <c r="T232" s="33">
        <f>IF(F232&lt;=R232, ROUND(MAX(H232, (I232+Q232)-F232), 2), 0)</f>
      </c>
    </row>
    <row r="233" ht="20" customHeight="1" spans="1:20" x14ac:dyDescent="0.25">
      <c r="A233" s="12" t="s">
        <v>631</v>
      </c>
      <c r="B233" s="12" t="s">
        <v>632</v>
      </c>
      <c r="C233" s="12" t="s">
        <v>170</v>
      </c>
      <c r="D233" s="12" t="s">
        <v>153</v>
      </c>
      <c r="E233" s="30">
        <v>100</v>
      </c>
      <c r="F233" s="31">
        <v>9</v>
      </c>
      <c r="G233" s="12" t="s">
        <v>139</v>
      </c>
      <c r="H233" s="31">
        <v>1.8</v>
      </c>
      <c r="I233" s="31">
        <f>ROUND(H233*1.0, 2)</f>
      </c>
      <c r="J233" s="31">
        <f>ROUND(H233*0.95, 2)</f>
      </c>
      <c r="K233" s="31">
        <f>ROUND(H233*0.95, 2)</f>
      </c>
      <c r="L233" s="31">
        <f>ROUND(H233*1.05, 2)</f>
      </c>
      <c r="M233" s="31">
        <f>ROUND(H233*1.25, 2)</f>
      </c>
      <c r="N233" s="31">
        <f>ROUND(H233*1.55, 2)</f>
      </c>
      <c r="O233" s="31">
        <f>ROUND(H233*1.65, 2)</f>
      </c>
      <c r="P233" s="31">
        <f>SUM(I233:O233)</f>
      </c>
      <c r="Q233" s="31">
        <f>ROUND(H233*1.5, 2)</f>
      </c>
      <c r="R233" s="31">
        <f>ROUND(H233*2.0, 2)</f>
      </c>
      <c r="S233" s="12">
        <f>IF(F233&lt;=R233, "TRIGGER INDENT", "STOCK HEALTHY")</f>
      </c>
      <c r="T233" s="31">
        <f>IF(F233&lt;=R233, ROUND(MAX(H233, (I233+Q233)-F233), 2), 0)</f>
      </c>
    </row>
    <row r="234" ht="20" customHeight="1" spans="1:20" x14ac:dyDescent="0.25">
      <c r="A234" s="14" t="s">
        <v>633</v>
      </c>
      <c r="B234" s="14" t="s">
        <v>634</v>
      </c>
      <c r="C234" s="14" t="s">
        <v>137</v>
      </c>
      <c r="D234" s="14" t="s">
        <v>138</v>
      </c>
      <c r="E234" s="32">
        <v>53.099998474121094</v>
      </c>
      <c r="F234" s="33">
        <v>1456</v>
      </c>
      <c r="G234" s="14" t="s">
        <v>160</v>
      </c>
      <c r="H234" s="33">
        <v>72.8</v>
      </c>
      <c r="I234" s="33">
        <f>ROUND(H234*1.0, 2)</f>
      </c>
      <c r="J234" s="33">
        <f>ROUND(H234*0.95, 2)</f>
      </c>
      <c r="K234" s="33">
        <f>ROUND(H234*0.95, 2)</f>
      </c>
      <c r="L234" s="33">
        <f>ROUND(H234*1.05, 2)</f>
      </c>
      <c r="M234" s="33">
        <f>ROUND(H234*1.25, 2)</f>
      </c>
      <c r="N234" s="33">
        <f>ROUND(H234*1.55, 2)</f>
      </c>
      <c r="O234" s="33">
        <f>ROUND(H234*1.65, 2)</f>
      </c>
      <c r="P234" s="33">
        <f>SUM(I234:O234)</f>
      </c>
      <c r="Q234" s="33">
        <f>ROUND(H234*1.5, 2)</f>
      </c>
      <c r="R234" s="33">
        <f>ROUND(H234*2.0, 2)</f>
      </c>
      <c r="S234" s="14">
        <f>IF(F234&lt;=R234, "TRIGGER INDENT", "STOCK HEALTHY")</f>
      </c>
      <c r="T234" s="33">
        <f>IF(F234&lt;=R234, ROUND(MAX(H234, (I234+Q234)-F234), 2), 0)</f>
      </c>
    </row>
    <row r="235" ht="20" customHeight="1" spans="1:20" x14ac:dyDescent="0.25">
      <c r="A235" s="12" t="s">
        <v>635</v>
      </c>
      <c r="B235" s="12" t="s">
        <v>636</v>
      </c>
      <c r="C235" s="12" t="s">
        <v>137</v>
      </c>
      <c r="D235" s="12" t="s">
        <v>153</v>
      </c>
      <c r="E235" s="30">
        <v>45.95000076293945</v>
      </c>
      <c r="F235" s="31">
        <v>1072</v>
      </c>
      <c r="G235" s="12" t="s">
        <v>190</v>
      </c>
      <c r="H235" s="31">
        <v>53.6</v>
      </c>
      <c r="I235" s="31">
        <f>ROUND(H235*1.0, 2)</f>
      </c>
      <c r="J235" s="31">
        <f>ROUND(H235*0.95, 2)</f>
      </c>
      <c r="K235" s="31">
        <f>ROUND(H235*0.95, 2)</f>
      </c>
      <c r="L235" s="31">
        <f>ROUND(H235*1.05, 2)</f>
      </c>
      <c r="M235" s="31">
        <f>ROUND(H235*1.25, 2)</f>
      </c>
      <c r="N235" s="31">
        <f>ROUND(H235*1.55, 2)</f>
      </c>
      <c r="O235" s="31">
        <f>ROUND(H235*1.65, 2)</f>
      </c>
      <c r="P235" s="31">
        <f>SUM(I235:O235)</f>
      </c>
      <c r="Q235" s="31">
        <f>ROUND(H235*1.5, 2)</f>
      </c>
      <c r="R235" s="31">
        <f>ROUND(H235*2.0, 2)</f>
      </c>
      <c r="S235" s="12">
        <f>IF(F235&lt;=R235, "TRIGGER INDENT", "STOCK HEALTHY")</f>
      </c>
      <c r="T235" s="31">
        <f>IF(F235&lt;=R235, ROUND(MAX(H235, (I235+Q235)-F235), 2), 0)</f>
      </c>
    </row>
    <row r="236" ht="20" customHeight="1" spans="1:20" x14ac:dyDescent="0.25">
      <c r="A236" s="14" t="s">
        <v>637</v>
      </c>
      <c r="B236" s="14" t="s">
        <v>638</v>
      </c>
      <c r="C236" s="14" t="s">
        <v>137</v>
      </c>
      <c r="D236" s="14" t="s">
        <v>153</v>
      </c>
      <c r="E236" s="32">
        <v>74.2699966430664</v>
      </c>
      <c r="F236" s="33">
        <v>1392</v>
      </c>
      <c r="G236" s="14" t="s">
        <v>139</v>
      </c>
      <c r="H236" s="33">
        <v>69.6</v>
      </c>
      <c r="I236" s="33">
        <f>ROUND(H236*1.0, 2)</f>
      </c>
      <c r="J236" s="33">
        <f>ROUND(H236*0.95, 2)</f>
      </c>
      <c r="K236" s="33">
        <f>ROUND(H236*0.95, 2)</f>
      </c>
      <c r="L236" s="33">
        <f>ROUND(H236*1.05, 2)</f>
      </c>
      <c r="M236" s="33">
        <f>ROUND(H236*1.25, 2)</f>
      </c>
      <c r="N236" s="33">
        <f>ROUND(H236*1.55, 2)</f>
      </c>
      <c r="O236" s="33">
        <f>ROUND(H236*1.65, 2)</f>
      </c>
      <c r="P236" s="33">
        <f>SUM(I236:O236)</f>
      </c>
      <c r="Q236" s="33">
        <f>ROUND(H236*1.5, 2)</f>
      </c>
      <c r="R236" s="33">
        <f>ROUND(H236*2.0, 2)</f>
      </c>
      <c r="S236" s="14">
        <f>IF(F236&lt;=R236, "TRIGGER INDENT", "STOCK HEALTHY")</f>
      </c>
      <c r="T236" s="33">
        <f>IF(F236&lt;=R236, ROUND(MAX(H236, (I236+Q236)-F236), 2), 0)</f>
      </c>
    </row>
    <row r="237" ht="20" customHeight="1" spans="1:20" x14ac:dyDescent="0.25">
      <c r="A237" s="12" t="s">
        <v>639</v>
      </c>
      <c r="B237" s="12" t="s">
        <v>640</v>
      </c>
      <c r="C237" s="12" t="s">
        <v>137</v>
      </c>
      <c r="D237" s="12" t="s">
        <v>153</v>
      </c>
      <c r="E237" s="30">
        <v>66</v>
      </c>
      <c r="F237" s="31">
        <v>816</v>
      </c>
      <c r="G237" s="12" t="s">
        <v>190</v>
      </c>
      <c r="H237" s="31">
        <v>65.28</v>
      </c>
      <c r="I237" s="31">
        <f>ROUND(H237*1.0, 2)</f>
      </c>
      <c r="J237" s="31">
        <f>ROUND(H237*0.95, 2)</f>
      </c>
      <c r="K237" s="31">
        <f>ROUND(H237*0.95, 2)</f>
      </c>
      <c r="L237" s="31">
        <f>ROUND(H237*1.05, 2)</f>
      </c>
      <c r="M237" s="31">
        <f>ROUND(H237*1.25, 2)</f>
      </c>
      <c r="N237" s="31">
        <f>ROUND(H237*1.55, 2)</f>
      </c>
      <c r="O237" s="31">
        <f>ROUND(H237*1.65, 2)</f>
      </c>
      <c r="P237" s="31">
        <f>SUM(I237:O237)</f>
      </c>
      <c r="Q237" s="31">
        <f>ROUND(H237*1.5, 2)</f>
      </c>
      <c r="R237" s="31">
        <f>ROUND(H237*2.0, 2)</f>
      </c>
      <c r="S237" s="12">
        <f>IF(F237&lt;=R237, "TRIGGER INDENT", "STOCK HEALTHY")</f>
      </c>
      <c r="T237" s="31">
        <f>IF(F237&lt;=R237, ROUND(MAX(H237, (I237+Q237)-F237), 2), 0)</f>
      </c>
    </row>
    <row r="238" ht="20" customHeight="1" spans="1:20" x14ac:dyDescent="0.25">
      <c r="A238" s="14" t="s">
        <v>641</v>
      </c>
      <c r="B238" s="14" t="s">
        <v>642</v>
      </c>
      <c r="C238" s="14" t="s">
        <v>288</v>
      </c>
      <c r="D238" s="14" t="s">
        <v>153</v>
      </c>
      <c r="E238" s="32">
        <v>244.1999969482422</v>
      </c>
      <c r="F238" s="33">
        <v>32</v>
      </c>
      <c r="G238" s="14" t="s">
        <v>149</v>
      </c>
      <c r="H238" s="33">
        <v>6.4</v>
      </c>
      <c r="I238" s="33">
        <f>ROUND(H238*1.0, 2)</f>
      </c>
      <c r="J238" s="33">
        <f>ROUND(H238*0.95, 2)</f>
      </c>
      <c r="K238" s="33">
        <f>ROUND(H238*0.95, 2)</f>
      </c>
      <c r="L238" s="33">
        <f>ROUND(H238*1.05, 2)</f>
      </c>
      <c r="M238" s="33">
        <f>ROUND(H238*1.25, 2)</f>
      </c>
      <c r="N238" s="33">
        <f>ROUND(H238*1.55, 2)</f>
      </c>
      <c r="O238" s="33">
        <f>ROUND(H238*1.65, 2)</f>
      </c>
      <c r="P238" s="33">
        <f>SUM(I238:O238)</f>
      </c>
      <c r="Q238" s="33">
        <f>ROUND(H238*1.5, 2)</f>
      </c>
      <c r="R238" s="33">
        <f>ROUND(H238*2.0, 2)</f>
      </c>
      <c r="S238" s="14">
        <f>IF(F238&lt;=R238, "TRIGGER INDENT", "STOCK HEALTHY")</f>
      </c>
      <c r="T238" s="33">
        <f>IF(F238&lt;=R238, ROUND(MAX(H238, (I238+Q238)-F238), 2), 0)</f>
      </c>
    </row>
    <row r="239" ht="20" customHeight="1" spans="1:20" x14ac:dyDescent="0.25">
      <c r="A239" s="12" t="s">
        <v>643</v>
      </c>
      <c r="B239" s="12" t="s">
        <v>644</v>
      </c>
      <c r="C239" s="12" t="s">
        <v>170</v>
      </c>
      <c r="D239" s="12" t="s">
        <v>198</v>
      </c>
      <c r="E239" s="30">
        <v>90</v>
      </c>
      <c r="F239" s="31">
        <v>192</v>
      </c>
      <c r="G239" s="12" t="s">
        <v>177</v>
      </c>
      <c r="H239" s="31">
        <v>23.04</v>
      </c>
      <c r="I239" s="31">
        <f>ROUND(H239*1.0, 2)</f>
      </c>
      <c r="J239" s="31">
        <f>ROUND(H239*0.95, 2)</f>
      </c>
      <c r="K239" s="31">
        <f>ROUND(H239*0.95, 2)</f>
      </c>
      <c r="L239" s="31">
        <f>ROUND(H239*1.05, 2)</f>
      </c>
      <c r="M239" s="31">
        <f>ROUND(H239*1.25, 2)</f>
      </c>
      <c r="N239" s="31">
        <f>ROUND(H239*1.55, 2)</f>
      </c>
      <c r="O239" s="31">
        <f>ROUND(H239*1.65, 2)</f>
      </c>
      <c r="P239" s="31">
        <f>SUM(I239:O239)</f>
      </c>
      <c r="Q239" s="31">
        <f>ROUND(H239*1.5, 2)</f>
      </c>
      <c r="R239" s="31">
        <f>ROUND(H239*2.0, 2)</f>
      </c>
      <c r="S239" s="12">
        <f>IF(F239&lt;=R239, "TRIGGER INDENT", "STOCK HEALTHY")</f>
      </c>
      <c r="T239" s="31">
        <f>IF(F239&lt;=R239, ROUND(MAX(H239, (I239+Q239)-F239), 2), 0)</f>
      </c>
    </row>
    <row r="240" ht="20" customHeight="1" spans="1:20" x14ac:dyDescent="0.25">
      <c r="A240" s="14" t="s">
        <v>645</v>
      </c>
      <c r="B240" s="14" t="s">
        <v>646</v>
      </c>
      <c r="C240" s="14" t="s">
        <v>152</v>
      </c>
      <c r="D240" s="14" t="s">
        <v>153</v>
      </c>
      <c r="E240" s="32">
        <v>620</v>
      </c>
      <c r="F240" s="33">
        <v>16</v>
      </c>
      <c r="G240" s="14" t="s">
        <v>149</v>
      </c>
      <c r="H240" s="33">
        <v>3.2</v>
      </c>
      <c r="I240" s="33">
        <f>ROUND(H240*1.0, 2)</f>
      </c>
      <c r="J240" s="33">
        <f>ROUND(H240*0.95, 2)</f>
      </c>
      <c r="K240" s="33">
        <f>ROUND(H240*0.95, 2)</f>
      </c>
      <c r="L240" s="33">
        <f>ROUND(H240*1.05, 2)</f>
      </c>
      <c r="M240" s="33">
        <f>ROUND(H240*1.25, 2)</f>
      </c>
      <c r="N240" s="33">
        <f>ROUND(H240*1.55, 2)</f>
      </c>
      <c r="O240" s="33">
        <f>ROUND(H240*1.65, 2)</f>
      </c>
      <c r="P240" s="33">
        <f>SUM(I240:O240)</f>
      </c>
      <c r="Q240" s="33">
        <f>ROUND(H240*1.5, 2)</f>
      </c>
      <c r="R240" s="33">
        <f>ROUND(H240*2.0, 2)</f>
      </c>
      <c r="S240" s="14">
        <f>IF(F240&lt;=R240, "TRIGGER INDENT", "STOCK HEALTHY")</f>
      </c>
      <c r="T240" s="33">
        <f>IF(F240&lt;=R240, ROUND(MAX(H240, (I240+Q240)-F240), 2), 0)</f>
      </c>
    </row>
    <row r="241" ht="20" customHeight="1" spans="1:20" x14ac:dyDescent="0.25">
      <c r="A241" s="12" t="s">
        <v>647</v>
      </c>
      <c r="B241" s="12" t="s">
        <v>648</v>
      </c>
      <c r="C241" s="12" t="s">
        <v>240</v>
      </c>
      <c r="D241" s="12" t="s">
        <v>198</v>
      </c>
      <c r="E241" s="30">
        <v>49.279998779296875</v>
      </c>
      <c r="F241" s="31">
        <v>96</v>
      </c>
      <c r="G241" s="12" t="s">
        <v>154</v>
      </c>
      <c r="H241" s="31">
        <v>11.52</v>
      </c>
      <c r="I241" s="31">
        <f>ROUND(H241*1.0, 2)</f>
      </c>
      <c r="J241" s="31">
        <f>ROUND(H241*0.95, 2)</f>
      </c>
      <c r="K241" s="31">
        <f>ROUND(H241*0.95, 2)</f>
      </c>
      <c r="L241" s="31">
        <f>ROUND(H241*1.05, 2)</f>
      </c>
      <c r="M241" s="31">
        <f>ROUND(H241*1.25, 2)</f>
      </c>
      <c r="N241" s="31">
        <f>ROUND(H241*1.55, 2)</f>
      </c>
      <c r="O241" s="31">
        <f>ROUND(H241*1.65, 2)</f>
      </c>
      <c r="P241" s="31">
        <f>SUM(I241:O241)</f>
      </c>
      <c r="Q241" s="31">
        <f>ROUND(H241*1.5, 2)</f>
      </c>
      <c r="R241" s="31">
        <f>ROUND(H241*2.0, 2)</f>
      </c>
      <c r="S241" s="12">
        <f>IF(F241&lt;=R241, "TRIGGER INDENT", "STOCK HEALTHY")</f>
      </c>
      <c r="T241" s="31">
        <f>IF(F241&lt;=R241, ROUND(MAX(H241, (I241+Q241)-F241), 2), 0)</f>
      </c>
    </row>
    <row r="242" ht="20" customHeight="1" spans="1:20" x14ac:dyDescent="0.25">
      <c r="A242" s="14" t="s">
        <v>649</v>
      </c>
      <c r="B242" s="14" t="s">
        <v>650</v>
      </c>
      <c r="C242" s="14" t="s">
        <v>152</v>
      </c>
      <c r="D242" s="14" t="s">
        <v>153</v>
      </c>
      <c r="E242" s="32">
        <v>660</v>
      </c>
      <c r="F242" s="33">
        <v>48</v>
      </c>
      <c r="G242" s="14" t="s">
        <v>154</v>
      </c>
      <c r="H242" s="33">
        <v>9.6</v>
      </c>
      <c r="I242" s="33">
        <f>ROUND(H242*1.0, 2)</f>
      </c>
      <c r="J242" s="33">
        <f>ROUND(H242*0.95, 2)</f>
      </c>
      <c r="K242" s="33">
        <f>ROUND(H242*0.95, 2)</f>
      </c>
      <c r="L242" s="33">
        <f>ROUND(H242*1.05, 2)</f>
      </c>
      <c r="M242" s="33">
        <f>ROUND(H242*1.25, 2)</f>
      </c>
      <c r="N242" s="33">
        <f>ROUND(H242*1.55, 2)</f>
      </c>
      <c r="O242" s="33">
        <f>ROUND(H242*1.65, 2)</f>
      </c>
      <c r="P242" s="33">
        <f>SUM(I242:O242)</f>
      </c>
      <c r="Q242" s="33">
        <f>ROUND(H242*1.5, 2)</f>
      </c>
      <c r="R242" s="33">
        <f>ROUND(H242*2.0, 2)</f>
      </c>
      <c r="S242" s="14">
        <f>IF(F242&lt;=R242, "TRIGGER INDENT", "STOCK HEALTHY")</f>
      </c>
      <c r="T242" s="33">
        <f>IF(F242&lt;=R242, ROUND(MAX(H242, (I242+Q242)-F242), 2), 0)</f>
      </c>
    </row>
    <row r="243" ht="20" customHeight="1" spans="1:20" x14ac:dyDescent="0.25">
      <c r="A243" s="12" t="s">
        <v>651</v>
      </c>
      <c r="B243" s="12" t="s">
        <v>652</v>
      </c>
      <c r="C243" s="12" t="s">
        <v>152</v>
      </c>
      <c r="D243" s="12" t="s">
        <v>153</v>
      </c>
      <c r="E243" s="30">
        <v>358.82000732421875</v>
      </c>
      <c r="F243" s="31">
        <v>152</v>
      </c>
      <c r="G243" s="12" t="s">
        <v>177</v>
      </c>
      <c r="H243" s="31">
        <v>18.24</v>
      </c>
      <c r="I243" s="31">
        <f>ROUND(H243*1.0, 2)</f>
      </c>
      <c r="J243" s="31">
        <f>ROUND(H243*0.95, 2)</f>
      </c>
      <c r="K243" s="31">
        <f>ROUND(H243*0.95, 2)</f>
      </c>
      <c r="L243" s="31">
        <f>ROUND(H243*1.05, 2)</f>
      </c>
      <c r="M243" s="31">
        <f>ROUND(H243*1.25, 2)</f>
      </c>
      <c r="N243" s="31">
        <f>ROUND(H243*1.55, 2)</f>
      </c>
      <c r="O243" s="31">
        <f>ROUND(H243*1.65, 2)</f>
      </c>
      <c r="P243" s="31">
        <f>SUM(I243:O243)</f>
      </c>
      <c r="Q243" s="31">
        <f>ROUND(H243*1.5, 2)</f>
      </c>
      <c r="R243" s="31">
        <f>ROUND(H243*2.0, 2)</f>
      </c>
      <c r="S243" s="12">
        <f>IF(F243&lt;=R243, "TRIGGER INDENT", "STOCK HEALTHY")</f>
      </c>
      <c r="T243" s="31">
        <f>IF(F243&lt;=R243, ROUND(MAX(H243, (I243+Q243)-F243), 2), 0)</f>
      </c>
    </row>
    <row r="244" ht="20" customHeight="1" spans="1:20" x14ac:dyDescent="0.25">
      <c r="A244" s="14" t="s">
        <v>653</v>
      </c>
      <c r="B244" s="14" t="s">
        <v>654</v>
      </c>
      <c r="C244" s="14" t="s">
        <v>211</v>
      </c>
      <c r="D244" s="14" t="s">
        <v>153</v>
      </c>
      <c r="E244" s="32">
        <v>99.33000183105469</v>
      </c>
      <c r="F244" s="33">
        <v>1035.2001</v>
      </c>
      <c r="G244" s="14" t="s">
        <v>139</v>
      </c>
      <c r="H244" s="33">
        <v>51.76</v>
      </c>
      <c r="I244" s="33">
        <f>ROUND(H244*1.0, 2)</f>
      </c>
      <c r="J244" s="33">
        <f>ROUND(H244*0.95, 2)</f>
      </c>
      <c r="K244" s="33">
        <f>ROUND(H244*0.95, 2)</f>
      </c>
      <c r="L244" s="33">
        <f>ROUND(H244*1.05, 2)</f>
      </c>
      <c r="M244" s="33">
        <f>ROUND(H244*1.25, 2)</f>
      </c>
      <c r="N244" s="33">
        <f>ROUND(H244*1.55, 2)</f>
      </c>
      <c r="O244" s="33">
        <f>ROUND(H244*1.65, 2)</f>
      </c>
      <c r="P244" s="33">
        <f>SUM(I244:O244)</f>
      </c>
      <c r="Q244" s="33">
        <f>ROUND(H244*1.5, 2)</f>
      </c>
      <c r="R244" s="33">
        <f>ROUND(H244*2.0, 2)</f>
      </c>
      <c r="S244" s="14">
        <f>IF(F244&lt;=R244, "TRIGGER INDENT", "STOCK HEALTHY")</f>
      </c>
      <c r="T244" s="33">
        <f>IF(F244&lt;=R244, ROUND(MAX(H244, (I244+Q244)-F244), 2), 0)</f>
      </c>
    </row>
    <row r="245" ht="20" customHeight="1" spans="1:20" x14ac:dyDescent="0.25">
      <c r="A245" s="12" t="s">
        <v>655</v>
      </c>
      <c r="B245" s="12" t="s">
        <v>656</v>
      </c>
      <c r="C245" s="12" t="s">
        <v>176</v>
      </c>
      <c r="D245" s="12" t="s">
        <v>153</v>
      </c>
      <c r="E245" s="30">
        <v>1050</v>
      </c>
      <c r="F245" s="31">
        <v>1.5100002</v>
      </c>
      <c r="G245" s="12" t="s">
        <v>149</v>
      </c>
      <c r="H245" s="31">
        <v>1</v>
      </c>
      <c r="I245" s="31">
        <f>ROUND(H245*1.0, 2)</f>
      </c>
      <c r="J245" s="31">
        <f>ROUND(H245*0.95, 2)</f>
      </c>
      <c r="K245" s="31">
        <f>ROUND(H245*0.95, 2)</f>
      </c>
      <c r="L245" s="31">
        <f>ROUND(H245*1.05, 2)</f>
      </c>
      <c r="M245" s="31">
        <f>ROUND(H245*1.25, 2)</f>
      </c>
      <c r="N245" s="31">
        <f>ROUND(H245*1.55, 2)</f>
      </c>
      <c r="O245" s="31">
        <f>ROUND(H245*1.65, 2)</f>
      </c>
      <c r="P245" s="31">
        <f>SUM(I245:O245)</f>
      </c>
      <c r="Q245" s="31">
        <f>ROUND(H245*1.5, 2)</f>
      </c>
      <c r="R245" s="31">
        <f>ROUND(H245*2.0, 2)</f>
      </c>
      <c r="S245" s="12">
        <f>IF(F245&lt;=R245, "TRIGGER INDENT", "STOCK HEALTHY")</f>
      </c>
      <c r="T245" s="31">
        <f>IF(F245&lt;=R245, ROUND(MAX(H245, (I245+Q245)-F245), 2), 0)</f>
      </c>
    </row>
    <row r="246" ht="20" customHeight="1" spans="1:20" x14ac:dyDescent="0.25">
      <c r="A246" s="14" t="s">
        <v>657</v>
      </c>
      <c r="B246" s="14" t="s">
        <v>658</v>
      </c>
      <c r="C246" s="14" t="s">
        <v>185</v>
      </c>
      <c r="D246" s="14" t="s">
        <v>138</v>
      </c>
      <c r="E246" s="32">
        <v>42.0099983215332</v>
      </c>
      <c r="F246" s="33">
        <v>640</v>
      </c>
      <c r="G246" s="14" t="s">
        <v>186</v>
      </c>
      <c r="H246" s="33">
        <v>51.2</v>
      </c>
      <c r="I246" s="33">
        <f>ROUND(H246*1.0, 2)</f>
      </c>
      <c r="J246" s="33">
        <f>ROUND(H246*0.95, 2)</f>
      </c>
      <c r="K246" s="33">
        <f>ROUND(H246*0.95, 2)</f>
      </c>
      <c r="L246" s="33">
        <f>ROUND(H246*1.05, 2)</f>
      </c>
      <c r="M246" s="33">
        <f>ROUND(H246*1.25, 2)</f>
      </c>
      <c r="N246" s="33">
        <f>ROUND(H246*1.55, 2)</f>
      </c>
      <c r="O246" s="33">
        <f>ROUND(H246*1.65, 2)</f>
      </c>
      <c r="P246" s="33">
        <f>SUM(I246:O246)</f>
      </c>
      <c r="Q246" s="33">
        <f>ROUND(H246*1.5, 2)</f>
      </c>
      <c r="R246" s="33">
        <f>ROUND(H246*2.0, 2)</f>
      </c>
      <c r="S246" s="14">
        <f>IF(F246&lt;=R246, "TRIGGER INDENT", "STOCK HEALTHY")</f>
      </c>
      <c r="T246" s="33">
        <f>IF(F246&lt;=R246, ROUND(MAX(H246, (I246+Q246)-F246), 2), 0)</f>
      </c>
    </row>
    <row r="247" ht="20" customHeight="1" spans="1:20" x14ac:dyDescent="0.25">
      <c r="A247" s="12" t="s">
        <v>659</v>
      </c>
      <c r="B247" s="12" t="s">
        <v>660</v>
      </c>
      <c r="C247" s="12" t="s">
        <v>159</v>
      </c>
      <c r="D247" s="12" t="s">
        <v>138</v>
      </c>
      <c r="E247" s="30">
        <v>93.61000061035156</v>
      </c>
      <c r="F247" s="31">
        <v>1.5100002</v>
      </c>
      <c r="G247" s="12" t="s">
        <v>186</v>
      </c>
      <c r="H247" s="31">
        <v>1</v>
      </c>
      <c r="I247" s="31">
        <f>ROUND(H247*1.0, 2)</f>
      </c>
      <c r="J247" s="31">
        <f>ROUND(H247*0.95, 2)</f>
      </c>
      <c r="K247" s="31">
        <f>ROUND(H247*0.95, 2)</f>
      </c>
      <c r="L247" s="31">
        <f>ROUND(H247*1.05, 2)</f>
      </c>
      <c r="M247" s="31">
        <f>ROUND(H247*1.25, 2)</f>
      </c>
      <c r="N247" s="31">
        <f>ROUND(H247*1.55, 2)</f>
      </c>
      <c r="O247" s="31">
        <f>ROUND(H247*1.65, 2)</f>
      </c>
      <c r="P247" s="31">
        <f>SUM(I247:O247)</f>
      </c>
      <c r="Q247" s="31">
        <f>ROUND(H247*1.5, 2)</f>
      </c>
      <c r="R247" s="31">
        <f>ROUND(H247*2.0, 2)</f>
      </c>
      <c r="S247" s="12">
        <f>IF(F247&lt;=R247, "TRIGGER INDENT", "STOCK HEALTHY")</f>
      </c>
      <c r="T247" s="31">
        <f>IF(F247&lt;=R247, ROUND(MAX(H247, (I247+Q247)-F247), 2), 0)</f>
      </c>
    </row>
    <row r="248" ht="20" customHeight="1" spans="1:20" x14ac:dyDescent="0.25">
      <c r="A248" s="14" t="s">
        <v>661</v>
      </c>
      <c r="B248" s="14" t="s">
        <v>662</v>
      </c>
      <c r="C248" s="14" t="s">
        <v>147</v>
      </c>
      <c r="D248" s="14" t="s">
        <v>148</v>
      </c>
      <c r="E248" s="32">
        <v>248.3300018310547</v>
      </c>
      <c r="F248" s="33">
        <v>16</v>
      </c>
      <c r="G248" s="14" t="s">
        <v>177</v>
      </c>
      <c r="H248" s="33">
        <v>3.2</v>
      </c>
      <c r="I248" s="33">
        <f>ROUND(H248*1.0, 2)</f>
      </c>
      <c r="J248" s="33">
        <f>ROUND(H248*0.95, 2)</f>
      </c>
      <c r="K248" s="33">
        <f>ROUND(H248*0.95, 2)</f>
      </c>
      <c r="L248" s="33">
        <f>ROUND(H248*1.05, 2)</f>
      </c>
      <c r="M248" s="33">
        <f>ROUND(H248*1.25, 2)</f>
      </c>
      <c r="N248" s="33">
        <f>ROUND(H248*1.55, 2)</f>
      </c>
      <c r="O248" s="33">
        <f>ROUND(H248*1.65, 2)</f>
      </c>
      <c r="P248" s="33">
        <f>SUM(I248:O248)</f>
      </c>
      <c r="Q248" s="33">
        <f>ROUND(H248*1.5, 2)</f>
      </c>
      <c r="R248" s="33">
        <f>ROUND(H248*2.0, 2)</f>
      </c>
      <c r="S248" s="14">
        <f>IF(F248&lt;=R248, "TRIGGER INDENT", "STOCK HEALTHY")</f>
      </c>
      <c r="T248" s="33">
        <f>IF(F248&lt;=R248, ROUND(MAX(H248, (I248+Q248)-F248), 2), 0)</f>
      </c>
    </row>
    <row r="249" ht="20" customHeight="1" spans="1:20" x14ac:dyDescent="0.25">
      <c r="A249" s="12" t="s">
        <v>663</v>
      </c>
      <c r="B249" s="12" t="s">
        <v>664</v>
      </c>
      <c r="C249" s="12" t="s">
        <v>176</v>
      </c>
      <c r="D249" s="12" t="s">
        <v>153</v>
      </c>
      <c r="E249" s="30">
        <v>2295</v>
      </c>
      <c r="F249" s="31">
        <v>8</v>
      </c>
      <c r="G249" s="12" t="s">
        <v>160</v>
      </c>
      <c r="H249" s="31">
        <v>1.6</v>
      </c>
      <c r="I249" s="31">
        <f>ROUND(H249*1.0, 2)</f>
      </c>
      <c r="J249" s="31">
        <f>ROUND(H249*0.95, 2)</f>
      </c>
      <c r="K249" s="31">
        <f>ROUND(H249*0.95, 2)</f>
      </c>
      <c r="L249" s="31">
        <f>ROUND(H249*1.05, 2)</f>
      </c>
      <c r="M249" s="31">
        <f>ROUND(H249*1.25, 2)</f>
      </c>
      <c r="N249" s="31">
        <f>ROUND(H249*1.55, 2)</f>
      </c>
      <c r="O249" s="31">
        <f>ROUND(H249*1.65, 2)</f>
      </c>
      <c r="P249" s="31">
        <f>SUM(I249:O249)</f>
      </c>
      <c r="Q249" s="31">
        <f>ROUND(H249*1.5, 2)</f>
      </c>
      <c r="R249" s="31">
        <f>ROUND(H249*2.0, 2)</f>
      </c>
      <c r="S249" s="12">
        <f>IF(F249&lt;=R249, "TRIGGER INDENT", "STOCK HEALTHY")</f>
      </c>
      <c r="T249" s="31">
        <f>IF(F249&lt;=R249, ROUND(MAX(H249, (I249+Q249)-F249), 2), 0)</f>
      </c>
    </row>
    <row r="250" ht="20" customHeight="1" spans="1:20" x14ac:dyDescent="0.25">
      <c r="A250" s="14" t="s">
        <v>665</v>
      </c>
      <c r="B250" s="14" t="s">
        <v>666</v>
      </c>
      <c r="C250" s="14" t="s">
        <v>170</v>
      </c>
      <c r="D250" s="14" t="s">
        <v>265</v>
      </c>
      <c r="E250" s="32">
        <v>360.3999938964844</v>
      </c>
      <c r="F250" s="33">
        <v>1.5100002</v>
      </c>
      <c r="G250" s="14" t="s">
        <v>149</v>
      </c>
      <c r="H250" s="33">
        <v>1</v>
      </c>
      <c r="I250" s="33">
        <f>ROUND(H250*1.0, 2)</f>
      </c>
      <c r="J250" s="33">
        <f>ROUND(H250*0.95, 2)</f>
      </c>
      <c r="K250" s="33">
        <f>ROUND(H250*0.95, 2)</f>
      </c>
      <c r="L250" s="33">
        <f>ROUND(H250*1.05, 2)</f>
      </c>
      <c r="M250" s="33">
        <f>ROUND(H250*1.25, 2)</f>
      </c>
      <c r="N250" s="33">
        <f>ROUND(H250*1.55, 2)</f>
      </c>
      <c r="O250" s="33">
        <f>ROUND(H250*1.65, 2)</f>
      </c>
      <c r="P250" s="33">
        <f>SUM(I250:O250)</f>
      </c>
      <c r="Q250" s="33">
        <f>ROUND(H250*1.5, 2)</f>
      </c>
      <c r="R250" s="33">
        <f>ROUND(H250*2.0, 2)</f>
      </c>
      <c r="S250" s="14">
        <f>IF(F250&lt;=R250, "TRIGGER INDENT", "STOCK HEALTHY")</f>
      </c>
      <c r="T250" s="33">
        <f>IF(F250&lt;=R250, ROUND(MAX(H250, (I250+Q250)-F250), 2), 0)</f>
      </c>
    </row>
    <row r="251" ht="20" customHeight="1" spans="1:20" x14ac:dyDescent="0.25">
      <c r="A251" s="12" t="s">
        <v>667</v>
      </c>
      <c r="B251" s="12" t="s">
        <v>668</v>
      </c>
      <c r="C251" s="12" t="s">
        <v>170</v>
      </c>
      <c r="D251" s="12" t="s">
        <v>198</v>
      </c>
      <c r="E251" s="30">
        <v>255.86000061035156</v>
      </c>
      <c r="F251" s="31">
        <v>48</v>
      </c>
      <c r="G251" s="12" t="s">
        <v>149</v>
      </c>
      <c r="H251" s="31">
        <v>9.6</v>
      </c>
      <c r="I251" s="31">
        <f>ROUND(H251*1.0, 2)</f>
      </c>
      <c r="J251" s="31">
        <f>ROUND(H251*0.95, 2)</f>
      </c>
      <c r="K251" s="31">
        <f>ROUND(H251*0.95, 2)</f>
      </c>
      <c r="L251" s="31">
        <f>ROUND(H251*1.05, 2)</f>
      </c>
      <c r="M251" s="31">
        <f>ROUND(H251*1.25, 2)</f>
      </c>
      <c r="N251" s="31">
        <f>ROUND(H251*1.55, 2)</f>
      </c>
      <c r="O251" s="31">
        <f>ROUND(H251*1.65, 2)</f>
      </c>
      <c r="P251" s="31">
        <f>SUM(I251:O251)</f>
      </c>
      <c r="Q251" s="31">
        <f>ROUND(H251*1.5, 2)</f>
      </c>
      <c r="R251" s="31">
        <f>ROUND(H251*2.0, 2)</f>
      </c>
      <c r="S251" s="12">
        <f>IF(F251&lt;=R251, "TRIGGER INDENT", "STOCK HEALTHY")</f>
      </c>
      <c r="T251" s="31">
        <f>IF(F251&lt;=R251, ROUND(MAX(H251, (I251+Q251)-F251), 2), 0)</f>
      </c>
    </row>
    <row r="252" ht="20" customHeight="1" spans="1:20" x14ac:dyDescent="0.25">
      <c r="A252" s="14" t="s">
        <v>669</v>
      </c>
      <c r="B252" s="14" t="s">
        <v>670</v>
      </c>
      <c r="C252" s="14" t="s">
        <v>137</v>
      </c>
      <c r="D252" s="14" t="s">
        <v>138</v>
      </c>
      <c r="E252" s="32">
        <v>8.5</v>
      </c>
      <c r="F252" s="33">
        <v>1280</v>
      </c>
      <c r="G252" s="14" t="s">
        <v>154</v>
      </c>
      <c r="H252" s="33">
        <v>64</v>
      </c>
      <c r="I252" s="33">
        <f>ROUND(H252*1.0, 2)</f>
      </c>
      <c r="J252" s="33">
        <f>ROUND(H252*0.95, 2)</f>
      </c>
      <c r="K252" s="33">
        <f>ROUND(H252*0.95, 2)</f>
      </c>
      <c r="L252" s="33">
        <f>ROUND(H252*1.05, 2)</f>
      </c>
      <c r="M252" s="33">
        <f>ROUND(H252*1.25, 2)</f>
      </c>
      <c r="N252" s="33">
        <f>ROUND(H252*1.55, 2)</f>
      </c>
      <c r="O252" s="33">
        <f>ROUND(H252*1.65, 2)</f>
      </c>
      <c r="P252" s="33">
        <f>SUM(I252:O252)</f>
      </c>
      <c r="Q252" s="33">
        <f>ROUND(H252*1.5, 2)</f>
      </c>
      <c r="R252" s="33">
        <f>ROUND(H252*2.0, 2)</f>
      </c>
      <c r="S252" s="14">
        <f>IF(F252&lt;=R252, "TRIGGER INDENT", "STOCK HEALTHY")</f>
      </c>
      <c r="T252" s="33">
        <f>IF(F252&lt;=R252, ROUND(MAX(H252, (I252+Q252)-F252), 2), 0)</f>
      </c>
    </row>
    <row r="253" ht="20" customHeight="1" spans="1:20" x14ac:dyDescent="0.25">
      <c r="A253" s="12" t="s">
        <v>671</v>
      </c>
      <c r="B253" s="12" t="s">
        <v>672</v>
      </c>
      <c r="C253" s="12" t="s">
        <v>137</v>
      </c>
      <c r="D253" s="12" t="s">
        <v>138</v>
      </c>
      <c r="E253" s="30">
        <v>350</v>
      </c>
      <c r="F253" s="31">
        <v>656</v>
      </c>
      <c r="G253" s="12" t="s">
        <v>154</v>
      </c>
      <c r="H253" s="31">
        <v>52.48</v>
      </c>
      <c r="I253" s="31">
        <f>ROUND(H253*1.0, 2)</f>
      </c>
      <c r="J253" s="31">
        <f>ROUND(H253*0.95, 2)</f>
      </c>
      <c r="K253" s="31">
        <f>ROUND(H253*0.95, 2)</f>
      </c>
      <c r="L253" s="31">
        <f>ROUND(H253*1.05, 2)</f>
      </c>
      <c r="M253" s="31">
        <f>ROUND(H253*1.25, 2)</f>
      </c>
      <c r="N253" s="31">
        <f>ROUND(H253*1.55, 2)</f>
      </c>
      <c r="O253" s="31">
        <f>ROUND(H253*1.65, 2)</f>
      </c>
      <c r="P253" s="31">
        <f>SUM(I253:O253)</f>
      </c>
      <c r="Q253" s="31">
        <f>ROUND(H253*1.5, 2)</f>
      </c>
      <c r="R253" s="31">
        <f>ROUND(H253*2.0, 2)</f>
      </c>
      <c r="S253" s="12">
        <f>IF(F253&lt;=R253, "TRIGGER INDENT", "STOCK HEALTHY")</f>
      </c>
      <c r="T253" s="31">
        <f>IF(F253&lt;=R253, ROUND(MAX(H253, (I253+Q253)-F253), 2), 0)</f>
      </c>
    </row>
    <row r="254" ht="20" customHeight="1" spans="1:20" x14ac:dyDescent="0.25">
      <c r="A254" s="14" t="s">
        <v>673</v>
      </c>
      <c r="B254" s="14" t="s">
        <v>674</v>
      </c>
      <c r="C254" s="14" t="s">
        <v>436</v>
      </c>
      <c r="D254" s="14" t="s">
        <v>198</v>
      </c>
      <c r="E254" s="32">
        <v>190</v>
      </c>
      <c r="F254" s="33">
        <v>256</v>
      </c>
      <c r="G254" s="14" t="s">
        <v>177</v>
      </c>
      <c r="H254" s="33">
        <v>20.48</v>
      </c>
      <c r="I254" s="33">
        <f>ROUND(H254*1.0, 2)</f>
      </c>
      <c r="J254" s="33">
        <f>ROUND(H254*0.95, 2)</f>
      </c>
      <c r="K254" s="33">
        <f>ROUND(H254*0.95, 2)</f>
      </c>
      <c r="L254" s="33">
        <f>ROUND(H254*1.05, 2)</f>
      </c>
      <c r="M254" s="33">
        <f>ROUND(H254*1.25, 2)</f>
      </c>
      <c r="N254" s="33">
        <f>ROUND(H254*1.55, 2)</f>
      </c>
      <c r="O254" s="33">
        <f>ROUND(H254*1.65, 2)</f>
      </c>
      <c r="P254" s="33">
        <f>SUM(I254:O254)</f>
      </c>
      <c r="Q254" s="33">
        <f>ROUND(H254*1.5, 2)</f>
      </c>
      <c r="R254" s="33">
        <f>ROUND(H254*2.0, 2)</f>
      </c>
      <c r="S254" s="14">
        <f>IF(F254&lt;=R254, "TRIGGER INDENT", "STOCK HEALTHY")</f>
      </c>
      <c r="T254" s="33">
        <f>IF(F254&lt;=R254, ROUND(MAX(H254, (I254+Q254)-F254), 2), 0)</f>
      </c>
    </row>
    <row r="255" ht="20" customHeight="1" spans="1:20" x14ac:dyDescent="0.25">
      <c r="A255" s="12" t="s">
        <v>675</v>
      </c>
      <c r="B255" s="12" t="s">
        <v>676</v>
      </c>
      <c r="C255" s="12" t="s">
        <v>415</v>
      </c>
      <c r="D255" s="12" t="s">
        <v>153</v>
      </c>
      <c r="E255" s="30">
        <v>14.489999771118164</v>
      </c>
      <c r="F255" s="31">
        <v>1488</v>
      </c>
      <c r="G255" s="12" t="s">
        <v>139</v>
      </c>
      <c r="H255" s="31">
        <v>74.4</v>
      </c>
      <c r="I255" s="31">
        <f>ROUND(H255*1.0, 2)</f>
      </c>
      <c r="J255" s="31">
        <f>ROUND(H255*0.95, 2)</f>
      </c>
      <c r="K255" s="31">
        <f>ROUND(H255*0.95, 2)</f>
      </c>
      <c r="L255" s="31">
        <f>ROUND(H255*1.05, 2)</f>
      </c>
      <c r="M255" s="31">
        <f>ROUND(H255*1.25, 2)</f>
      </c>
      <c r="N255" s="31">
        <f>ROUND(H255*1.55, 2)</f>
      </c>
      <c r="O255" s="31">
        <f>ROUND(H255*1.65, 2)</f>
      </c>
      <c r="P255" s="31">
        <f>SUM(I255:O255)</f>
      </c>
      <c r="Q255" s="31">
        <f>ROUND(H255*1.5, 2)</f>
      </c>
      <c r="R255" s="31">
        <f>ROUND(H255*2.0, 2)</f>
      </c>
      <c r="S255" s="12">
        <f>IF(F255&lt;=R255, "TRIGGER INDENT", "STOCK HEALTHY")</f>
      </c>
      <c r="T255" s="31">
        <f>IF(F255&lt;=R255, ROUND(MAX(H255, (I255+Q255)-F255), 2), 0)</f>
      </c>
    </row>
    <row r="256" ht="20" customHeight="1" spans="1:20" x14ac:dyDescent="0.25">
      <c r="A256" s="14" t="s">
        <v>677</v>
      </c>
      <c r="B256" s="14" t="s">
        <v>678</v>
      </c>
      <c r="C256" s="14" t="s">
        <v>288</v>
      </c>
      <c r="D256" s="14" t="s">
        <v>153</v>
      </c>
      <c r="E256" s="32">
        <v>417.989990234375</v>
      </c>
      <c r="F256" s="33">
        <v>96</v>
      </c>
      <c r="G256" s="14" t="s">
        <v>142</v>
      </c>
      <c r="H256" s="33">
        <v>11.52</v>
      </c>
      <c r="I256" s="33">
        <f>ROUND(H256*1.0, 2)</f>
      </c>
      <c r="J256" s="33">
        <f>ROUND(H256*0.95, 2)</f>
      </c>
      <c r="K256" s="33">
        <f>ROUND(H256*0.95, 2)</f>
      </c>
      <c r="L256" s="33">
        <f>ROUND(H256*1.05, 2)</f>
      </c>
      <c r="M256" s="33">
        <f>ROUND(H256*1.25, 2)</f>
      </c>
      <c r="N256" s="33">
        <f>ROUND(H256*1.55, 2)</f>
      </c>
      <c r="O256" s="33">
        <f>ROUND(H256*1.65, 2)</f>
      </c>
      <c r="P256" s="33">
        <f>SUM(I256:O256)</f>
      </c>
      <c r="Q256" s="33">
        <f>ROUND(H256*1.5, 2)</f>
      </c>
      <c r="R256" s="33">
        <f>ROUND(H256*2.0, 2)</f>
      </c>
      <c r="S256" s="14">
        <f>IF(F256&lt;=R256, "TRIGGER INDENT", "STOCK HEALTHY")</f>
      </c>
      <c r="T256" s="33">
        <f>IF(F256&lt;=R256, ROUND(MAX(H256, (I256+Q256)-F256), 2), 0)</f>
      </c>
    </row>
    <row r="257" ht="20" customHeight="1" spans="1:20" x14ac:dyDescent="0.25">
      <c r="A257" s="12" t="s">
        <v>679</v>
      </c>
      <c r="B257" s="12" t="s">
        <v>680</v>
      </c>
      <c r="C257" s="12" t="s">
        <v>240</v>
      </c>
      <c r="D257" s="12" t="s">
        <v>138</v>
      </c>
      <c r="E257" s="30">
        <v>25</v>
      </c>
      <c r="F257" s="31">
        <v>240</v>
      </c>
      <c r="G257" s="12" t="s">
        <v>177</v>
      </c>
      <c r="H257" s="31">
        <v>19.2</v>
      </c>
      <c r="I257" s="31">
        <f>ROUND(H257*1.0, 2)</f>
      </c>
      <c r="J257" s="31">
        <f>ROUND(H257*0.95, 2)</f>
      </c>
      <c r="K257" s="31">
        <f>ROUND(H257*0.95, 2)</f>
      </c>
      <c r="L257" s="31">
        <f>ROUND(H257*1.05, 2)</f>
      </c>
      <c r="M257" s="31">
        <f>ROUND(H257*1.25, 2)</f>
      </c>
      <c r="N257" s="31">
        <f>ROUND(H257*1.55, 2)</f>
      </c>
      <c r="O257" s="31">
        <f>ROUND(H257*1.65, 2)</f>
      </c>
      <c r="P257" s="31">
        <f>SUM(I257:O257)</f>
      </c>
      <c r="Q257" s="31">
        <f>ROUND(H257*1.5, 2)</f>
      </c>
      <c r="R257" s="31">
        <f>ROUND(H257*2.0, 2)</f>
      </c>
      <c r="S257" s="12">
        <f>IF(F257&lt;=R257, "TRIGGER INDENT", "STOCK HEALTHY")</f>
      </c>
      <c r="T257" s="31">
        <f>IF(F257&lt;=R257, ROUND(MAX(H257, (I257+Q257)-F257), 2), 0)</f>
      </c>
    </row>
    <row r="258" ht="20" customHeight="1" spans="1:20" x14ac:dyDescent="0.25">
      <c r="A258" s="14" t="s">
        <v>681</v>
      </c>
      <c r="B258" s="14" t="s">
        <v>682</v>
      </c>
      <c r="C258" s="14" t="s">
        <v>170</v>
      </c>
      <c r="D258" s="14" t="s">
        <v>153</v>
      </c>
      <c r="E258" s="32">
        <v>94.2699966430664</v>
      </c>
      <c r="F258" s="33">
        <v>512.7999</v>
      </c>
      <c r="G258" s="14" t="s">
        <v>139</v>
      </c>
      <c r="H258" s="33">
        <v>41.02</v>
      </c>
      <c r="I258" s="33">
        <f>ROUND(H258*1.0, 2)</f>
      </c>
      <c r="J258" s="33">
        <f>ROUND(H258*0.95, 2)</f>
      </c>
      <c r="K258" s="33">
        <f>ROUND(H258*0.95, 2)</f>
      </c>
      <c r="L258" s="33">
        <f>ROUND(H258*1.05, 2)</f>
      </c>
      <c r="M258" s="33">
        <f>ROUND(H258*1.25, 2)</f>
      </c>
      <c r="N258" s="33">
        <f>ROUND(H258*1.55, 2)</f>
      </c>
      <c r="O258" s="33">
        <f>ROUND(H258*1.65, 2)</f>
      </c>
      <c r="P258" s="33">
        <f>SUM(I258:O258)</f>
      </c>
      <c r="Q258" s="33">
        <f>ROUND(H258*1.5, 2)</f>
      </c>
      <c r="R258" s="33">
        <f>ROUND(H258*2.0, 2)</f>
      </c>
      <c r="S258" s="14">
        <f>IF(F258&lt;=R258, "TRIGGER INDENT", "STOCK HEALTHY")</f>
      </c>
      <c r="T258" s="33">
        <f>IF(F258&lt;=R258, ROUND(MAX(H258, (I258+Q258)-F258), 2), 0)</f>
      </c>
    </row>
    <row r="259" ht="20" customHeight="1" spans="1:20" x14ac:dyDescent="0.25">
      <c r="A259" s="12" t="s">
        <v>683</v>
      </c>
      <c r="B259" s="12" t="s">
        <v>684</v>
      </c>
      <c r="C259" s="12" t="s">
        <v>167</v>
      </c>
      <c r="D259" s="12" t="s">
        <v>153</v>
      </c>
      <c r="E259" s="30">
        <v>70.16999816894531</v>
      </c>
      <c r="F259" s="31">
        <v>48</v>
      </c>
      <c r="G259" s="12" t="s">
        <v>139</v>
      </c>
      <c r="H259" s="31">
        <v>9.6</v>
      </c>
      <c r="I259" s="31">
        <f>ROUND(H259*1.0, 2)</f>
      </c>
      <c r="J259" s="31">
        <f>ROUND(H259*0.95, 2)</f>
      </c>
      <c r="K259" s="31">
        <f>ROUND(H259*0.95, 2)</f>
      </c>
      <c r="L259" s="31">
        <f>ROUND(H259*1.05, 2)</f>
      </c>
      <c r="M259" s="31">
        <f>ROUND(H259*1.25, 2)</f>
      </c>
      <c r="N259" s="31">
        <f>ROUND(H259*1.55, 2)</f>
      </c>
      <c r="O259" s="31">
        <f>ROUND(H259*1.65, 2)</f>
      </c>
      <c r="P259" s="31">
        <f>SUM(I259:O259)</f>
      </c>
      <c r="Q259" s="31">
        <f>ROUND(H259*1.5, 2)</f>
      </c>
      <c r="R259" s="31">
        <f>ROUND(H259*2.0, 2)</f>
      </c>
      <c r="S259" s="12">
        <f>IF(F259&lt;=R259, "TRIGGER INDENT", "STOCK HEALTHY")</f>
      </c>
      <c r="T259" s="31">
        <f>IF(F259&lt;=R259, ROUND(MAX(H259, (I259+Q259)-F259), 2), 0)</f>
      </c>
    </row>
    <row r="260" ht="20" customHeight="1" spans="1:20" x14ac:dyDescent="0.25">
      <c r="A260" s="14" t="s">
        <v>685</v>
      </c>
      <c r="B260" s="14" t="s">
        <v>686</v>
      </c>
      <c r="C260" s="14" t="s">
        <v>170</v>
      </c>
      <c r="D260" s="14" t="s">
        <v>153</v>
      </c>
      <c r="E260" s="32">
        <v>102.25</v>
      </c>
      <c r="F260" s="33">
        <v>395.20004</v>
      </c>
      <c r="G260" s="14" t="s">
        <v>139</v>
      </c>
      <c r="H260" s="33">
        <v>31.62</v>
      </c>
      <c r="I260" s="33">
        <f>ROUND(H260*1.0, 2)</f>
      </c>
      <c r="J260" s="33">
        <f>ROUND(H260*0.95, 2)</f>
      </c>
      <c r="K260" s="33">
        <f>ROUND(H260*0.95, 2)</f>
      </c>
      <c r="L260" s="33">
        <f>ROUND(H260*1.05, 2)</f>
      </c>
      <c r="M260" s="33">
        <f>ROUND(H260*1.25, 2)</f>
      </c>
      <c r="N260" s="33">
        <f>ROUND(H260*1.55, 2)</f>
      </c>
      <c r="O260" s="33">
        <f>ROUND(H260*1.65, 2)</f>
      </c>
      <c r="P260" s="33">
        <f>SUM(I260:O260)</f>
      </c>
      <c r="Q260" s="33">
        <f>ROUND(H260*1.5, 2)</f>
      </c>
      <c r="R260" s="33">
        <f>ROUND(H260*2.0, 2)</f>
      </c>
      <c r="S260" s="14">
        <f>IF(F260&lt;=R260, "TRIGGER INDENT", "STOCK HEALTHY")</f>
      </c>
      <c r="T260" s="33">
        <f>IF(F260&lt;=R260, ROUND(MAX(H260, (I260+Q260)-F260), 2), 0)</f>
      </c>
    </row>
    <row r="261" ht="20" customHeight="1" spans="1:20" x14ac:dyDescent="0.25">
      <c r="A261" s="12" t="s">
        <v>687</v>
      </c>
      <c r="B261" s="12" t="s">
        <v>688</v>
      </c>
      <c r="C261" s="12" t="s">
        <v>211</v>
      </c>
      <c r="D261" s="12" t="s">
        <v>153</v>
      </c>
      <c r="E261" s="30">
        <v>90.83000183105469</v>
      </c>
      <c r="F261" s="31">
        <v>43.20001</v>
      </c>
      <c r="G261" s="12" t="s">
        <v>149</v>
      </c>
      <c r="H261" s="31">
        <v>8.64</v>
      </c>
      <c r="I261" s="31">
        <f>ROUND(H261*1.0, 2)</f>
      </c>
      <c r="J261" s="31">
        <f>ROUND(H261*0.95, 2)</f>
      </c>
      <c r="K261" s="31">
        <f>ROUND(H261*0.95, 2)</f>
      </c>
      <c r="L261" s="31">
        <f>ROUND(H261*1.05, 2)</f>
      </c>
      <c r="M261" s="31">
        <f>ROUND(H261*1.25, 2)</f>
      </c>
      <c r="N261" s="31">
        <f>ROUND(H261*1.55, 2)</f>
      </c>
      <c r="O261" s="31">
        <f>ROUND(H261*1.65, 2)</f>
      </c>
      <c r="P261" s="31">
        <f>SUM(I261:O261)</f>
      </c>
      <c r="Q261" s="31">
        <f>ROUND(H261*1.5, 2)</f>
      </c>
      <c r="R261" s="31">
        <f>ROUND(H261*2.0, 2)</f>
      </c>
      <c r="S261" s="12">
        <f>IF(F261&lt;=R261, "TRIGGER INDENT", "STOCK HEALTHY")</f>
      </c>
      <c r="T261" s="31">
        <f>IF(F261&lt;=R261, ROUND(MAX(H261, (I261+Q261)-F261), 2), 0)</f>
      </c>
    </row>
    <row r="262" ht="20" customHeight="1" spans="1:20" x14ac:dyDescent="0.25">
      <c r="A262" s="14" t="s">
        <v>689</v>
      </c>
      <c r="B262" s="14" t="s">
        <v>690</v>
      </c>
      <c r="C262" s="14" t="s">
        <v>137</v>
      </c>
      <c r="D262" s="14" t="s">
        <v>138</v>
      </c>
      <c r="E262" s="32">
        <v>110</v>
      </c>
      <c r="F262" s="33">
        <v>80</v>
      </c>
      <c r="G262" s="14" t="s">
        <v>160</v>
      </c>
      <c r="H262" s="33">
        <v>9.6</v>
      </c>
      <c r="I262" s="33">
        <f>ROUND(H262*1.0, 2)</f>
      </c>
      <c r="J262" s="33">
        <f>ROUND(H262*0.95, 2)</f>
      </c>
      <c r="K262" s="33">
        <f>ROUND(H262*0.95, 2)</f>
      </c>
      <c r="L262" s="33">
        <f>ROUND(H262*1.05, 2)</f>
      </c>
      <c r="M262" s="33">
        <f>ROUND(H262*1.25, 2)</f>
      </c>
      <c r="N262" s="33">
        <f>ROUND(H262*1.55, 2)</f>
      </c>
      <c r="O262" s="33">
        <f>ROUND(H262*1.65, 2)</f>
      </c>
      <c r="P262" s="33">
        <f>SUM(I262:O262)</f>
      </c>
      <c r="Q262" s="33">
        <f>ROUND(H262*1.5, 2)</f>
      </c>
      <c r="R262" s="33">
        <f>ROUND(H262*2.0, 2)</f>
      </c>
      <c r="S262" s="14">
        <f>IF(F262&lt;=R262, "TRIGGER INDENT", "STOCK HEALTHY")</f>
      </c>
      <c r="T262" s="33">
        <f>IF(F262&lt;=R262, ROUND(MAX(H262, (I262+Q262)-F262), 2), 0)</f>
      </c>
    </row>
    <row r="263" ht="20" customHeight="1" spans="1:20" x14ac:dyDescent="0.25">
      <c r="A263" s="12" t="s">
        <v>691</v>
      </c>
      <c r="B263" s="12" t="s">
        <v>692</v>
      </c>
      <c r="C263" s="12" t="s">
        <v>137</v>
      </c>
      <c r="D263" s="12" t="s">
        <v>138</v>
      </c>
      <c r="E263" s="30">
        <v>9.520000457763672</v>
      </c>
      <c r="F263" s="31">
        <v>800</v>
      </c>
      <c r="G263" s="12" t="s">
        <v>190</v>
      </c>
      <c r="H263" s="31">
        <v>64</v>
      </c>
      <c r="I263" s="31">
        <f>ROUND(H263*1.0, 2)</f>
      </c>
      <c r="J263" s="31">
        <f>ROUND(H263*0.95, 2)</f>
      </c>
      <c r="K263" s="31">
        <f>ROUND(H263*0.95, 2)</f>
      </c>
      <c r="L263" s="31">
        <f>ROUND(H263*1.05, 2)</f>
      </c>
      <c r="M263" s="31">
        <f>ROUND(H263*1.25, 2)</f>
      </c>
      <c r="N263" s="31">
        <f>ROUND(H263*1.55, 2)</f>
      </c>
      <c r="O263" s="31">
        <f>ROUND(H263*1.65, 2)</f>
      </c>
      <c r="P263" s="31">
        <f>SUM(I263:O263)</f>
      </c>
      <c r="Q263" s="31">
        <f>ROUND(H263*1.5, 2)</f>
      </c>
      <c r="R263" s="31">
        <f>ROUND(H263*2.0, 2)</f>
      </c>
      <c r="S263" s="12">
        <f>IF(F263&lt;=R263, "TRIGGER INDENT", "STOCK HEALTHY")</f>
      </c>
      <c r="T263" s="31">
        <f>IF(F263&lt;=R263, ROUND(MAX(H263, (I263+Q263)-F263), 2), 0)</f>
      </c>
    </row>
    <row r="264" ht="20" customHeight="1" spans="1:20" x14ac:dyDescent="0.25">
      <c r="A264" s="14" t="s">
        <v>693</v>
      </c>
      <c r="B264" s="14" t="s">
        <v>694</v>
      </c>
      <c r="C264" s="14" t="s">
        <v>152</v>
      </c>
      <c r="D264" s="14" t="s">
        <v>153</v>
      </c>
      <c r="E264" s="32">
        <v>261.3399963378906</v>
      </c>
      <c r="F264" s="33">
        <v>304.8</v>
      </c>
      <c r="G264" s="14" t="s">
        <v>139</v>
      </c>
      <c r="H264" s="33">
        <v>24.38</v>
      </c>
      <c r="I264" s="33">
        <f>ROUND(H264*1.0, 2)</f>
      </c>
      <c r="J264" s="33">
        <f>ROUND(H264*0.95, 2)</f>
      </c>
      <c r="K264" s="33">
        <f>ROUND(H264*0.95, 2)</f>
      </c>
      <c r="L264" s="33">
        <f>ROUND(H264*1.05, 2)</f>
      </c>
      <c r="M264" s="33">
        <f>ROUND(H264*1.25, 2)</f>
      </c>
      <c r="N264" s="33">
        <f>ROUND(H264*1.55, 2)</f>
      </c>
      <c r="O264" s="33">
        <f>ROUND(H264*1.65, 2)</f>
      </c>
      <c r="P264" s="33">
        <f>SUM(I264:O264)</f>
      </c>
      <c r="Q264" s="33">
        <f>ROUND(H264*1.5, 2)</f>
      </c>
      <c r="R264" s="33">
        <f>ROUND(H264*2.0, 2)</f>
      </c>
      <c r="S264" s="14">
        <f>IF(F264&lt;=R264, "TRIGGER INDENT", "STOCK HEALTHY")</f>
      </c>
      <c r="T264" s="33">
        <f>IF(F264&lt;=R264, ROUND(MAX(H264, (I264+Q264)-F264), 2), 0)</f>
      </c>
    </row>
    <row r="265" ht="20" customHeight="1" spans="1:20" x14ac:dyDescent="0.25">
      <c r="A265" s="12" t="s">
        <v>695</v>
      </c>
      <c r="B265" s="12" t="s">
        <v>696</v>
      </c>
      <c r="C265" s="12" t="s">
        <v>436</v>
      </c>
      <c r="D265" s="12" t="s">
        <v>148</v>
      </c>
      <c r="E265" s="30">
        <v>37.5</v>
      </c>
      <c r="F265" s="31">
        <v>336</v>
      </c>
      <c r="G265" s="12" t="s">
        <v>190</v>
      </c>
      <c r="H265" s="31">
        <v>26.88</v>
      </c>
      <c r="I265" s="31">
        <f>ROUND(H265*1.0, 2)</f>
      </c>
      <c r="J265" s="31">
        <f>ROUND(H265*0.95, 2)</f>
      </c>
      <c r="K265" s="31">
        <f>ROUND(H265*0.95, 2)</f>
      </c>
      <c r="L265" s="31">
        <f>ROUND(H265*1.05, 2)</f>
      </c>
      <c r="M265" s="31">
        <f>ROUND(H265*1.25, 2)</f>
      </c>
      <c r="N265" s="31">
        <f>ROUND(H265*1.55, 2)</f>
      </c>
      <c r="O265" s="31">
        <f>ROUND(H265*1.65, 2)</f>
      </c>
      <c r="P265" s="31">
        <f>SUM(I265:O265)</f>
      </c>
      <c r="Q265" s="31">
        <f>ROUND(H265*1.5, 2)</f>
      </c>
      <c r="R265" s="31">
        <f>ROUND(H265*2.0, 2)</f>
      </c>
      <c r="S265" s="12">
        <f>IF(F265&lt;=R265, "TRIGGER INDENT", "STOCK HEALTHY")</f>
      </c>
      <c r="T265" s="31">
        <f>IF(F265&lt;=R265, ROUND(MAX(H265, (I265+Q265)-F265), 2), 0)</f>
      </c>
    </row>
    <row r="266" ht="20" customHeight="1" spans="1:20" x14ac:dyDescent="0.25">
      <c r="A266" s="14" t="s">
        <v>697</v>
      </c>
      <c r="B266" s="14" t="s">
        <v>698</v>
      </c>
      <c r="C266" s="14" t="s">
        <v>170</v>
      </c>
      <c r="D266" s="14" t="s">
        <v>153</v>
      </c>
      <c r="E266" s="32">
        <v>91.37999725341797</v>
      </c>
      <c r="F266" s="33">
        <v>52.40001</v>
      </c>
      <c r="G266" s="14" t="s">
        <v>139</v>
      </c>
      <c r="H266" s="33">
        <v>6.29</v>
      </c>
      <c r="I266" s="33">
        <f>ROUND(H266*1.0, 2)</f>
      </c>
      <c r="J266" s="33">
        <f>ROUND(H266*0.95, 2)</f>
      </c>
      <c r="K266" s="33">
        <f>ROUND(H266*0.95, 2)</f>
      </c>
      <c r="L266" s="33">
        <f>ROUND(H266*1.05, 2)</f>
      </c>
      <c r="M266" s="33">
        <f>ROUND(H266*1.25, 2)</f>
      </c>
      <c r="N266" s="33">
        <f>ROUND(H266*1.55, 2)</f>
      </c>
      <c r="O266" s="33">
        <f>ROUND(H266*1.65, 2)</f>
      </c>
      <c r="P266" s="33">
        <f>SUM(I266:O266)</f>
      </c>
      <c r="Q266" s="33">
        <f>ROUND(H266*1.5, 2)</f>
      </c>
      <c r="R266" s="33">
        <f>ROUND(H266*2.0, 2)</f>
      </c>
      <c r="S266" s="14">
        <f>IF(F266&lt;=R266, "TRIGGER INDENT", "STOCK HEALTHY")</f>
      </c>
      <c r="T266" s="33">
        <f>IF(F266&lt;=R266, ROUND(MAX(H266, (I266+Q266)-F266), 2), 0)</f>
      </c>
    </row>
    <row r="267" ht="20" customHeight="1" spans="1:20" x14ac:dyDescent="0.25">
      <c r="A267" s="12" t="s">
        <v>699</v>
      </c>
      <c r="B267" s="12" t="s">
        <v>700</v>
      </c>
      <c r="C267" s="12" t="s">
        <v>170</v>
      </c>
      <c r="D267" s="12" t="s">
        <v>138</v>
      </c>
      <c r="E267" s="30">
        <v>112.94999694824219</v>
      </c>
      <c r="F267" s="31">
        <v>160</v>
      </c>
      <c r="G267" s="12" t="s">
        <v>186</v>
      </c>
      <c r="H267" s="31">
        <v>19.2</v>
      </c>
      <c r="I267" s="31">
        <f>ROUND(H267*1.0, 2)</f>
      </c>
      <c r="J267" s="31">
        <f>ROUND(H267*0.95, 2)</f>
      </c>
      <c r="K267" s="31">
        <f>ROUND(H267*0.95, 2)</f>
      </c>
      <c r="L267" s="31">
        <f>ROUND(H267*1.05, 2)</f>
      </c>
      <c r="M267" s="31">
        <f>ROUND(H267*1.25, 2)</f>
      </c>
      <c r="N267" s="31">
        <f>ROUND(H267*1.55, 2)</f>
      </c>
      <c r="O267" s="31">
        <f>ROUND(H267*1.65, 2)</f>
      </c>
      <c r="P267" s="31">
        <f>SUM(I267:O267)</f>
      </c>
      <c r="Q267" s="31">
        <f>ROUND(H267*1.5, 2)</f>
      </c>
      <c r="R267" s="31">
        <f>ROUND(H267*2.0, 2)</f>
      </c>
      <c r="S267" s="12">
        <f>IF(F267&lt;=R267, "TRIGGER INDENT", "STOCK HEALTHY")</f>
      </c>
      <c r="T267" s="31">
        <f>IF(F267&lt;=R267, ROUND(MAX(H267, (I267+Q267)-F267), 2), 0)</f>
      </c>
    </row>
    <row r="268" ht="20" customHeight="1" spans="1:20" x14ac:dyDescent="0.25">
      <c r="A268" s="14" t="s">
        <v>701</v>
      </c>
      <c r="B268" s="14" t="s">
        <v>702</v>
      </c>
      <c r="C268" s="14" t="s">
        <v>147</v>
      </c>
      <c r="D268" s="14" t="s">
        <v>148</v>
      </c>
      <c r="E268" s="32">
        <v>130.6699981689453</v>
      </c>
      <c r="F268" s="33">
        <v>32</v>
      </c>
      <c r="G268" s="14" t="s">
        <v>177</v>
      </c>
      <c r="H268" s="33">
        <v>6.4</v>
      </c>
      <c r="I268" s="33">
        <f>ROUND(H268*1.0, 2)</f>
      </c>
      <c r="J268" s="33">
        <f>ROUND(H268*0.95, 2)</f>
      </c>
      <c r="K268" s="33">
        <f>ROUND(H268*0.95, 2)</f>
      </c>
      <c r="L268" s="33">
        <f>ROUND(H268*1.05, 2)</f>
      </c>
      <c r="M268" s="33">
        <f>ROUND(H268*1.25, 2)</f>
      </c>
      <c r="N268" s="33">
        <f>ROUND(H268*1.55, 2)</f>
      </c>
      <c r="O268" s="33">
        <f>ROUND(H268*1.65, 2)</f>
      </c>
      <c r="P268" s="33">
        <f>SUM(I268:O268)</f>
      </c>
      <c r="Q268" s="33">
        <f>ROUND(H268*1.5, 2)</f>
      </c>
      <c r="R268" s="33">
        <f>ROUND(H268*2.0, 2)</f>
      </c>
      <c r="S268" s="14">
        <f>IF(F268&lt;=R268, "TRIGGER INDENT", "STOCK HEALTHY")</f>
      </c>
      <c r="T268" s="33">
        <f>IF(F268&lt;=R268, ROUND(MAX(H268, (I268+Q268)-F268), 2), 0)</f>
      </c>
    </row>
    <row r="269" ht="20" customHeight="1" spans="1:20" x14ac:dyDescent="0.25">
      <c r="A269" s="12" t="s">
        <v>703</v>
      </c>
      <c r="B269" s="12" t="s">
        <v>704</v>
      </c>
      <c r="C269" s="12" t="s">
        <v>170</v>
      </c>
      <c r="D269" s="12" t="s">
        <v>148</v>
      </c>
      <c r="E269" s="30">
        <v>44.47999954223633</v>
      </c>
      <c r="F269" s="31">
        <v>112</v>
      </c>
      <c r="G269" s="12" t="s">
        <v>142</v>
      </c>
      <c r="H269" s="31">
        <v>13.44</v>
      </c>
      <c r="I269" s="31">
        <f>ROUND(H269*1.0, 2)</f>
      </c>
      <c r="J269" s="31">
        <f>ROUND(H269*0.95, 2)</f>
      </c>
      <c r="K269" s="31">
        <f>ROUND(H269*0.95, 2)</f>
      </c>
      <c r="L269" s="31">
        <f>ROUND(H269*1.05, 2)</f>
      </c>
      <c r="M269" s="31">
        <f>ROUND(H269*1.25, 2)</f>
      </c>
      <c r="N269" s="31">
        <f>ROUND(H269*1.55, 2)</f>
      </c>
      <c r="O269" s="31">
        <f>ROUND(H269*1.65, 2)</f>
      </c>
      <c r="P269" s="31">
        <f>SUM(I269:O269)</f>
      </c>
      <c r="Q269" s="31">
        <f>ROUND(H269*1.5, 2)</f>
      </c>
      <c r="R269" s="31">
        <f>ROUND(H269*2.0, 2)</f>
      </c>
      <c r="S269" s="12">
        <f>IF(F269&lt;=R269, "TRIGGER INDENT", "STOCK HEALTHY")</f>
      </c>
      <c r="T269" s="31">
        <f>IF(F269&lt;=R269, ROUND(MAX(H269, (I269+Q269)-F269), 2), 0)</f>
      </c>
    </row>
    <row r="270" ht="20" customHeight="1" spans="1:20" x14ac:dyDescent="0.25">
      <c r="A270" s="14" t="s">
        <v>705</v>
      </c>
      <c r="B270" s="14" t="s">
        <v>706</v>
      </c>
      <c r="C270" s="14" t="s">
        <v>137</v>
      </c>
      <c r="D270" s="14" t="s">
        <v>138</v>
      </c>
      <c r="E270" s="32">
        <v>170</v>
      </c>
      <c r="F270" s="33">
        <v>1.5100002</v>
      </c>
      <c r="G270" s="14" t="s">
        <v>154</v>
      </c>
      <c r="H270" s="33">
        <v>1</v>
      </c>
      <c r="I270" s="33">
        <f>ROUND(H270*1.0, 2)</f>
      </c>
      <c r="J270" s="33">
        <f>ROUND(H270*0.95, 2)</f>
      </c>
      <c r="K270" s="33">
        <f>ROUND(H270*0.95, 2)</f>
      </c>
      <c r="L270" s="33">
        <f>ROUND(H270*1.05, 2)</f>
      </c>
      <c r="M270" s="33">
        <f>ROUND(H270*1.25, 2)</f>
      </c>
      <c r="N270" s="33">
        <f>ROUND(H270*1.55, 2)</f>
      </c>
      <c r="O270" s="33">
        <f>ROUND(H270*1.65, 2)</f>
      </c>
      <c r="P270" s="33">
        <f>SUM(I270:O270)</f>
      </c>
      <c r="Q270" s="33">
        <f>ROUND(H270*1.5, 2)</f>
      </c>
      <c r="R270" s="33">
        <f>ROUND(H270*2.0, 2)</f>
      </c>
      <c r="S270" s="14">
        <f>IF(F270&lt;=R270, "TRIGGER INDENT", "STOCK HEALTHY")</f>
      </c>
      <c r="T270" s="33">
        <f>IF(F270&lt;=R270, ROUND(MAX(H270, (I270+Q270)-F270), 2), 0)</f>
      </c>
    </row>
    <row r="271" ht="20" customHeight="1" spans="1:20" x14ac:dyDescent="0.25">
      <c r="A271" s="12" t="s">
        <v>707</v>
      </c>
      <c r="B271" s="12" t="s">
        <v>708</v>
      </c>
      <c r="C271" s="12" t="s">
        <v>170</v>
      </c>
      <c r="D271" s="12" t="s">
        <v>153</v>
      </c>
      <c r="E271" s="30">
        <v>137</v>
      </c>
      <c r="F271" s="31">
        <v>632</v>
      </c>
      <c r="G271" s="12" t="s">
        <v>139</v>
      </c>
      <c r="H271" s="31">
        <v>50.56</v>
      </c>
      <c r="I271" s="31">
        <f>ROUND(H271*1.0, 2)</f>
      </c>
      <c r="J271" s="31">
        <f>ROUND(H271*0.95, 2)</f>
      </c>
      <c r="K271" s="31">
        <f>ROUND(H271*0.95, 2)</f>
      </c>
      <c r="L271" s="31">
        <f>ROUND(H271*1.05, 2)</f>
      </c>
      <c r="M271" s="31">
        <f>ROUND(H271*1.25, 2)</f>
      </c>
      <c r="N271" s="31">
        <f>ROUND(H271*1.55, 2)</f>
      </c>
      <c r="O271" s="31">
        <f>ROUND(H271*1.65, 2)</f>
      </c>
      <c r="P271" s="31">
        <f>SUM(I271:O271)</f>
      </c>
      <c r="Q271" s="31">
        <f>ROUND(H271*1.5, 2)</f>
      </c>
      <c r="R271" s="31">
        <f>ROUND(H271*2.0, 2)</f>
      </c>
      <c r="S271" s="12">
        <f>IF(F271&lt;=R271, "TRIGGER INDENT", "STOCK HEALTHY")</f>
      </c>
      <c r="T271" s="31">
        <f>IF(F271&lt;=R271, ROUND(MAX(H271, (I271+Q271)-F271), 2), 0)</f>
      </c>
    </row>
    <row r="272" ht="20" customHeight="1" spans="1:20" x14ac:dyDescent="0.25">
      <c r="A272" s="14" t="s">
        <v>709</v>
      </c>
      <c r="B272" s="14" t="s">
        <v>710</v>
      </c>
      <c r="C272" s="14" t="s">
        <v>170</v>
      </c>
      <c r="D272" s="14" t="s">
        <v>153</v>
      </c>
      <c r="E272" s="32">
        <v>355</v>
      </c>
      <c r="F272" s="33">
        <v>22.72</v>
      </c>
      <c r="G272" s="14" t="s">
        <v>177</v>
      </c>
      <c r="H272" s="33">
        <v>4.54</v>
      </c>
      <c r="I272" s="33">
        <f>ROUND(H272*1.0, 2)</f>
      </c>
      <c r="J272" s="33">
        <f>ROUND(H272*0.95, 2)</f>
      </c>
      <c r="K272" s="33">
        <f>ROUND(H272*0.95, 2)</f>
      </c>
      <c r="L272" s="33">
        <f>ROUND(H272*1.05, 2)</f>
      </c>
      <c r="M272" s="33">
        <f>ROUND(H272*1.25, 2)</f>
      </c>
      <c r="N272" s="33">
        <f>ROUND(H272*1.55, 2)</f>
      </c>
      <c r="O272" s="33">
        <f>ROUND(H272*1.65, 2)</f>
      </c>
      <c r="P272" s="33">
        <f>SUM(I272:O272)</f>
      </c>
      <c r="Q272" s="33">
        <f>ROUND(H272*1.5, 2)</f>
      </c>
      <c r="R272" s="33">
        <f>ROUND(H272*2.0, 2)</f>
      </c>
      <c r="S272" s="14">
        <f>IF(F272&lt;=R272, "TRIGGER INDENT", "STOCK HEALTHY")</f>
      </c>
      <c r="T272" s="33">
        <f>IF(F272&lt;=R272, ROUND(MAX(H272, (I272+Q272)-F272), 2), 0)</f>
      </c>
    </row>
    <row r="273" ht="20" customHeight="1" spans="1:20" x14ac:dyDescent="0.25">
      <c r="A273" s="12" t="s">
        <v>711</v>
      </c>
      <c r="B273" s="12" t="s">
        <v>712</v>
      </c>
      <c r="C273" s="12" t="s">
        <v>170</v>
      </c>
      <c r="D273" s="12" t="s">
        <v>153</v>
      </c>
      <c r="E273" s="30">
        <v>77</v>
      </c>
      <c r="F273" s="31">
        <v>25.359997</v>
      </c>
      <c r="G273" s="12" t="s">
        <v>154</v>
      </c>
      <c r="H273" s="31">
        <v>5.07</v>
      </c>
      <c r="I273" s="31">
        <f>ROUND(H273*1.0, 2)</f>
      </c>
      <c r="J273" s="31">
        <f>ROUND(H273*0.95, 2)</f>
      </c>
      <c r="K273" s="31">
        <f>ROUND(H273*0.95, 2)</f>
      </c>
      <c r="L273" s="31">
        <f>ROUND(H273*1.05, 2)</f>
      </c>
      <c r="M273" s="31">
        <f>ROUND(H273*1.25, 2)</f>
      </c>
      <c r="N273" s="31">
        <f>ROUND(H273*1.55, 2)</f>
      </c>
      <c r="O273" s="31">
        <f>ROUND(H273*1.65, 2)</f>
      </c>
      <c r="P273" s="31">
        <f>SUM(I273:O273)</f>
      </c>
      <c r="Q273" s="31">
        <f>ROUND(H273*1.5, 2)</f>
      </c>
      <c r="R273" s="31">
        <f>ROUND(H273*2.0, 2)</f>
      </c>
      <c r="S273" s="12">
        <f>IF(F273&lt;=R273, "TRIGGER INDENT", "STOCK HEALTHY")</f>
      </c>
      <c r="T273" s="31">
        <f>IF(F273&lt;=R273, ROUND(MAX(H273, (I273+Q273)-F273), 2), 0)</f>
      </c>
    </row>
    <row r="274" ht="20" customHeight="1" spans="1:20" x14ac:dyDescent="0.25">
      <c r="A274" s="14" t="s">
        <v>713</v>
      </c>
      <c r="B274" s="14" t="s">
        <v>714</v>
      </c>
      <c r="C274" s="14" t="s">
        <v>176</v>
      </c>
      <c r="D274" s="14" t="s">
        <v>138</v>
      </c>
      <c r="E274" s="32">
        <v>150.52999877929688</v>
      </c>
      <c r="F274" s="33">
        <v>112</v>
      </c>
      <c r="G274" s="14" t="s">
        <v>177</v>
      </c>
      <c r="H274" s="33">
        <v>13.44</v>
      </c>
      <c r="I274" s="33">
        <f>ROUND(H274*1.0, 2)</f>
      </c>
      <c r="J274" s="33">
        <f>ROUND(H274*0.95, 2)</f>
      </c>
      <c r="K274" s="33">
        <f>ROUND(H274*0.95, 2)</f>
      </c>
      <c r="L274" s="33">
        <f>ROUND(H274*1.05, 2)</f>
      </c>
      <c r="M274" s="33">
        <f>ROUND(H274*1.25, 2)</f>
      </c>
      <c r="N274" s="33">
        <f>ROUND(H274*1.55, 2)</f>
      </c>
      <c r="O274" s="33">
        <f>ROUND(H274*1.65, 2)</f>
      </c>
      <c r="P274" s="33">
        <f>SUM(I274:O274)</f>
      </c>
      <c r="Q274" s="33">
        <f>ROUND(H274*1.5, 2)</f>
      </c>
      <c r="R274" s="33">
        <f>ROUND(H274*2.0, 2)</f>
      </c>
      <c r="S274" s="14">
        <f>IF(F274&lt;=R274, "TRIGGER INDENT", "STOCK HEALTHY")</f>
      </c>
      <c r="T274" s="33">
        <f>IF(F274&lt;=R274, ROUND(MAX(H274, (I274+Q274)-F274), 2), 0)</f>
      </c>
    </row>
    <row r="275" ht="20" customHeight="1" spans="1:20" x14ac:dyDescent="0.25">
      <c r="A275" s="12" t="s">
        <v>715</v>
      </c>
      <c r="B275" s="12" t="s">
        <v>716</v>
      </c>
      <c r="C275" s="12" t="s">
        <v>152</v>
      </c>
      <c r="D275" s="12" t="s">
        <v>153</v>
      </c>
      <c r="E275" s="30">
        <v>1252.1700439453125</v>
      </c>
      <c r="F275" s="31">
        <v>10.4</v>
      </c>
      <c r="G275" s="12" t="s">
        <v>149</v>
      </c>
      <c r="H275" s="31">
        <v>2.08</v>
      </c>
      <c r="I275" s="31">
        <f>ROUND(H275*1.0, 2)</f>
      </c>
      <c r="J275" s="31">
        <f>ROUND(H275*0.95, 2)</f>
      </c>
      <c r="K275" s="31">
        <f>ROUND(H275*0.95, 2)</f>
      </c>
      <c r="L275" s="31">
        <f>ROUND(H275*1.05, 2)</f>
      </c>
      <c r="M275" s="31">
        <f>ROUND(H275*1.25, 2)</f>
      </c>
      <c r="N275" s="31">
        <f>ROUND(H275*1.55, 2)</f>
      </c>
      <c r="O275" s="31">
        <f>ROUND(H275*1.65, 2)</f>
      </c>
      <c r="P275" s="31">
        <f>SUM(I275:O275)</f>
      </c>
      <c r="Q275" s="31">
        <f>ROUND(H275*1.5, 2)</f>
      </c>
      <c r="R275" s="31">
        <f>ROUND(H275*2.0, 2)</f>
      </c>
      <c r="S275" s="12">
        <f>IF(F275&lt;=R275, "TRIGGER INDENT", "STOCK HEALTHY")</f>
      </c>
      <c r="T275" s="31">
        <f>IF(F275&lt;=R275, ROUND(MAX(H275, (I275+Q275)-F275), 2), 0)</f>
      </c>
    </row>
    <row r="276" ht="20" customHeight="1" spans="1:20" x14ac:dyDescent="0.25">
      <c r="A276" s="14" t="s">
        <v>717</v>
      </c>
      <c r="B276" s="14" t="s">
        <v>718</v>
      </c>
      <c r="C276" s="14" t="s">
        <v>170</v>
      </c>
      <c r="D276" s="14" t="s">
        <v>198</v>
      </c>
      <c r="E276" s="32">
        <v>12.180000305175781</v>
      </c>
      <c r="F276" s="33">
        <v>1136</v>
      </c>
      <c r="G276" s="14" t="s">
        <v>142</v>
      </c>
      <c r="H276" s="33">
        <v>56.8</v>
      </c>
      <c r="I276" s="33">
        <f>ROUND(H276*1.0, 2)</f>
      </c>
      <c r="J276" s="33">
        <f>ROUND(H276*0.95, 2)</f>
      </c>
      <c r="K276" s="33">
        <f>ROUND(H276*0.95, 2)</f>
      </c>
      <c r="L276" s="33">
        <f>ROUND(H276*1.05, 2)</f>
      </c>
      <c r="M276" s="33">
        <f>ROUND(H276*1.25, 2)</f>
      </c>
      <c r="N276" s="33">
        <f>ROUND(H276*1.55, 2)</f>
      </c>
      <c r="O276" s="33">
        <f>ROUND(H276*1.65, 2)</f>
      </c>
      <c r="P276" s="33">
        <f>SUM(I276:O276)</f>
      </c>
      <c r="Q276" s="33">
        <f>ROUND(H276*1.5, 2)</f>
      </c>
      <c r="R276" s="33">
        <f>ROUND(H276*2.0, 2)</f>
      </c>
      <c r="S276" s="14">
        <f>IF(F276&lt;=R276, "TRIGGER INDENT", "STOCK HEALTHY")</f>
      </c>
      <c r="T276" s="33">
        <f>IF(F276&lt;=R276, ROUND(MAX(H276, (I276+Q276)-F276), 2), 0)</f>
      </c>
    </row>
    <row r="277" ht="20" customHeight="1" spans="1:20" x14ac:dyDescent="0.25">
      <c r="A277" s="12" t="s">
        <v>719</v>
      </c>
      <c r="B277" s="12" t="s">
        <v>720</v>
      </c>
      <c r="C277" s="12" t="s">
        <v>137</v>
      </c>
      <c r="D277" s="12" t="s">
        <v>138</v>
      </c>
      <c r="E277" s="30">
        <v>3.5999999046325684</v>
      </c>
      <c r="F277" s="31">
        <v>1.5100002</v>
      </c>
      <c r="G277" s="12" t="s">
        <v>177</v>
      </c>
      <c r="H277" s="31">
        <v>1</v>
      </c>
      <c r="I277" s="31">
        <f>ROUND(H277*1.0, 2)</f>
      </c>
      <c r="J277" s="31">
        <f>ROUND(H277*0.95, 2)</f>
      </c>
      <c r="K277" s="31">
        <f>ROUND(H277*0.95, 2)</f>
      </c>
      <c r="L277" s="31">
        <f>ROUND(H277*1.05, 2)</f>
      </c>
      <c r="M277" s="31">
        <f>ROUND(H277*1.25, 2)</f>
      </c>
      <c r="N277" s="31">
        <f>ROUND(H277*1.55, 2)</f>
      </c>
      <c r="O277" s="31">
        <f>ROUND(H277*1.65, 2)</f>
      </c>
      <c r="P277" s="31">
        <f>SUM(I277:O277)</f>
      </c>
      <c r="Q277" s="31">
        <f>ROUND(H277*1.5, 2)</f>
      </c>
      <c r="R277" s="31">
        <f>ROUND(H277*2.0, 2)</f>
      </c>
      <c r="S277" s="12">
        <f>IF(F277&lt;=R277, "TRIGGER INDENT", "STOCK HEALTHY")</f>
      </c>
      <c r="T277" s="31">
        <f>IF(F277&lt;=R277, ROUND(MAX(H277, (I277+Q277)-F277), 2), 0)</f>
      </c>
    </row>
    <row r="278" ht="20" customHeight="1" spans="1:20" x14ac:dyDescent="0.25">
      <c r="A278" s="14" t="s">
        <v>721</v>
      </c>
      <c r="B278" s="14" t="s">
        <v>722</v>
      </c>
      <c r="C278" s="14" t="s">
        <v>240</v>
      </c>
      <c r="D278" s="14" t="s">
        <v>198</v>
      </c>
      <c r="E278" s="32">
        <v>120</v>
      </c>
      <c r="F278" s="33">
        <v>32</v>
      </c>
      <c r="G278" s="14" t="s">
        <v>177</v>
      </c>
      <c r="H278" s="33">
        <v>6.4</v>
      </c>
      <c r="I278" s="33">
        <f>ROUND(H278*1.0, 2)</f>
      </c>
      <c r="J278" s="33">
        <f>ROUND(H278*0.95, 2)</f>
      </c>
      <c r="K278" s="33">
        <f>ROUND(H278*0.95, 2)</f>
      </c>
      <c r="L278" s="33">
        <f>ROUND(H278*1.05, 2)</f>
      </c>
      <c r="M278" s="33">
        <f>ROUND(H278*1.25, 2)</f>
      </c>
      <c r="N278" s="33">
        <f>ROUND(H278*1.55, 2)</f>
      </c>
      <c r="O278" s="33">
        <f>ROUND(H278*1.65, 2)</f>
      </c>
      <c r="P278" s="33">
        <f>SUM(I278:O278)</f>
      </c>
      <c r="Q278" s="33">
        <f>ROUND(H278*1.5, 2)</f>
      </c>
      <c r="R278" s="33">
        <f>ROUND(H278*2.0, 2)</f>
      </c>
      <c r="S278" s="14">
        <f>IF(F278&lt;=R278, "TRIGGER INDENT", "STOCK HEALTHY")</f>
      </c>
      <c r="T278" s="33">
        <f>IF(F278&lt;=R278, ROUND(MAX(H278, (I278+Q278)-F278), 2), 0)</f>
      </c>
    </row>
    <row r="279" ht="20" customHeight="1" spans="1:20" x14ac:dyDescent="0.25">
      <c r="A279" s="12" t="s">
        <v>723</v>
      </c>
      <c r="B279" s="12" t="s">
        <v>724</v>
      </c>
      <c r="C279" s="12" t="s">
        <v>436</v>
      </c>
      <c r="D279" s="12" t="s">
        <v>198</v>
      </c>
      <c r="E279" s="30">
        <v>141.52999877929688</v>
      </c>
      <c r="F279" s="31">
        <v>176</v>
      </c>
      <c r="G279" s="12" t="s">
        <v>190</v>
      </c>
      <c r="H279" s="31">
        <v>21.12</v>
      </c>
      <c r="I279" s="31">
        <f>ROUND(H279*1.0, 2)</f>
      </c>
      <c r="J279" s="31">
        <f>ROUND(H279*0.95, 2)</f>
      </c>
      <c r="K279" s="31">
        <f>ROUND(H279*0.95, 2)</f>
      </c>
      <c r="L279" s="31">
        <f>ROUND(H279*1.05, 2)</f>
      </c>
      <c r="M279" s="31">
        <f>ROUND(H279*1.25, 2)</f>
      </c>
      <c r="N279" s="31">
        <f>ROUND(H279*1.55, 2)</f>
      </c>
      <c r="O279" s="31">
        <f>ROUND(H279*1.65, 2)</f>
      </c>
      <c r="P279" s="31">
        <f>SUM(I279:O279)</f>
      </c>
      <c r="Q279" s="31">
        <f>ROUND(H279*1.5, 2)</f>
      </c>
      <c r="R279" s="31">
        <f>ROUND(H279*2.0, 2)</f>
      </c>
      <c r="S279" s="12">
        <f>IF(F279&lt;=R279, "TRIGGER INDENT", "STOCK HEALTHY")</f>
      </c>
      <c r="T279" s="31">
        <f>IF(F279&lt;=R279, ROUND(MAX(H279, (I279+Q279)-F279), 2), 0)</f>
      </c>
    </row>
    <row r="280" ht="20" customHeight="1" spans="1:20" x14ac:dyDescent="0.25">
      <c r="A280" s="14" t="s">
        <v>725</v>
      </c>
      <c r="B280" s="14" t="s">
        <v>726</v>
      </c>
      <c r="C280" s="14" t="s">
        <v>436</v>
      </c>
      <c r="D280" s="14" t="s">
        <v>148</v>
      </c>
      <c r="E280" s="32">
        <v>140.69000244140625</v>
      </c>
      <c r="F280" s="33">
        <v>32</v>
      </c>
      <c r="G280" s="14" t="s">
        <v>190</v>
      </c>
      <c r="H280" s="33">
        <v>6.4</v>
      </c>
      <c r="I280" s="33">
        <f>ROUND(H280*1.0, 2)</f>
      </c>
      <c r="J280" s="33">
        <f>ROUND(H280*0.95, 2)</f>
      </c>
      <c r="K280" s="33">
        <f>ROUND(H280*0.95, 2)</f>
      </c>
      <c r="L280" s="33">
        <f>ROUND(H280*1.05, 2)</f>
      </c>
      <c r="M280" s="33">
        <f>ROUND(H280*1.25, 2)</f>
      </c>
      <c r="N280" s="33">
        <f>ROUND(H280*1.55, 2)</f>
      </c>
      <c r="O280" s="33">
        <f>ROUND(H280*1.65, 2)</f>
      </c>
      <c r="P280" s="33">
        <f>SUM(I280:O280)</f>
      </c>
      <c r="Q280" s="33">
        <f>ROUND(H280*1.5, 2)</f>
      </c>
      <c r="R280" s="33">
        <f>ROUND(H280*2.0, 2)</f>
      </c>
      <c r="S280" s="14">
        <f>IF(F280&lt;=R280, "TRIGGER INDENT", "STOCK HEALTHY")</f>
      </c>
      <c r="T280" s="33">
        <f>IF(F280&lt;=R280, ROUND(MAX(H280, (I280+Q280)-F280), 2), 0)</f>
      </c>
    </row>
    <row r="281" ht="20" customHeight="1" spans="1:20" x14ac:dyDescent="0.25">
      <c r="A281" s="12" t="s">
        <v>727</v>
      </c>
      <c r="B281" s="12" t="s">
        <v>728</v>
      </c>
      <c r="C281" s="12" t="s">
        <v>137</v>
      </c>
      <c r="D281" s="12" t="s">
        <v>138</v>
      </c>
      <c r="E281" s="30">
        <v>15</v>
      </c>
      <c r="F281" s="31">
        <v>640</v>
      </c>
      <c r="G281" s="12" t="s">
        <v>154</v>
      </c>
      <c r="H281" s="31">
        <v>51.2</v>
      </c>
      <c r="I281" s="31">
        <f>ROUND(H281*1.0, 2)</f>
      </c>
      <c r="J281" s="31">
        <f>ROUND(H281*0.95, 2)</f>
      </c>
      <c r="K281" s="31">
        <f>ROUND(H281*0.95, 2)</f>
      </c>
      <c r="L281" s="31">
        <f>ROUND(H281*1.05, 2)</f>
      </c>
      <c r="M281" s="31">
        <f>ROUND(H281*1.25, 2)</f>
      </c>
      <c r="N281" s="31">
        <f>ROUND(H281*1.55, 2)</f>
      </c>
      <c r="O281" s="31">
        <f>ROUND(H281*1.65, 2)</f>
      </c>
      <c r="P281" s="31">
        <f>SUM(I281:O281)</f>
      </c>
      <c r="Q281" s="31">
        <f>ROUND(H281*1.5, 2)</f>
      </c>
      <c r="R281" s="31">
        <f>ROUND(H281*2.0, 2)</f>
      </c>
      <c r="S281" s="12">
        <f>IF(F281&lt;=R281, "TRIGGER INDENT", "STOCK HEALTHY")</f>
      </c>
      <c r="T281" s="31">
        <f>IF(F281&lt;=R281, ROUND(MAX(H281, (I281+Q281)-F281), 2), 0)</f>
      </c>
    </row>
    <row r="282" ht="20" customHeight="1" spans="1:20" x14ac:dyDescent="0.25">
      <c r="A282" s="14" t="s">
        <v>729</v>
      </c>
      <c r="B282" s="14" t="s">
        <v>730</v>
      </c>
      <c r="C282" s="14" t="s">
        <v>137</v>
      </c>
      <c r="D282" s="14" t="s">
        <v>138</v>
      </c>
      <c r="E282" s="32">
        <v>13.329999923706055</v>
      </c>
      <c r="F282" s="33">
        <v>528</v>
      </c>
      <c r="G282" s="14" t="s">
        <v>154</v>
      </c>
      <c r="H282" s="33">
        <v>42.24</v>
      </c>
      <c r="I282" s="33">
        <f>ROUND(H282*1.0, 2)</f>
      </c>
      <c r="J282" s="33">
        <f>ROUND(H282*0.95, 2)</f>
      </c>
      <c r="K282" s="33">
        <f>ROUND(H282*0.95, 2)</f>
      </c>
      <c r="L282" s="33">
        <f>ROUND(H282*1.05, 2)</f>
      </c>
      <c r="M282" s="33">
        <f>ROUND(H282*1.25, 2)</f>
      </c>
      <c r="N282" s="33">
        <f>ROUND(H282*1.55, 2)</f>
      </c>
      <c r="O282" s="33">
        <f>ROUND(H282*1.65, 2)</f>
      </c>
      <c r="P282" s="33">
        <f>SUM(I282:O282)</f>
      </c>
      <c r="Q282" s="33">
        <f>ROUND(H282*1.5, 2)</f>
      </c>
      <c r="R282" s="33">
        <f>ROUND(H282*2.0, 2)</f>
      </c>
      <c r="S282" s="14">
        <f>IF(F282&lt;=R282, "TRIGGER INDENT", "STOCK HEALTHY")</f>
      </c>
      <c r="T282" s="33">
        <f>IF(F282&lt;=R282, ROUND(MAX(H282, (I282+Q282)-F282), 2), 0)</f>
      </c>
    </row>
    <row r="283" ht="20" customHeight="1" spans="1:20" x14ac:dyDescent="0.25">
      <c r="A283" s="12" t="s">
        <v>731</v>
      </c>
      <c r="B283" s="12" t="s">
        <v>732</v>
      </c>
      <c r="C283" s="12" t="s">
        <v>137</v>
      </c>
      <c r="D283" s="12" t="s">
        <v>138</v>
      </c>
      <c r="E283" s="30">
        <v>18</v>
      </c>
      <c r="F283" s="31">
        <v>896</v>
      </c>
      <c r="G283" s="12" t="s">
        <v>154</v>
      </c>
      <c r="H283" s="31">
        <v>71.68</v>
      </c>
      <c r="I283" s="31">
        <f>ROUND(H283*1.0, 2)</f>
      </c>
      <c r="J283" s="31">
        <f>ROUND(H283*0.95, 2)</f>
      </c>
      <c r="K283" s="31">
        <f>ROUND(H283*0.95, 2)</f>
      </c>
      <c r="L283" s="31">
        <f>ROUND(H283*1.05, 2)</f>
      </c>
      <c r="M283" s="31">
        <f>ROUND(H283*1.25, 2)</f>
      </c>
      <c r="N283" s="31">
        <f>ROUND(H283*1.55, 2)</f>
      </c>
      <c r="O283" s="31">
        <f>ROUND(H283*1.65, 2)</f>
      </c>
      <c r="P283" s="31">
        <f>SUM(I283:O283)</f>
      </c>
      <c r="Q283" s="31">
        <f>ROUND(H283*1.5, 2)</f>
      </c>
      <c r="R283" s="31">
        <f>ROUND(H283*2.0, 2)</f>
      </c>
      <c r="S283" s="12">
        <f>IF(F283&lt;=R283, "TRIGGER INDENT", "STOCK HEALTHY")</f>
      </c>
      <c r="T283" s="31">
        <f>IF(F283&lt;=R283, ROUND(MAX(H283, (I283+Q283)-F283), 2), 0)</f>
      </c>
    </row>
    <row r="284" ht="20" customHeight="1" spans="1:20" x14ac:dyDescent="0.25">
      <c r="A284" s="14" t="s">
        <v>733</v>
      </c>
      <c r="B284" s="14" t="s">
        <v>734</v>
      </c>
      <c r="C284" s="14" t="s">
        <v>170</v>
      </c>
      <c r="D284" s="14" t="s">
        <v>198</v>
      </c>
      <c r="E284" s="32">
        <v>90</v>
      </c>
      <c r="F284" s="33">
        <v>448</v>
      </c>
      <c r="G284" s="14" t="s">
        <v>177</v>
      </c>
      <c r="H284" s="33">
        <v>35.84</v>
      </c>
      <c r="I284" s="33">
        <f>ROUND(H284*1.0, 2)</f>
      </c>
      <c r="J284" s="33">
        <f>ROUND(H284*0.95, 2)</f>
      </c>
      <c r="K284" s="33">
        <f>ROUND(H284*0.95, 2)</f>
      </c>
      <c r="L284" s="33">
        <f>ROUND(H284*1.05, 2)</f>
      </c>
      <c r="M284" s="33">
        <f>ROUND(H284*1.25, 2)</f>
      </c>
      <c r="N284" s="33">
        <f>ROUND(H284*1.55, 2)</f>
      </c>
      <c r="O284" s="33">
        <f>ROUND(H284*1.65, 2)</f>
      </c>
      <c r="P284" s="33">
        <f>SUM(I284:O284)</f>
      </c>
      <c r="Q284" s="33">
        <f>ROUND(H284*1.5, 2)</f>
      </c>
      <c r="R284" s="33">
        <f>ROUND(H284*2.0, 2)</f>
      </c>
      <c r="S284" s="14">
        <f>IF(F284&lt;=R284, "TRIGGER INDENT", "STOCK HEALTHY")</f>
      </c>
      <c r="T284" s="33">
        <f>IF(F284&lt;=R284, ROUND(MAX(H284, (I284+Q284)-F284), 2), 0)</f>
      </c>
    </row>
    <row r="285" ht="20" customHeight="1" spans="1:20" x14ac:dyDescent="0.25">
      <c r="A285" s="12" t="s">
        <v>735</v>
      </c>
      <c r="B285" s="12" t="s">
        <v>736</v>
      </c>
      <c r="C285" s="12" t="s">
        <v>170</v>
      </c>
      <c r="D285" s="12" t="s">
        <v>138</v>
      </c>
      <c r="E285" s="30">
        <v>0.7699999809265137</v>
      </c>
      <c r="F285" s="31">
        <v>17920</v>
      </c>
      <c r="G285" s="12" t="s">
        <v>186</v>
      </c>
      <c r="H285" s="31">
        <v>896</v>
      </c>
      <c r="I285" s="31">
        <f>ROUND(H285*1.0, 2)</f>
      </c>
      <c r="J285" s="31">
        <f>ROUND(H285*0.95, 2)</f>
      </c>
      <c r="K285" s="31">
        <f>ROUND(H285*0.95, 2)</f>
      </c>
      <c r="L285" s="31">
        <f>ROUND(H285*1.05, 2)</f>
      </c>
      <c r="M285" s="31">
        <f>ROUND(H285*1.25, 2)</f>
      </c>
      <c r="N285" s="31">
        <f>ROUND(H285*1.55, 2)</f>
      </c>
      <c r="O285" s="31">
        <f>ROUND(H285*1.65, 2)</f>
      </c>
      <c r="P285" s="31">
        <f>SUM(I285:O285)</f>
      </c>
      <c r="Q285" s="31">
        <f>ROUND(H285*1.5, 2)</f>
      </c>
      <c r="R285" s="31">
        <f>ROUND(H285*2.0, 2)</f>
      </c>
      <c r="S285" s="12">
        <f>IF(F285&lt;=R285, "TRIGGER INDENT", "STOCK HEALTHY")</f>
      </c>
      <c r="T285" s="31">
        <f>IF(F285&lt;=R285, ROUND(MAX(H285, (I285+Q285)-F285), 2), 0)</f>
      </c>
    </row>
    <row r="286" ht="20" customHeight="1" spans="1:20" x14ac:dyDescent="0.25">
      <c r="A286" s="14" t="s">
        <v>737</v>
      </c>
      <c r="B286" s="14" t="s">
        <v>738</v>
      </c>
      <c r="C286" s="14" t="s">
        <v>170</v>
      </c>
      <c r="D286" s="14" t="s">
        <v>138</v>
      </c>
      <c r="E286" s="32">
        <v>5.5</v>
      </c>
      <c r="F286" s="33">
        <v>30304</v>
      </c>
      <c r="G286" s="14" t="s">
        <v>186</v>
      </c>
      <c r="H286" s="33">
        <v>1515.2</v>
      </c>
      <c r="I286" s="33">
        <f>ROUND(H286*1.0, 2)</f>
      </c>
      <c r="J286" s="33">
        <f>ROUND(H286*0.95, 2)</f>
      </c>
      <c r="K286" s="33">
        <f>ROUND(H286*0.95, 2)</f>
      </c>
      <c r="L286" s="33">
        <f>ROUND(H286*1.05, 2)</f>
      </c>
      <c r="M286" s="33">
        <f>ROUND(H286*1.25, 2)</f>
      </c>
      <c r="N286" s="33">
        <f>ROUND(H286*1.55, 2)</f>
      </c>
      <c r="O286" s="33">
        <f>ROUND(H286*1.65, 2)</f>
      </c>
      <c r="P286" s="33">
        <f>SUM(I286:O286)</f>
      </c>
      <c r="Q286" s="33">
        <f>ROUND(H286*1.5, 2)</f>
      </c>
      <c r="R286" s="33">
        <f>ROUND(H286*2.0, 2)</f>
      </c>
      <c r="S286" s="14">
        <f>IF(F286&lt;=R286, "TRIGGER INDENT", "STOCK HEALTHY")</f>
      </c>
      <c r="T286" s="33">
        <f>IF(F286&lt;=R286, ROUND(MAX(H286, (I286+Q286)-F286), 2), 0)</f>
      </c>
    </row>
    <row r="287" ht="20" customHeight="1" spans="1:20" x14ac:dyDescent="0.25">
      <c r="A287" s="12" t="s">
        <v>739</v>
      </c>
      <c r="B287" s="12" t="s">
        <v>740</v>
      </c>
      <c r="C287" s="12" t="s">
        <v>170</v>
      </c>
      <c r="D287" s="12" t="s">
        <v>138</v>
      </c>
      <c r="E287" s="30">
        <v>5.5</v>
      </c>
      <c r="F287" s="31">
        <v>29600</v>
      </c>
      <c r="G287" s="12" t="s">
        <v>186</v>
      </c>
      <c r="H287" s="31">
        <v>1480</v>
      </c>
      <c r="I287" s="31">
        <f>ROUND(H287*1.0, 2)</f>
      </c>
      <c r="J287" s="31">
        <f>ROUND(H287*0.95, 2)</f>
      </c>
      <c r="K287" s="31">
        <f>ROUND(H287*0.95, 2)</f>
      </c>
      <c r="L287" s="31">
        <f>ROUND(H287*1.05, 2)</f>
      </c>
      <c r="M287" s="31">
        <f>ROUND(H287*1.25, 2)</f>
      </c>
      <c r="N287" s="31">
        <f>ROUND(H287*1.55, 2)</f>
      </c>
      <c r="O287" s="31">
        <f>ROUND(H287*1.65, 2)</f>
      </c>
      <c r="P287" s="31">
        <f>SUM(I287:O287)</f>
      </c>
      <c r="Q287" s="31">
        <f>ROUND(H287*1.5, 2)</f>
      </c>
      <c r="R287" s="31">
        <f>ROUND(H287*2.0, 2)</f>
      </c>
      <c r="S287" s="12">
        <f>IF(F287&lt;=R287, "TRIGGER INDENT", "STOCK HEALTHY")</f>
      </c>
      <c r="T287" s="31">
        <f>IF(F287&lt;=R287, ROUND(MAX(H287, (I287+Q287)-F287), 2), 0)</f>
      </c>
    </row>
    <row r="288" ht="20" customHeight="1" spans="1:20" x14ac:dyDescent="0.25">
      <c r="A288" s="14" t="s">
        <v>741</v>
      </c>
      <c r="B288" s="14" t="s">
        <v>742</v>
      </c>
      <c r="C288" s="14" t="s">
        <v>137</v>
      </c>
      <c r="D288" s="14" t="s">
        <v>138</v>
      </c>
      <c r="E288" s="32">
        <v>4.039999961853027</v>
      </c>
      <c r="F288" s="33">
        <v>4000</v>
      </c>
      <c r="G288" s="14" t="s">
        <v>177</v>
      </c>
      <c r="H288" s="33">
        <v>200</v>
      </c>
      <c r="I288" s="33">
        <f>ROUND(H288*1.0, 2)</f>
      </c>
      <c r="J288" s="33">
        <f>ROUND(H288*0.95, 2)</f>
      </c>
      <c r="K288" s="33">
        <f>ROUND(H288*0.95, 2)</f>
      </c>
      <c r="L288" s="33">
        <f>ROUND(H288*1.05, 2)</f>
      </c>
      <c r="M288" s="33">
        <f>ROUND(H288*1.25, 2)</f>
      </c>
      <c r="N288" s="33">
        <f>ROUND(H288*1.55, 2)</f>
      </c>
      <c r="O288" s="33">
        <f>ROUND(H288*1.65, 2)</f>
      </c>
      <c r="P288" s="33">
        <f>SUM(I288:O288)</f>
      </c>
      <c r="Q288" s="33">
        <f>ROUND(H288*1.5, 2)</f>
      </c>
      <c r="R288" s="33">
        <f>ROUND(H288*2.0, 2)</f>
      </c>
      <c r="S288" s="14">
        <f>IF(F288&lt;=R288, "TRIGGER INDENT", "STOCK HEALTHY")</f>
      </c>
      <c r="T288" s="33">
        <f>IF(F288&lt;=R288, ROUND(MAX(H288, (I288+Q288)-F288), 2), 0)</f>
      </c>
    </row>
    <row r="289" ht="20" customHeight="1" spans="1:20" x14ac:dyDescent="0.25">
      <c r="A289" s="12" t="s">
        <v>743</v>
      </c>
      <c r="B289" s="12" t="s">
        <v>744</v>
      </c>
      <c r="C289" s="12" t="s">
        <v>137</v>
      </c>
      <c r="D289" s="12" t="s">
        <v>138</v>
      </c>
      <c r="E289" s="30">
        <v>350</v>
      </c>
      <c r="F289" s="31">
        <v>16</v>
      </c>
      <c r="G289" s="12" t="s">
        <v>177</v>
      </c>
      <c r="H289" s="31">
        <v>3.2</v>
      </c>
      <c r="I289" s="31">
        <f>ROUND(H289*1.0, 2)</f>
      </c>
      <c r="J289" s="31">
        <f>ROUND(H289*0.95, 2)</f>
      </c>
      <c r="K289" s="31">
        <f>ROUND(H289*0.95, 2)</f>
      </c>
      <c r="L289" s="31">
        <f>ROUND(H289*1.05, 2)</f>
      </c>
      <c r="M289" s="31">
        <f>ROUND(H289*1.25, 2)</f>
      </c>
      <c r="N289" s="31">
        <f>ROUND(H289*1.55, 2)</f>
      </c>
      <c r="O289" s="31">
        <f>ROUND(H289*1.65, 2)</f>
      </c>
      <c r="P289" s="31">
        <f>SUM(I289:O289)</f>
      </c>
      <c r="Q289" s="31">
        <f>ROUND(H289*1.5, 2)</f>
      </c>
      <c r="R289" s="31">
        <f>ROUND(H289*2.0, 2)</f>
      </c>
      <c r="S289" s="12">
        <f>IF(F289&lt;=R289, "TRIGGER INDENT", "STOCK HEALTHY")</f>
      </c>
      <c r="T289" s="31">
        <f>IF(F289&lt;=R289, ROUND(MAX(H289, (I289+Q289)-F289), 2), 0)</f>
      </c>
    </row>
    <row r="290" ht="20" customHeight="1" spans="1:20" x14ac:dyDescent="0.25">
      <c r="A290" s="14" t="s">
        <v>745</v>
      </c>
      <c r="B290" s="14" t="s">
        <v>746</v>
      </c>
      <c r="C290" s="14" t="s">
        <v>137</v>
      </c>
      <c r="D290" s="14" t="s">
        <v>138</v>
      </c>
      <c r="E290" s="32">
        <v>45</v>
      </c>
      <c r="F290" s="33">
        <v>656</v>
      </c>
      <c r="G290" s="14" t="s">
        <v>154</v>
      </c>
      <c r="H290" s="33">
        <v>52.48</v>
      </c>
      <c r="I290" s="33">
        <f>ROUND(H290*1.0, 2)</f>
      </c>
      <c r="J290" s="33">
        <f>ROUND(H290*0.95, 2)</f>
      </c>
      <c r="K290" s="33">
        <f>ROUND(H290*0.95, 2)</f>
      </c>
      <c r="L290" s="33">
        <f>ROUND(H290*1.05, 2)</f>
      </c>
      <c r="M290" s="33">
        <f>ROUND(H290*1.25, 2)</f>
      </c>
      <c r="N290" s="33">
        <f>ROUND(H290*1.55, 2)</f>
      </c>
      <c r="O290" s="33">
        <f>ROUND(H290*1.65, 2)</f>
      </c>
      <c r="P290" s="33">
        <f>SUM(I290:O290)</f>
      </c>
      <c r="Q290" s="33">
        <f>ROUND(H290*1.5, 2)</f>
      </c>
      <c r="R290" s="33">
        <f>ROUND(H290*2.0, 2)</f>
      </c>
      <c r="S290" s="14">
        <f>IF(F290&lt;=R290, "TRIGGER INDENT", "STOCK HEALTHY")</f>
      </c>
      <c r="T290" s="33">
        <f>IF(F290&lt;=R290, ROUND(MAX(H290, (I290+Q290)-F290), 2), 0)</f>
      </c>
    </row>
    <row r="291" ht="20" customHeight="1" spans="1:20" x14ac:dyDescent="0.25">
      <c r="A291" s="12" t="s">
        <v>747</v>
      </c>
      <c r="B291" s="12" t="s">
        <v>748</v>
      </c>
      <c r="C291" s="12" t="s">
        <v>137</v>
      </c>
      <c r="D291" s="12" t="s">
        <v>138</v>
      </c>
      <c r="E291" s="30">
        <v>50</v>
      </c>
      <c r="F291" s="31">
        <v>272</v>
      </c>
      <c r="G291" s="12" t="s">
        <v>139</v>
      </c>
      <c r="H291" s="31">
        <v>21.76</v>
      </c>
      <c r="I291" s="31">
        <f>ROUND(H291*1.0, 2)</f>
      </c>
      <c r="J291" s="31">
        <f>ROUND(H291*0.95, 2)</f>
      </c>
      <c r="K291" s="31">
        <f>ROUND(H291*0.95, 2)</f>
      </c>
      <c r="L291" s="31">
        <f>ROUND(H291*1.05, 2)</f>
      </c>
      <c r="M291" s="31">
        <f>ROUND(H291*1.25, 2)</f>
      </c>
      <c r="N291" s="31">
        <f>ROUND(H291*1.55, 2)</f>
      </c>
      <c r="O291" s="31">
        <f>ROUND(H291*1.65, 2)</f>
      </c>
      <c r="P291" s="31">
        <f>SUM(I291:O291)</f>
      </c>
      <c r="Q291" s="31">
        <f>ROUND(H291*1.5, 2)</f>
      </c>
      <c r="R291" s="31">
        <f>ROUND(H291*2.0, 2)</f>
      </c>
      <c r="S291" s="12">
        <f>IF(F291&lt;=R291, "TRIGGER INDENT", "STOCK HEALTHY")</f>
      </c>
      <c r="T291" s="31">
        <f>IF(F291&lt;=R291, ROUND(MAX(H291, (I291+Q291)-F291), 2), 0)</f>
      </c>
    </row>
    <row r="292" ht="20" customHeight="1" spans="1:20" x14ac:dyDescent="0.25">
      <c r="A292" s="14" t="s">
        <v>749</v>
      </c>
      <c r="B292" s="14" t="s">
        <v>750</v>
      </c>
      <c r="C292" s="14" t="s">
        <v>137</v>
      </c>
      <c r="D292" s="14" t="s">
        <v>138</v>
      </c>
      <c r="E292" s="32">
        <v>65</v>
      </c>
      <c r="F292" s="33">
        <v>416</v>
      </c>
      <c r="G292" s="14" t="s">
        <v>139</v>
      </c>
      <c r="H292" s="33">
        <v>33.28</v>
      </c>
      <c r="I292" s="33">
        <f>ROUND(H292*1.0, 2)</f>
      </c>
      <c r="J292" s="33">
        <f>ROUND(H292*0.95, 2)</f>
      </c>
      <c r="K292" s="33">
        <f>ROUND(H292*0.95, 2)</f>
      </c>
      <c r="L292" s="33">
        <f>ROUND(H292*1.05, 2)</f>
      </c>
      <c r="M292" s="33">
        <f>ROUND(H292*1.25, 2)</f>
      </c>
      <c r="N292" s="33">
        <f>ROUND(H292*1.55, 2)</f>
      </c>
      <c r="O292" s="33">
        <f>ROUND(H292*1.65, 2)</f>
      </c>
      <c r="P292" s="33">
        <f>SUM(I292:O292)</f>
      </c>
      <c r="Q292" s="33">
        <f>ROUND(H292*1.5, 2)</f>
      </c>
      <c r="R292" s="33">
        <f>ROUND(H292*2.0, 2)</f>
      </c>
      <c r="S292" s="14">
        <f>IF(F292&lt;=R292, "TRIGGER INDENT", "STOCK HEALTHY")</f>
      </c>
      <c r="T292" s="33">
        <f>IF(F292&lt;=R292, ROUND(MAX(H292, (I292+Q292)-F292), 2), 0)</f>
      </c>
    </row>
    <row r="293" ht="20" customHeight="1" spans="1:20" x14ac:dyDescent="0.25">
      <c r="A293" s="12" t="s">
        <v>751</v>
      </c>
      <c r="B293" s="12" t="s">
        <v>752</v>
      </c>
      <c r="C293" s="12" t="s">
        <v>137</v>
      </c>
      <c r="D293" s="12" t="s">
        <v>138</v>
      </c>
      <c r="E293" s="30">
        <v>90</v>
      </c>
      <c r="F293" s="31">
        <v>208</v>
      </c>
      <c r="G293" s="12" t="s">
        <v>142</v>
      </c>
      <c r="H293" s="31">
        <v>16.64</v>
      </c>
      <c r="I293" s="31">
        <f>ROUND(H293*1.0, 2)</f>
      </c>
      <c r="J293" s="31">
        <f>ROUND(H293*0.95, 2)</f>
      </c>
      <c r="K293" s="31">
        <f>ROUND(H293*0.95, 2)</f>
      </c>
      <c r="L293" s="31">
        <f>ROUND(H293*1.05, 2)</f>
      </c>
      <c r="M293" s="31">
        <f>ROUND(H293*1.25, 2)</f>
      </c>
      <c r="N293" s="31">
        <f>ROUND(H293*1.55, 2)</f>
      </c>
      <c r="O293" s="31">
        <f>ROUND(H293*1.65, 2)</f>
      </c>
      <c r="P293" s="31">
        <f>SUM(I293:O293)</f>
      </c>
      <c r="Q293" s="31">
        <f>ROUND(H293*1.5, 2)</f>
      </c>
      <c r="R293" s="31">
        <f>ROUND(H293*2.0, 2)</f>
      </c>
      <c r="S293" s="12">
        <f>IF(F293&lt;=R293, "TRIGGER INDENT", "STOCK HEALTHY")</f>
      </c>
      <c r="T293" s="31">
        <f>IF(F293&lt;=R293, ROUND(MAX(H293, (I293+Q293)-F293), 2), 0)</f>
      </c>
    </row>
    <row r="294" ht="20" customHeight="1" spans="1:20" x14ac:dyDescent="0.25">
      <c r="A294" s="14" t="s">
        <v>753</v>
      </c>
      <c r="B294" s="14" t="s">
        <v>754</v>
      </c>
      <c r="C294" s="14" t="s">
        <v>137</v>
      </c>
      <c r="D294" s="14" t="s">
        <v>138</v>
      </c>
      <c r="E294" s="32">
        <v>120</v>
      </c>
      <c r="F294" s="33">
        <v>192</v>
      </c>
      <c r="G294" s="14" t="s">
        <v>154</v>
      </c>
      <c r="H294" s="33">
        <v>23.04</v>
      </c>
      <c r="I294" s="33">
        <f>ROUND(H294*1.0, 2)</f>
      </c>
      <c r="J294" s="33">
        <f>ROUND(H294*0.95, 2)</f>
      </c>
      <c r="K294" s="33">
        <f>ROUND(H294*0.95, 2)</f>
      </c>
      <c r="L294" s="33">
        <f>ROUND(H294*1.05, 2)</f>
      </c>
      <c r="M294" s="33">
        <f>ROUND(H294*1.25, 2)</f>
      </c>
      <c r="N294" s="33">
        <f>ROUND(H294*1.55, 2)</f>
      </c>
      <c r="O294" s="33">
        <f>ROUND(H294*1.65, 2)</f>
      </c>
      <c r="P294" s="33">
        <f>SUM(I294:O294)</f>
      </c>
      <c r="Q294" s="33">
        <f>ROUND(H294*1.5, 2)</f>
      </c>
      <c r="R294" s="33">
        <f>ROUND(H294*2.0, 2)</f>
      </c>
      <c r="S294" s="14">
        <f>IF(F294&lt;=R294, "TRIGGER INDENT", "STOCK HEALTHY")</f>
      </c>
      <c r="T294" s="33">
        <f>IF(F294&lt;=R294, ROUND(MAX(H294, (I294+Q294)-F294), 2), 0)</f>
      </c>
    </row>
    <row r="295" ht="20" customHeight="1" spans="1:20" x14ac:dyDescent="0.25">
      <c r="A295" s="12" t="s">
        <v>755</v>
      </c>
      <c r="B295" s="12" t="s">
        <v>756</v>
      </c>
      <c r="C295" s="12" t="s">
        <v>415</v>
      </c>
      <c r="D295" s="12" t="s">
        <v>198</v>
      </c>
      <c r="E295" s="30">
        <v>34.849998474121094</v>
      </c>
      <c r="F295" s="31">
        <v>272</v>
      </c>
      <c r="G295" s="12" t="s">
        <v>149</v>
      </c>
      <c r="H295" s="31">
        <v>21.76</v>
      </c>
      <c r="I295" s="31">
        <f>ROUND(H295*1.0, 2)</f>
      </c>
      <c r="J295" s="31">
        <f>ROUND(H295*0.95, 2)</f>
      </c>
      <c r="K295" s="31">
        <f>ROUND(H295*0.95, 2)</f>
      </c>
      <c r="L295" s="31">
        <f>ROUND(H295*1.05, 2)</f>
      </c>
      <c r="M295" s="31">
        <f>ROUND(H295*1.25, 2)</f>
      </c>
      <c r="N295" s="31">
        <f>ROUND(H295*1.55, 2)</f>
      </c>
      <c r="O295" s="31">
        <f>ROUND(H295*1.65, 2)</f>
      </c>
      <c r="P295" s="31">
        <f>SUM(I295:O295)</f>
      </c>
      <c r="Q295" s="31">
        <f>ROUND(H295*1.5, 2)</f>
      </c>
      <c r="R295" s="31">
        <f>ROUND(H295*2.0, 2)</f>
      </c>
      <c r="S295" s="12">
        <f>IF(F295&lt;=R295, "TRIGGER INDENT", "STOCK HEALTHY")</f>
      </c>
      <c r="T295" s="31">
        <f>IF(F295&lt;=R295, ROUND(MAX(H295, (I295+Q295)-F295), 2), 0)</f>
      </c>
    </row>
    <row r="296" ht="20" customHeight="1" spans="1:20" x14ac:dyDescent="0.25">
      <c r="A296" s="14" t="s">
        <v>757</v>
      </c>
      <c r="B296" s="14" t="s">
        <v>758</v>
      </c>
      <c r="C296" s="14" t="s">
        <v>399</v>
      </c>
      <c r="D296" s="14" t="s">
        <v>325</v>
      </c>
      <c r="E296" s="32">
        <v>41.470001220703125</v>
      </c>
      <c r="F296" s="33">
        <v>1408</v>
      </c>
      <c r="G296" s="14" t="s">
        <v>160</v>
      </c>
      <c r="H296" s="33">
        <v>70.4</v>
      </c>
      <c r="I296" s="33">
        <f>ROUND(H296*1.0, 2)</f>
      </c>
      <c r="J296" s="33">
        <f>ROUND(H296*0.95, 2)</f>
      </c>
      <c r="K296" s="33">
        <f>ROUND(H296*0.95, 2)</f>
      </c>
      <c r="L296" s="33">
        <f>ROUND(H296*1.05, 2)</f>
      </c>
      <c r="M296" s="33">
        <f>ROUND(H296*1.25, 2)</f>
      </c>
      <c r="N296" s="33">
        <f>ROUND(H296*1.55, 2)</f>
      </c>
      <c r="O296" s="33">
        <f>ROUND(H296*1.65, 2)</f>
      </c>
      <c r="P296" s="33">
        <f>SUM(I296:O296)</f>
      </c>
      <c r="Q296" s="33">
        <f>ROUND(H296*1.5, 2)</f>
      </c>
      <c r="R296" s="33">
        <f>ROUND(H296*2.0, 2)</f>
      </c>
      <c r="S296" s="14">
        <f>IF(F296&lt;=R296, "TRIGGER INDENT", "STOCK HEALTHY")</f>
      </c>
      <c r="T296" s="33">
        <f>IF(F296&lt;=R296, ROUND(MAX(H296, (I296+Q296)-F296), 2), 0)</f>
      </c>
    </row>
    <row r="297" ht="20" customHeight="1" spans="1:20" x14ac:dyDescent="0.25">
      <c r="A297" s="12" t="s">
        <v>759</v>
      </c>
      <c r="B297" s="12" t="s">
        <v>760</v>
      </c>
      <c r="C297" s="12" t="s">
        <v>170</v>
      </c>
      <c r="D297" s="12" t="s">
        <v>138</v>
      </c>
      <c r="E297" s="30">
        <v>2.5799999237060547</v>
      </c>
      <c r="F297" s="31">
        <v>26400</v>
      </c>
      <c r="G297" s="12" t="s">
        <v>186</v>
      </c>
      <c r="H297" s="31">
        <v>1320</v>
      </c>
      <c r="I297" s="31">
        <f>ROUND(H297*1.0, 2)</f>
      </c>
      <c r="J297" s="31">
        <f>ROUND(H297*0.95, 2)</f>
      </c>
      <c r="K297" s="31">
        <f>ROUND(H297*0.95, 2)</f>
      </c>
      <c r="L297" s="31">
        <f>ROUND(H297*1.05, 2)</f>
      </c>
      <c r="M297" s="31">
        <f>ROUND(H297*1.25, 2)</f>
      </c>
      <c r="N297" s="31">
        <f>ROUND(H297*1.55, 2)</f>
      </c>
      <c r="O297" s="31">
        <f>ROUND(H297*1.65, 2)</f>
      </c>
      <c r="P297" s="31">
        <f>SUM(I297:O297)</f>
      </c>
      <c r="Q297" s="31">
        <f>ROUND(H297*1.5, 2)</f>
      </c>
      <c r="R297" s="31">
        <f>ROUND(H297*2.0, 2)</f>
      </c>
      <c r="S297" s="12">
        <f>IF(F297&lt;=R297, "TRIGGER INDENT", "STOCK HEALTHY")</f>
      </c>
      <c r="T297" s="31">
        <f>IF(F297&lt;=R297, ROUND(MAX(H297, (I297+Q297)-F297), 2), 0)</f>
      </c>
    </row>
    <row r="298" ht="20" customHeight="1" spans="1:20" x14ac:dyDescent="0.25">
      <c r="A298" s="14" t="s">
        <v>761</v>
      </c>
      <c r="B298" s="14" t="s">
        <v>762</v>
      </c>
      <c r="C298" s="14" t="s">
        <v>334</v>
      </c>
      <c r="D298" s="14" t="s">
        <v>148</v>
      </c>
      <c r="E298" s="32">
        <v>16</v>
      </c>
      <c r="F298" s="33">
        <v>128</v>
      </c>
      <c r="G298" s="14" t="s">
        <v>177</v>
      </c>
      <c r="H298" s="33">
        <v>15.36</v>
      </c>
      <c r="I298" s="33">
        <f>ROUND(H298*1.0, 2)</f>
      </c>
      <c r="J298" s="33">
        <f>ROUND(H298*0.95, 2)</f>
      </c>
      <c r="K298" s="33">
        <f>ROUND(H298*0.95, 2)</f>
      </c>
      <c r="L298" s="33">
        <f>ROUND(H298*1.05, 2)</f>
      </c>
      <c r="M298" s="33">
        <f>ROUND(H298*1.25, 2)</f>
      </c>
      <c r="N298" s="33">
        <f>ROUND(H298*1.55, 2)</f>
      </c>
      <c r="O298" s="33">
        <f>ROUND(H298*1.65, 2)</f>
      </c>
      <c r="P298" s="33">
        <f>SUM(I298:O298)</f>
      </c>
      <c r="Q298" s="33">
        <f>ROUND(H298*1.5, 2)</f>
      </c>
      <c r="R298" s="33">
        <f>ROUND(H298*2.0, 2)</f>
      </c>
      <c r="S298" s="14">
        <f>IF(F298&lt;=R298, "TRIGGER INDENT", "STOCK HEALTHY")</f>
      </c>
      <c r="T298" s="33">
        <f>IF(F298&lt;=R298, ROUND(MAX(H298, (I298+Q298)-F298), 2), 0)</f>
      </c>
    </row>
    <row r="299" ht="20" customHeight="1" spans="1:20" x14ac:dyDescent="0.25">
      <c r="A299" s="12" t="s">
        <v>763</v>
      </c>
      <c r="B299" s="12" t="s">
        <v>764</v>
      </c>
      <c r="C299" s="12" t="s">
        <v>264</v>
      </c>
      <c r="D299" s="12" t="s">
        <v>325</v>
      </c>
      <c r="E299" s="30">
        <v>183.5399932861328</v>
      </c>
      <c r="F299" s="31">
        <v>144</v>
      </c>
      <c r="G299" s="12" t="s">
        <v>154</v>
      </c>
      <c r="H299" s="31">
        <v>17.28</v>
      </c>
      <c r="I299" s="31">
        <f>ROUND(H299*1.0, 2)</f>
      </c>
      <c r="J299" s="31">
        <f>ROUND(H299*0.95, 2)</f>
      </c>
      <c r="K299" s="31">
        <f>ROUND(H299*0.95, 2)</f>
      </c>
      <c r="L299" s="31">
        <f>ROUND(H299*1.05, 2)</f>
      </c>
      <c r="M299" s="31">
        <f>ROUND(H299*1.25, 2)</f>
      </c>
      <c r="N299" s="31">
        <f>ROUND(H299*1.55, 2)</f>
      </c>
      <c r="O299" s="31">
        <f>ROUND(H299*1.65, 2)</f>
      </c>
      <c r="P299" s="31">
        <f>SUM(I299:O299)</f>
      </c>
      <c r="Q299" s="31">
        <f>ROUND(H299*1.5, 2)</f>
      </c>
      <c r="R299" s="31">
        <f>ROUND(H299*2.0, 2)</f>
      </c>
      <c r="S299" s="12">
        <f>IF(F299&lt;=R299, "TRIGGER INDENT", "STOCK HEALTHY")</f>
      </c>
      <c r="T299" s="31">
        <f>IF(F299&lt;=R299, ROUND(MAX(H299, (I299+Q299)-F299), 2), 0)</f>
      </c>
    </row>
    <row r="300" ht="20" customHeight="1" spans="1:20" x14ac:dyDescent="0.25">
      <c r="A300" s="14" t="s">
        <v>765</v>
      </c>
      <c r="B300" s="14" t="s">
        <v>766</v>
      </c>
      <c r="C300" s="14" t="s">
        <v>264</v>
      </c>
      <c r="D300" s="14" t="s">
        <v>325</v>
      </c>
      <c r="E300" s="32">
        <v>166.1199951171875</v>
      </c>
      <c r="F300" s="33">
        <v>1.5100002</v>
      </c>
      <c r="G300" s="14" t="s">
        <v>154</v>
      </c>
      <c r="H300" s="33">
        <v>1</v>
      </c>
      <c r="I300" s="33">
        <f>ROUND(H300*1.0, 2)</f>
      </c>
      <c r="J300" s="33">
        <f>ROUND(H300*0.95, 2)</f>
      </c>
      <c r="K300" s="33">
        <f>ROUND(H300*0.95, 2)</f>
      </c>
      <c r="L300" s="33">
        <f>ROUND(H300*1.05, 2)</f>
      </c>
      <c r="M300" s="33">
        <f>ROUND(H300*1.25, 2)</f>
      </c>
      <c r="N300" s="33">
        <f>ROUND(H300*1.55, 2)</f>
      </c>
      <c r="O300" s="33">
        <f>ROUND(H300*1.65, 2)</f>
      </c>
      <c r="P300" s="33">
        <f>SUM(I300:O300)</f>
      </c>
      <c r="Q300" s="33">
        <f>ROUND(H300*1.5, 2)</f>
      </c>
      <c r="R300" s="33">
        <f>ROUND(H300*2.0, 2)</f>
      </c>
      <c r="S300" s="14">
        <f>IF(F300&lt;=R300, "TRIGGER INDENT", "STOCK HEALTHY")</f>
      </c>
      <c r="T300" s="33">
        <f>IF(F300&lt;=R300, ROUND(MAX(H300, (I300+Q300)-F300), 2), 0)</f>
      </c>
    </row>
    <row r="301" ht="20" customHeight="1" spans="1:20" x14ac:dyDescent="0.25">
      <c r="A301" s="12" t="s">
        <v>767</v>
      </c>
      <c r="B301" s="12" t="s">
        <v>768</v>
      </c>
      <c r="C301" s="12" t="s">
        <v>170</v>
      </c>
      <c r="D301" s="12" t="s">
        <v>153</v>
      </c>
      <c r="E301" s="30">
        <v>220</v>
      </c>
      <c r="F301" s="31">
        <v>192</v>
      </c>
      <c r="G301" s="12" t="s">
        <v>160</v>
      </c>
      <c r="H301" s="31">
        <v>23.04</v>
      </c>
      <c r="I301" s="31">
        <f>ROUND(H301*1.0, 2)</f>
      </c>
      <c r="J301" s="31">
        <f>ROUND(H301*0.95, 2)</f>
      </c>
      <c r="K301" s="31">
        <f>ROUND(H301*0.95, 2)</f>
      </c>
      <c r="L301" s="31">
        <f>ROUND(H301*1.05, 2)</f>
      </c>
      <c r="M301" s="31">
        <f>ROUND(H301*1.25, 2)</f>
      </c>
      <c r="N301" s="31">
        <f>ROUND(H301*1.55, 2)</f>
      </c>
      <c r="O301" s="31">
        <f>ROUND(H301*1.65, 2)</f>
      </c>
      <c r="P301" s="31">
        <f>SUM(I301:O301)</f>
      </c>
      <c r="Q301" s="31">
        <f>ROUND(H301*1.5, 2)</f>
      </c>
      <c r="R301" s="31">
        <f>ROUND(H301*2.0, 2)</f>
      </c>
      <c r="S301" s="12">
        <f>IF(F301&lt;=R301, "TRIGGER INDENT", "STOCK HEALTHY")</f>
      </c>
      <c r="T301" s="31">
        <f>IF(F301&lt;=R301, ROUND(MAX(H301, (I301+Q301)-F301), 2), 0)</f>
      </c>
    </row>
    <row r="302" ht="20" customHeight="1" spans="1:20" x14ac:dyDescent="0.25">
      <c r="A302" s="14" t="s">
        <v>769</v>
      </c>
      <c r="B302" s="14" t="s">
        <v>770</v>
      </c>
      <c r="C302" s="14" t="s">
        <v>170</v>
      </c>
      <c r="D302" s="14" t="s">
        <v>153</v>
      </c>
      <c r="E302" s="32">
        <v>94.70999908447266</v>
      </c>
      <c r="F302" s="33">
        <v>168</v>
      </c>
      <c r="G302" s="14" t="s">
        <v>160</v>
      </c>
      <c r="H302" s="33">
        <v>20.16</v>
      </c>
      <c r="I302" s="33">
        <f>ROUND(H302*1.0, 2)</f>
      </c>
      <c r="J302" s="33">
        <f>ROUND(H302*0.95, 2)</f>
      </c>
      <c r="K302" s="33">
        <f>ROUND(H302*0.95, 2)</f>
      </c>
      <c r="L302" s="33">
        <f>ROUND(H302*1.05, 2)</f>
      </c>
      <c r="M302" s="33">
        <f>ROUND(H302*1.25, 2)</f>
      </c>
      <c r="N302" s="33">
        <f>ROUND(H302*1.55, 2)</f>
      </c>
      <c r="O302" s="33">
        <f>ROUND(H302*1.65, 2)</f>
      </c>
      <c r="P302" s="33">
        <f>SUM(I302:O302)</f>
      </c>
      <c r="Q302" s="33">
        <f>ROUND(H302*1.5, 2)</f>
      </c>
      <c r="R302" s="33">
        <f>ROUND(H302*2.0, 2)</f>
      </c>
      <c r="S302" s="14">
        <f>IF(F302&lt;=R302, "TRIGGER INDENT", "STOCK HEALTHY")</f>
      </c>
      <c r="T302" s="33">
        <f>IF(F302&lt;=R302, ROUND(MAX(H302, (I302+Q302)-F302), 2), 0)</f>
      </c>
    </row>
    <row r="303" ht="20" customHeight="1" spans="1:20" x14ac:dyDescent="0.25">
      <c r="A303" s="12" t="s">
        <v>771</v>
      </c>
      <c r="B303" s="12" t="s">
        <v>772</v>
      </c>
      <c r="C303" s="12" t="s">
        <v>436</v>
      </c>
      <c r="D303" s="12" t="s">
        <v>148</v>
      </c>
      <c r="E303" s="30">
        <v>35.41999816894531</v>
      </c>
      <c r="F303" s="31">
        <v>80</v>
      </c>
      <c r="G303" s="12" t="s">
        <v>142</v>
      </c>
      <c r="H303" s="31">
        <v>9.6</v>
      </c>
      <c r="I303" s="31">
        <f>ROUND(H303*1.0, 2)</f>
      </c>
      <c r="J303" s="31">
        <f>ROUND(H303*0.95, 2)</f>
      </c>
      <c r="K303" s="31">
        <f>ROUND(H303*0.95, 2)</f>
      </c>
      <c r="L303" s="31">
        <f>ROUND(H303*1.05, 2)</f>
      </c>
      <c r="M303" s="31">
        <f>ROUND(H303*1.25, 2)</f>
      </c>
      <c r="N303" s="31">
        <f>ROUND(H303*1.55, 2)</f>
      </c>
      <c r="O303" s="31">
        <f>ROUND(H303*1.65, 2)</f>
      </c>
      <c r="P303" s="31">
        <f>SUM(I303:O303)</f>
      </c>
      <c r="Q303" s="31">
        <f>ROUND(H303*1.5, 2)</f>
      </c>
      <c r="R303" s="31">
        <f>ROUND(H303*2.0, 2)</f>
      </c>
      <c r="S303" s="12">
        <f>IF(F303&lt;=R303, "TRIGGER INDENT", "STOCK HEALTHY")</f>
      </c>
      <c r="T303" s="31">
        <f>IF(F303&lt;=R303, ROUND(MAX(H303, (I303+Q303)-F303), 2), 0)</f>
      </c>
    </row>
    <row r="304" ht="20" customHeight="1" spans="1:20" x14ac:dyDescent="0.25">
      <c r="A304" s="14" t="s">
        <v>773</v>
      </c>
      <c r="B304" s="14" t="s">
        <v>774</v>
      </c>
      <c r="C304" s="14" t="s">
        <v>257</v>
      </c>
      <c r="D304" s="14" t="s">
        <v>325</v>
      </c>
      <c r="E304" s="32">
        <v>64</v>
      </c>
      <c r="F304" s="33">
        <v>320</v>
      </c>
      <c r="G304" s="14" t="s">
        <v>149</v>
      </c>
      <c r="H304" s="33">
        <v>25.6</v>
      </c>
      <c r="I304" s="33">
        <f>ROUND(H304*1.0, 2)</f>
      </c>
      <c r="J304" s="33">
        <f>ROUND(H304*0.95, 2)</f>
      </c>
      <c r="K304" s="33">
        <f>ROUND(H304*0.95, 2)</f>
      </c>
      <c r="L304" s="33">
        <f>ROUND(H304*1.05, 2)</f>
      </c>
      <c r="M304" s="33">
        <f>ROUND(H304*1.25, 2)</f>
      </c>
      <c r="N304" s="33">
        <f>ROUND(H304*1.55, 2)</f>
      </c>
      <c r="O304" s="33">
        <f>ROUND(H304*1.65, 2)</f>
      </c>
      <c r="P304" s="33">
        <f>SUM(I304:O304)</f>
      </c>
      <c r="Q304" s="33">
        <f>ROUND(H304*1.5, 2)</f>
      </c>
      <c r="R304" s="33">
        <f>ROUND(H304*2.0, 2)</f>
      </c>
      <c r="S304" s="14">
        <f>IF(F304&lt;=R304, "TRIGGER INDENT", "STOCK HEALTHY")</f>
      </c>
      <c r="T304" s="33">
        <f>IF(F304&lt;=R304, ROUND(MAX(H304, (I304+Q304)-F304), 2), 0)</f>
      </c>
    </row>
    <row r="305" ht="20" customHeight="1" spans="1:20" x14ac:dyDescent="0.25">
      <c r="A305" s="12" t="s">
        <v>775</v>
      </c>
      <c r="B305" s="12" t="s">
        <v>776</v>
      </c>
      <c r="C305" s="12" t="s">
        <v>137</v>
      </c>
      <c r="D305" s="12" t="s">
        <v>138</v>
      </c>
      <c r="E305" s="30">
        <v>11.670000076293945</v>
      </c>
      <c r="F305" s="31">
        <v>752</v>
      </c>
      <c r="G305" s="12" t="s">
        <v>160</v>
      </c>
      <c r="H305" s="31">
        <v>60.16</v>
      </c>
      <c r="I305" s="31">
        <f>ROUND(H305*1.0, 2)</f>
      </c>
      <c r="J305" s="31">
        <f>ROUND(H305*0.95, 2)</f>
      </c>
      <c r="K305" s="31">
        <f>ROUND(H305*0.95, 2)</f>
      </c>
      <c r="L305" s="31">
        <f>ROUND(H305*1.05, 2)</f>
      </c>
      <c r="M305" s="31">
        <f>ROUND(H305*1.25, 2)</f>
      </c>
      <c r="N305" s="31">
        <f>ROUND(H305*1.55, 2)</f>
      </c>
      <c r="O305" s="31">
        <f>ROUND(H305*1.65, 2)</f>
      </c>
      <c r="P305" s="31">
        <f>SUM(I305:O305)</f>
      </c>
      <c r="Q305" s="31">
        <f>ROUND(H305*1.5, 2)</f>
      </c>
      <c r="R305" s="31">
        <f>ROUND(H305*2.0, 2)</f>
      </c>
      <c r="S305" s="12">
        <f>IF(F305&lt;=R305, "TRIGGER INDENT", "STOCK HEALTHY")</f>
      </c>
      <c r="T305" s="31">
        <f>IF(F305&lt;=R305, ROUND(MAX(H305, (I305+Q305)-F305), 2), 0)</f>
      </c>
    </row>
    <row r="306" ht="20" customHeight="1" spans="1:20" x14ac:dyDescent="0.25">
      <c r="A306" s="14" t="s">
        <v>777</v>
      </c>
      <c r="B306" s="14" t="s">
        <v>778</v>
      </c>
      <c r="C306" s="14" t="s">
        <v>402</v>
      </c>
      <c r="D306" s="14" t="s">
        <v>198</v>
      </c>
      <c r="E306" s="32">
        <v>296.1400146484375</v>
      </c>
      <c r="F306" s="33">
        <v>160</v>
      </c>
      <c r="G306" s="14" t="s">
        <v>190</v>
      </c>
      <c r="H306" s="33">
        <v>19.2</v>
      </c>
      <c r="I306" s="33">
        <f>ROUND(H306*1.0, 2)</f>
      </c>
      <c r="J306" s="33">
        <f>ROUND(H306*0.95, 2)</f>
      </c>
      <c r="K306" s="33">
        <f>ROUND(H306*0.95, 2)</f>
      </c>
      <c r="L306" s="33">
        <f>ROUND(H306*1.05, 2)</f>
      </c>
      <c r="M306" s="33">
        <f>ROUND(H306*1.25, 2)</f>
      </c>
      <c r="N306" s="33">
        <f>ROUND(H306*1.55, 2)</f>
      </c>
      <c r="O306" s="33">
        <f>ROUND(H306*1.65, 2)</f>
      </c>
      <c r="P306" s="33">
        <f>SUM(I306:O306)</f>
      </c>
      <c r="Q306" s="33">
        <f>ROUND(H306*1.5, 2)</f>
      </c>
      <c r="R306" s="33">
        <f>ROUND(H306*2.0, 2)</f>
      </c>
      <c r="S306" s="14">
        <f>IF(F306&lt;=R306, "TRIGGER INDENT", "STOCK HEALTHY")</f>
      </c>
      <c r="T306" s="33">
        <f>IF(F306&lt;=R306, ROUND(MAX(H306, (I306+Q306)-F306), 2), 0)</f>
      </c>
    </row>
    <row r="307" ht="20" customHeight="1" spans="1:20" x14ac:dyDescent="0.25">
      <c r="A307" s="12" t="s">
        <v>779</v>
      </c>
      <c r="B307" s="12" t="s">
        <v>780</v>
      </c>
      <c r="C307" s="12" t="s">
        <v>334</v>
      </c>
      <c r="D307" s="12" t="s">
        <v>148</v>
      </c>
      <c r="E307" s="30">
        <v>32.97999954223633</v>
      </c>
      <c r="F307" s="31">
        <v>2160</v>
      </c>
      <c r="G307" s="12" t="s">
        <v>177</v>
      </c>
      <c r="H307" s="31">
        <v>108</v>
      </c>
      <c r="I307" s="31">
        <f>ROUND(H307*1.0, 2)</f>
      </c>
      <c r="J307" s="31">
        <f>ROUND(H307*0.95, 2)</f>
      </c>
      <c r="K307" s="31">
        <f>ROUND(H307*0.95, 2)</f>
      </c>
      <c r="L307" s="31">
        <f>ROUND(H307*1.05, 2)</f>
      </c>
      <c r="M307" s="31">
        <f>ROUND(H307*1.25, 2)</f>
      </c>
      <c r="N307" s="31">
        <f>ROUND(H307*1.55, 2)</f>
      </c>
      <c r="O307" s="31">
        <f>ROUND(H307*1.65, 2)</f>
      </c>
      <c r="P307" s="31">
        <f>SUM(I307:O307)</f>
      </c>
      <c r="Q307" s="31">
        <f>ROUND(H307*1.5, 2)</f>
      </c>
      <c r="R307" s="31">
        <f>ROUND(H307*2.0, 2)</f>
      </c>
      <c r="S307" s="12">
        <f>IF(F307&lt;=R307, "TRIGGER INDENT", "STOCK HEALTHY")</f>
      </c>
      <c r="T307" s="31">
        <f>IF(F307&lt;=R307, ROUND(MAX(H307, (I307+Q307)-F307), 2), 0)</f>
      </c>
    </row>
    <row r="308" ht="20" customHeight="1" spans="1:20" x14ac:dyDescent="0.25">
      <c r="A308" s="14" t="s">
        <v>781</v>
      </c>
      <c r="B308" s="14" t="s">
        <v>782</v>
      </c>
      <c r="C308" s="14" t="s">
        <v>152</v>
      </c>
      <c r="D308" s="14" t="s">
        <v>153</v>
      </c>
      <c r="E308" s="32">
        <v>693.75</v>
      </c>
      <c r="F308" s="33">
        <v>34.72</v>
      </c>
      <c r="G308" s="14" t="s">
        <v>142</v>
      </c>
      <c r="H308" s="33">
        <v>6.94</v>
      </c>
      <c r="I308" s="33">
        <f>ROUND(H308*1.0, 2)</f>
      </c>
      <c r="J308" s="33">
        <f>ROUND(H308*0.95, 2)</f>
      </c>
      <c r="K308" s="33">
        <f>ROUND(H308*0.95, 2)</f>
      </c>
      <c r="L308" s="33">
        <f>ROUND(H308*1.05, 2)</f>
      </c>
      <c r="M308" s="33">
        <f>ROUND(H308*1.25, 2)</f>
      </c>
      <c r="N308" s="33">
        <f>ROUND(H308*1.55, 2)</f>
      </c>
      <c r="O308" s="33">
        <f>ROUND(H308*1.65, 2)</f>
      </c>
      <c r="P308" s="33">
        <f>SUM(I308:O308)</f>
      </c>
      <c r="Q308" s="33">
        <f>ROUND(H308*1.5, 2)</f>
      </c>
      <c r="R308" s="33">
        <f>ROUND(H308*2.0, 2)</f>
      </c>
      <c r="S308" s="14">
        <f>IF(F308&lt;=R308, "TRIGGER INDENT", "STOCK HEALTHY")</f>
      </c>
      <c r="T308" s="33">
        <f>IF(F308&lt;=R308, ROUND(MAX(H308, (I308+Q308)-F308), 2), 0)</f>
      </c>
    </row>
    <row r="309" ht="20" customHeight="1" spans="1:20" x14ac:dyDescent="0.25">
      <c r="A309" s="12" t="s">
        <v>783</v>
      </c>
      <c r="B309" s="12" t="s">
        <v>784</v>
      </c>
      <c r="C309" s="12" t="s">
        <v>147</v>
      </c>
      <c r="D309" s="12" t="s">
        <v>148</v>
      </c>
      <c r="E309" s="30">
        <v>211</v>
      </c>
      <c r="F309" s="31">
        <v>1.5100002</v>
      </c>
      <c r="G309" s="12" t="s">
        <v>149</v>
      </c>
      <c r="H309" s="31">
        <v>1</v>
      </c>
      <c r="I309" s="31">
        <f>ROUND(H309*1.0, 2)</f>
      </c>
      <c r="J309" s="31">
        <f>ROUND(H309*0.95, 2)</f>
      </c>
      <c r="K309" s="31">
        <f>ROUND(H309*0.95, 2)</f>
      </c>
      <c r="L309" s="31">
        <f>ROUND(H309*1.05, 2)</f>
      </c>
      <c r="M309" s="31">
        <f>ROUND(H309*1.25, 2)</f>
      </c>
      <c r="N309" s="31">
        <f>ROUND(H309*1.55, 2)</f>
      </c>
      <c r="O309" s="31">
        <f>ROUND(H309*1.65, 2)</f>
      </c>
      <c r="P309" s="31">
        <f>SUM(I309:O309)</f>
      </c>
      <c r="Q309" s="31">
        <f>ROUND(H309*1.5, 2)</f>
      </c>
      <c r="R309" s="31">
        <f>ROUND(H309*2.0, 2)</f>
      </c>
      <c r="S309" s="12">
        <f>IF(F309&lt;=R309, "TRIGGER INDENT", "STOCK HEALTHY")</f>
      </c>
      <c r="T309" s="31">
        <f>IF(F309&lt;=R309, ROUND(MAX(H309, (I309+Q309)-F309), 2), 0)</f>
      </c>
    </row>
    <row r="310" ht="20" customHeight="1" spans="1:20" x14ac:dyDescent="0.25">
      <c r="A310" s="14" t="s">
        <v>785</v>
      </c>
      <c r="B310" s="14" t="s">
        <v>786</v>
      </c>
      <c r="C310" s="14" t="s">
        <v>264</v>
      </c>
      <c r="D310" s="14" t="s">
        <v>265</v>
      </c>
      <c r="E310" s="32">
        <v>526</v>
      </c>
      <c r="F310" s="33">
        <v>1.5100002</v>
      </c>
      <c r="G310" s="14" t="s">
        <v>149</v>
      </c>
      <c r="H310" s="33">
        <v>1</v>
      </c>
      <c r="I310" s="33">
        <f>ROUND(H310*1.0, 2)</f>
      </c>
      <c r="J310" s="33">
        <f>ROUND(H310*0.95, 2)</f>
      </c>
      <c r="K310" s="33">
        <f>ROUND(H310*0.95, 2)</f>
      </c>
      <c r="L310" s="33">
        <f>ROUND(H310*1.05, 2)</f>
      </c>
      <c r="M310" s="33">
        <f>ROUND(H310*1.25, 2)</f>
      </c>
      <c r="N310" s="33">
        <f>ROUND(H310*1.55, 2)</f>
      </c>
      <c r="O310" s="33">
        <f>ROUND(H310*1.65, 2)</f>
      </c>
      <c r="P310" s="33">
        <f>SUM(I310:O310)</f>
      </c>
      <c r="Q310" s="33">
        <f>ROUND(H310*1.5, 2)</f>
      </c>
      <c r="R310" s="33">
        <f>ROUND(H310*2.0, 2)</f>
      </c>
      <c r="S310" s="14">
        <f>IF(F310&lt;=R310, "TRIGGER INDENT", "STOCK HEALTHY")</f>
      </c>
      <c r="T310" s="33">
        <f>IF(F310&lt;=R310, ROUND(MAX(H310, (I310+Q310)-F310), 2), 0)</f>
      </c>
    </row>
    <row r="311" ht="20" customHeight="1" spans="1:20" x14ac:dyDescent="0.25">
      <c r="A311" s="12" t="s">
        <v>787</v>
      </c>
      <c r="B311" s="12" t="s">
        <v>788</v>
      </c>
      <c r="C311" s="12" t="s">
        <v>137</v>
      </c>
      <c r="D311" s="12" t="s">
        <v>198</v>
      </c>
      <c r="E311" s="30">
        <v>28.270000457763672</v>
      </c>
      <c r="F311" s="31">
        <v>3584</v>
      </c>
      <c r="G311" s="12" t="s">
        <v>177</v>
      </c>
      <c r="H311" s="31">
        <v>179.2</v>
      </c>
      <c r="I311" s="31">
        <f>ROUND(H311*1.0, 2)</f>
      </c>
      <c r="J311" s="31">
        <f>ROUND(H311*0.95, 2)</f>
      </c>
      <c r="K311" s="31">
        <f>ROUND(H311*0.95, 2)</f>
      </c>
      <c r="L311" s="31">
        <f>ROUND(H311*1.05, 2)</f>
      </c>
      <c r="M311" s="31">
        <f>ROUND(H311*1.25, 2)</f>
      </c>
      <c r="N311" s="31">
        <f>ROUND(H311*1.55, 2)</f>
      </c>
      <c r="O311" s="31">
        <f>ROUND(H311*1.65, 2)</f>
      </c>
      <c r="P311" s="31">
        <f>SUM(I311:O311)</f>
      </c>
      <c r="Q311" s="31">
        <f>ROUND(H311*1.5, 2)</f>
      </c>
      <c r="R311" s="31">
        <f>ROUND(H311*2.0, 2)</f>
      </c>
      <c r="S311" s="12">
        <f>IF(F311&lt;=R311, "TRIGGER INDENT", "STOCK HEALTHY")</f>
      </c>
      <c r="T311" s="31">
        <f>IF(F311&lt;=R311, ROUND(MAX(H311, (I311+Q311)-F311), 2), 0)</f>
      </c>
    </row>
    <row r="312" ht="20" customHeight="1" spans="1:20" x14ac:dyDescent="0.25">
      <c r="A312" s="14" t="s">
        <v>789</v>
      </c>
      <c r="B312" s="14" t="s">
        <v>790</v>
      </c>
      <c r="C312" s="14" t="s">
        <v>137</v>
      </c>
      <c r="D312" s="14" t="s">
        <v>198</v>
      </c>
      <c r="E312" s="32">
        <v>40.25</v>
      </c>
      <c r="F312" s="33">
        <v>320</v>
      </c>
      <c r="G312" s="14" t="s">
        <v>160</v>
      </c>
      <c r="H312" s="33">
        <v>25.6</v>
      </c>
      <c r="I312" s="33">
        <f>ROUND(H312*1.0, 2)</f>
      </c>
      <c r="J312" s="33">
        <f>ROUND(H312*0.95, 2)</f>
      </c>
      <c r="K312" s="33">
        <f>ROUND(H312*0.95, 2)</f>
      </c>
      <c r="L312" s="33">
        <f>ROUND(H312*1.05, 2)</f>
      </c>
      <c r="M312" s="33">
        <f>ROUND(H312*1.25, 2)</f>
      </c>
      <c r="N312" s="33">
        <f>ROUND(H312*1.55, 2)</f>
      </c>
      <c r="O312" s="33">
        <f>ROUND(H312*1.65, 2)</f>
      </c>
      <c r="P312" s="33">
        <f>SUM(I312:O312)</f>
      </c>
      <c r="Q312" s="33">
        <f>ROUND(H312*1.5, 2)</f>
      </c>
      <c r="R312" s="33">
        <f>ROUND(H312*2.0, 2)</f>
      </c>
      <c r="S312" s="14">
        <f>IF(F312&lt;=R312, "TRIGGER INDENT", "STOCK HEALTHY")</f>
      </c>
      <c r="T312" s="33">
        <f>IF(F312&lt;=R312, ROUND(MAX(H312, (I312+Q312)-F312), 2), 0)</f>
      </c>
    </row>
    <row r="313" ht="20" customHeight="1" spans="1:20" x14ac:dyDescent="0.25">
      <c r="A313" s="12" t="s">
        <v>791</v>
      </c>
      <c r="B313" s="12" t="s">
        <v>792</v>
      </c>
      <c r="C313" s="12" t="s">
        <v>170</v>
      </c>
      <c r="D313" s="12" t="s">
        <v>153</v>
      </c>
      <c r="E313" s="30">
        <v>41.11000061035156</v>
      </c>
      <c r="F313" s="31">
        <v>1371.6798</v>
      </c>
      <c r="G313" s="12" t="s">
        <v>186</v>
      </c>
      <c r="H313" s="31">
        <v>68.58</v>
      </c>
      <c r="I313" s="31">
        <f>ROUND(H313*1.0, 2)</f>
      </c>
      <c r="J313" s="31">
        <f>ROUND(H313*0.95, 2)</f>
      </c>
      <c r="K313" s="31">
        <f>ROUND(H313*0.95, 2)</f>
      </c>
      <c r="L313" s="31">
        <f>ROUND(H313*1.05, 2)</f>
      </c>
      <c r="M313" s="31">
        <f>ROUND(H313*1.25, 2)</f>
      </c>
      <c r="N313" s="31">
        <f>ROUND(H313*1.55, 2)</f>
      </c>
      <c r="O313" s="31">
        <f>ROUND(H313*1.65, 2)</f>
      </c>
      <c r="P313" s="31">
        <f>SUM(I313:O313)</f>
      </c>
      <c r="Q313" s="31">
        <f>ROUND(H313*1.5, 2)</f>
      </c>
      <c r="R313" s="31">
        <f>ROUND(H313*2.0, 2)</f>
      </c>
      <c r="S313" s="12">
        <f>IF(F313&lt;=R313, "TRIGGER INDENT", "STOCK HEALTHY")</f>
      </c>
      <c r="T313" s="31">
        <f>IF(F313&lt;=R313, ROUND(MAX(H313, (I313+Q313)-F313), 2), 0)</f>
      </c>
    </row>
    <row r="314" ht="20" customHeight="1" spans="1:20" x14ac:dyDescent="0.25">
      <c r="A314" s="14" t="s">
        <v>793</v>
      </c>
      <c r="B314" s="14" t="s">
        <v>794</v>
      </c>
      <c r="C314" s="14" t="s">
        <v>324</v>
      </c>
      <c r="D314" s="14" t="s">
        <v>325</v>
      </c>
      <c r="E314" s="32">
        <v>158.57000732421875</v>
      </c>
      <c r="F314" s="33">
        <v>8788.799</v>
      </c>
      <c r="G314" s="14" t="s">
        <v>190</v>
      </c>
      <c r="H314" s="33">
        <v>439.44</v>
      </c>
      <c r="I314" s="33">
        <f>ROUND(H314*1.0, 2)</f>
      </c>
      <c r="J314" s="33">
        <f>ROUND(H314*0.95, 2)</f>
      </c>
      <c r="K314" s="33">
        <f>ROUND(H314*0.95, 2)</f>
      </c>
      <c r="L314" s="33">
        <f>ROUND(H314*1.05, 2)</f>
      </c>
      <c r="M314" s="33">
        <f>ROUND(H314*1.25, 2)</f>
      </c>
      <c r="N314" s="33">
        <f>ROUND(H314*1.55, 2)</f>
      </c>
      <c r="O314" s="33">
        <f>ROUND(H314*1.65, 2)</f>
      </c>
      <c r="P314" s="33">
        <f>SUM(I314:O314)</f>
      </c>
      <c r="Q314" s="33">
        <f>ROUND(H314*1.5, 2)</f>
      </c>
      <c r="R314" s="33">
        <f>ROUND(H314*2.0, 2)</f>
      </c>
      <c r="S314" s="14">
        <f>IF(F314&lt;=R314, "TRIGGER INDENT", "STOCK HEALTHY")</f>
      </c>
      <c r="T314" s="33">
        <f>IF(F314&lt;=R314, ROUND(MAX(H314, (I314+Q314)-F314), 2), 0)</f>
      </c>
    </row>
    <row r="315" ht="20" customHeight="1" spans="1:20" x14ac:dyDescent="0.25">
      <c r="A315" s="12" t="s">
        <v>795</v>
      </c>
      <c r="B315" s="12" t="s">
        <v>796</v>
      </c>
      <c r="C315" s="12" t="s">
        <v>399</v>
      </c>
      <c r="D315" s="12" t="s">
        <v>153</v>
      </c>
      <c r="E315" s="30">
        <v>58.56999969482422</v>
      </c>
      <c r="F315" s="31">
        <v>320</v>
      </c>
      <c r="G315" s="12" t="s">
        <v>149</v>
      </c>
      <c r="H315" s="31">
        <v>25.6</v>
      </c>
      <c r="I315" s="31">
        <f>ROUND(H315*1.0, 2)</f>
      </c>
      <c r="J315" s="31">
        <f>ROUND(H315*0.95, 2)</f>
      </c>
      <c r="K315" s="31">
        <f>ROUND(H315*0.95, 2)</f>
      </c>
      <c r="L315" s="31">
        <f>ROUND(H315*1.05, 2)</f>
      </c>
      <c r="M315" s="31">
        <f>ROUND(H315*1.25, 2)</f>
      </c>
      <c r="N315" s="31">
        <f>ROUND(H315*1.55, 2)</f>
      </c>
      <c r="O315" s="31">
        <f>ROUND(H315*1.65, 2)</f>
      </c>
      <c r="P315" s="31">
        <f>SUM(I315:O315)</f>
      </c>
      <c r="Q315" s="31">
        <f>ROUND(H315*1.5, 2)</f>
      </c>
      <c r="R315" s="31">
        <f>ROUND(H315*2.0, 2)</f>
      </c>
      <c r="S315" s="12">
        <f>IF(F315&lt;=R315, "TRIGGER INDENT", "STOCK HEALTHY")</f>
      </c>
      <c r="T315" s="31">
        <f>IF(F315&lt;=R315, ROUND(MAX(H315, (I315+Q315)-F315), 2), 0)</f>
      </c>
    </row>
    <row r="316" ht="20" customHeight="1" spans="1:20" x14ac:dyDescent="0.25">
      <c r="A316" s="14" t="s">
        <v>797</v>
      </c>
      <c r="B316" s="14" t="s">
        <v>798</v>
      </c>
      <c r="C316" s="14" t="s">
        <v>170</v>
      </c>
      <c r="D316" s="14" t="s">
        <v>198</v>
      </c>
      <c r="E316" s="32">
        <v>100</v>
      </c>
      <c r="F316" s="33">
        <v>1.5100002</v>
      </c>
      <c r="G316" s="14" t="s">
        <v>149</v>
      </c>
      <c r="H316" s="33">
        <v>1</v>
      </c>
      <c r="I316" s="33">
        <f>ROUND(H316*1.0, 2)</f>
      </c>
      <c r="J316" s="33">
        <f>ROUND(H316*0.95, 2)</f>
      </c>
      <c r="K316" s="33">
        <f>ROUND(H316*0.95, 2)</f>
      </c>
      <c r="L316" s="33">
        <f>ROUND(H316*1.05, 2)</f>
      </c>
      <c r="M316" s="33">
        <f>ROUND(H316*1.25, 2)</f>
      </c>
      <c r="N316" s="33">
        <f>ROUND(H316*1.55, 2)</f>
      </c>
      <c r="O316" s="33">
        <f>ROUND(H316*1.65, 2)</f>
      </c>
      <c r="P316" s="33">
        <f>SUM(I316:O316)</f>
      </c>
      <c r="Q316" s="33">
        <f>ROUND(H316*1.5, 2)</f>
      </c>
      <c r="R316" s="33">
        <f>ROUND(H316*2.0, 2)</f>
      </c>
      <c r="S316" s="14">
        <f>IF(F316&lt;=R316, "TRIGGER INDENT", "STOCK HEALTHY")</f>
      </c>
      <c r="T316" s="33">
        <f>IF(F316&lt;=R316, ROUND(MAX(H316, (I316+Q316)-F316), 2), 0)</f>
      </c>
    </row>
    <row r="317" ht="20" customHeight="1" spans="1:20" x14ac:dyDescent="0.25">
      <c r="A317" s="12" t="s">
        <v>799</v>
      </c>
      <c r="B317" s="12" t="s">
        <v>800</v>
      </c>
      <c r="C317" s="12" t="s">
        <v>402</v>
      </c>
      <c r="D317" s="12" t="s">
        <v>198</v>
      </c>
      <c r="E317" s="30">
        <v>310</v>
      </c>
      <c r="F317" s="31">
        <v>16</v>
      </c>
      <c r="G317" s="12" t="s">
        <v>149</v>
      </c>
      <c r="H317" s="31">
        <v>3.2</v>
      </c>
      <c r="I317" s="31">
        <f>ROUND(H317*1.0, 2)</f>
      </c>
      <c r="J317" s="31">
        <f>ROUND(H317*0.95, 2)</f>
      </c>
      <c r="K317" s="31">
        <f>ROUND(H317*0.95, 2)</f>
      </c>
      <c r="L317" s="31">
        <f>ROUND(H317*1.05, 2)</f>
      </c>
      <c r="M317" s="31">
        <f>ROUND(H317*1.25, 2)</f>
      </c>
      <c r="N317" s="31">
        <f>ROUND(H317*1.55, 2)</f>
      </c>
      <c r="O317" s="31">
        <f>ROUND(H317*1.65, 2)</f>
      </c>
      <c r="P317" s="31">
        <f>SUM(I317:O317)</f>
      </c>
      <c r="Q317" s="31">
        <f>ROUND(H317*1.5, 2)</f>
      </c>
      <c r="R317" s="31">
        <f>ROUND(H317*2.0, 2)</f>
      </c>
      <c r="S317" s="12">
        <f>IF(F317&lt;=R317, "TRIGGER INDENT", "STOCK HEALTHY")</f>
      </c>
      <c r="T317" s="31">
        <f>IF(F317&lt;=R317, ROUND(MAX(H317, (I317+Q317)-F317), 2), 0)</f>
      </c>
    </row>
    <row r="318" ht="20" customHeight="1" spans="1:20" x14ac:dyDescent="0.25">
      <c r="A318" s="14" t="s">
        <v>801</v>
      </c>
      <c r="B318" s="14" t="s">
        <v>802</v>
      </c>
      <c r="C318" s="14" t="s">
        <v>170</v>
      </c>
      <c r="D318" s="14" t="s">
        <v>198</v>
      </c>
      <c r="E318" s="32">
        <v>85.26000213623047</v>
      </c>
      <c r="F318" s="33">
        <v>80</v>
      </c>
      <c r="G318" s="14" t="s">
        <v>142</v>
      </c>
      <c r="H318" s="33">
        <v>9.6</v>
      </c>
      <c r="I318" s="33">
        <f>ROUND(H318*1.0, 2)</f>
      </c>
      <c r="J318" s="33">
        <f>ROUND(H318*0.95, 2)</f>
      </c>
      <c r="K318" s="33">
        <f>ROUND(H318*0.95, 2)</f>
      </c>
      <c r="L318" s="33">
        <f>ROUND(H318*1.05, 2)</f>
      </c>
      <c r="M318" s="33">
        <f>ROUND(H318*1.25, 2)</f>
      </c>
      <c r="N318" s="33">
        <f>ROUND(H318*1.55, 2)</f>
      </c>
      <c r="O318" s="33">
        <f>ROUND(H318*1.65, 2)</f>
      </c>
      <c r="P318" s="33">
        <f>SUM(I318:O318)</f>
      </c>
      <c r="Q318" s="33">
        <f>ROUND(H318*1.5, 2)</f>
      </c>
      <c r="R318" s="33">
        <f>ROUND(H318*2.0, 2)</f>
      </c>
      <c r="S318" s="14">
        <f>IF(F318&lt;=R318, "TRIGGER INDENT", "STOCK HEALTHY")</f>
      </c>
      <c r="T318" s="33">
        <f>IF(F318&lt;=R318, ROUND(MAX(H318, (I318+Q318)-F318), 2), 0)</f>
      </c>
    </row>
    <row r="319" ht="20" customHeight="1" spans="1:20" x14ac:dyDescent="0.25">
      <c r="A319" s="12" t="s">
        <v>803</v>
      </c>
      <c r="B319" s="12" t="s">
        <v>804</v>
      </c>
      <c r="C319" s="12" t="s">
        <v>170</v>
      </c>
      <c r="D319" s="12" t="s">
        <v>173</v>
      </c>
      <c r="E319" s="30">
        <v>50</v>
      </c>
      <c r="F319" s="31">
        <v>112</v>
      </c>
      <c r="G319" s="12" t="s">
        <v>142</v>
      </c>
      <c r="H319" s="31">
        <v>13.44</v>
      </c>
      <c r="I319" s="31">
        <f>ROUND(H319*1.0, 2)</f>
      </c>
      <c r="J319" s="31">
        <f>ROUND(H319*0.95, 2)</f>
      </c>
      <c r="K319" s="31">
        <f>ROUND(H319*0.95, 2)</f>
      </c>
      <c r="L319" s="31">
        <f>ROUND(H319*1.05, 2)</f>
      </c>
      <c r="M319" s="31">
        <f>ROUND(H319*1.25, 2)</f>
      </c>
      <c r="N319" s="31">
        <f>ROUND(H319*1.55, 2)</f>
      </c>
      <c r="O319" s="31">
        <f>ROUND(H319*1.65, 2)</f>
      </c>
      <c r="P319" s="31">
        <f>SUM(I319:O319)</f>
      </c>
      <c r="Q319" s="31">
        <f>ROUND(H319*1.5, 2)</f>
      </c>
      <c r="R319" s="31">
        <f>ROUND(H319*2.0, 2)</f>
      </c>
      <c r="S319" s="12">
        <f>IF(F319&lt;=R319, "TRIGGER INDENT", "STOCK HEALTHY")</f>
      </c>
      <c r="T319" s="31">
        <f>IF(F319&lt;=R319, ROUND(MAX(H319, (I319+Q319)-F319), 2), 0)</f>
      </c>
    </row>
    <row r="320" ht="20" customHeight="1" spans="1:20" x14ac:dyDescent="0.25">
      <c r="A320" s="14" t="s">
        <v>805</v>
      </c>
      <c r="B320" s="14" t="s">
        <v>806</v>
      </c>
      <c r="C320" s="14" t="s">
        <v>170</v>
      </c>
      <c r="D320" s="14" t="s">
        <v>153</v>
      </c>
      <c r="E320" s="32">
        <v>110</v>
      </c>
      <c r="F320" s="33">
        <v>556.7999</v>
      </c>
      <c r="G320" s="14" t="s">
        <v>154</v>
      </c>
      <c r="H320" s="33">
        <v>44.54</v>
      </c>
      <c r="I320" s="33">
        <f>ROUND(H320*1.0, 2)</f>
      </c>
      <c r="J320" s="33">
        <f>ROUND(H320*0.95, 2)</f>
      </c>
      <c r="K320" s="33">
        <f>ROUND(H320*0.95, 2)</f>
      </c>
      <c r="L320" s="33">
        <f>ROUND(H320*1.05, 2)</f>
      </c>
      <c r="M320" s="33">
        <f>ROUND(H320*1.25, 2)</f>
      </c>
      <c r="N320" s="33">
        <f>ROUND(H320*1.55, 2)</f>
      </c>
      <c r="O320" s="33">
        <f>ROUND(H320*1.65, 2)</f>
      </c>
      <c r="P320" s="33">
        <f>SUM(I320:O320)</f>
      </c>
      <c r="Q320" s="33">
        <f>ROUND(H320*1.5, 2)</f>
      </c>
      <c r="R320" s="33">
        <f>ROUND(H320*2.0, 2)</f>
      </c>
      <c r="S320" s="14">
        <f>IF(F320&lt;=R320, "TRIGGER INDENT", "STOCK HEALTHY")</f>
      </c>
      <c r="T320" s="33">
        <f>IF(F320&lt;=R320, ROUND(MAX(H320, (I320+Q320)-F320), 2), 0)</f>
      </c>
    </row>
    <row r="321" ht="20" customHeight="1" spans="1:20" x14ac:dyDescent="0.25">
      <c r="A321" s="12" t="s">
        <v>807</v>
      </c>
      <c r="B321" s="12" t="s">
        <v>808</v>
      </c>
      <c r="C321" s="12" t="s">
        <v>170</v>
      </c>
      <c r="D321" s="12" t="s">
        <v>198</v>
      </c>
      <c r="E321" s="30">
        <v>161.19000244140625</v>
      </c>
      <c r="F321" s="31">
        <v>1.5100002</v>
      </c>
      <c r="G321" s="12" t="s">
        <v>149</v>
      </c>
      <c r="H321" s="31">
        <v>1</v>
      </c>
      <c r="I321" s="31">
        <f>ROUND(H321*1.0, 2)</f>
      </c>
      <c r="J321" s="31">
        <f>ROUND(H321*0.95, 2)</f>
      </c>
      <c r="K321" s="31">
        <f>ROUND(H321*0.95, 2)</f>
      </c>
      <c r="L321" s="31">
        <f>ROUND(H321*1.05, 2)</f>
      </c>
      <c r="M321" s="31">
        <f>ROUND(H321*1.25, 2)</f>
      </c>
      <c r="N321" s="31">
        <f>ROUND(H321*1.55, 2)</f>
      </c>
      <c r="O321" s="31">
        <f>ROUND(H321*1.65, 2)</f>
      </c>
      <c r="P321" s="31">
        <f>SUM(I321:O321)</f>
      </c>
      <c r="Q321" s="31">
        <f>ROUND(H321*1.5, 2)</f>
      </c>
      <c r="R321" s="31">
        <f>ROUND(H321*2.0, 2)</f>
      </c>
      <c r="S321" s="12">
        <f>IF(F321&lt;=R321, "TRIGGER INDENT", "STOCK HEALTHY")</f>
      </c>
      <c r="T321" s="31">
        <f>IF(F321&lt;=R321, ROUND(MAX(H321, (I321+Q321)-F321), 2), 0)</f>
      </c>
    </row>
    <row r="322" ht="20" customHeight="1" spans="1:20" x14ac:dyDescent="0.25">
      <c r="A322" s="14" t="s">
        <v>809</v>
      </c>
      <c r="B322" s="14" t="s">
        <v>810</v>
      </c>
      <c r="C322" s="14" t="s">
        <v>176</v>
      </c>
      <c r="D322" s="14" t="s">
        <v>153</v>
      </c>
      <c r="E322" s="32">
        <v>641.239990234375</v>
      </c>
      <c r="F322" s="33">
        <v>118.40002</v>
      </c>
      <c r="G322" s="14" t="s">
        <v>142</v>
      </c>
      <c r="H322" s="33">
        <v>14.21</v>
      </c>
      <c r="I322" s="33">
        <f>ROUND(H322*1.0, 2)</f>
      </c>
      <c r="J322" s="33">
        <f>ROUND(H322*0.95, 2)</f>
      </c>
      <c r="K322" s="33">
        <f>ROUND(H322*0.95, 2)</f>
      </c>
      <c r="L322" s="33">
        <f>ROUND(H322*1.05, 2)</f>
      </c>
      <c r="M322" s="33">
        <f>ROUND(H322*1.25, 2)</f>
      </c>
      <c r="N322" s="33">
        <f>ROUND(H322*1.55, 2)</f>
      </c>
      <c r="O322" s="33">
        <f>ROUND(H322*1.65, 2)</f>
      </c>
      <c r="P322" s="33">
        <f>SUM(I322:O322)</f>
      </c>
      <c r="Q322" s="33">
        <f>ROUND(H322*1.5, 2)</f>
      </c>
      <c r="R322" s="33">
        <f>ROUND(H322*2.0, 2)</f>
      </c>
      <c r="S322" s="14">
        <f>IF(F322&lt;=R322, "TRIGGER INDENT", "STOCK HEALTHY")</f>
      </c>
      <c r="T322" s="33">
        <f>IF(F322&lt;=R322, ROUND(MAX(H322, (I322+Q322)-F322), 2), 0)</f>
      </c>
    </row>
    <row r="323" ht="20" customHeight="1" spans="1:20" x14ac:dyDescent="0.25">
      <c r="A323" s="12" t="s">
        <v>811</v>
      </c>
      <c r="B323" s="12" t="s">
        <v>812</v>
      </c>
      <c r="C323" s="12" t="s">
        <v>170</v>
      </c>
      <c r="D323" s="12" t="s">
        <v>198</v>
      </c>
      <c r="E323" s="30">
        <v>25.239999771118164</v>
      </c>
      <c r="F323" s="31">
        <v>1488</v>
      </c>
      <c r="G323" s="12" t="s">
        <v>142</v>
      </c>
      <c r="H323" s="31">
        <v>74.4</v>
      </c>
      <c r="I323" s="31">
        <f>ROUND(H323*1.0, 2)</f>
      </c>
      <c r="J323" s="31">
        <f>ROUND(H323*0.95, 2)</f>
      </c>
      <c r="K323" s="31">
        <f>ROUND(H323*0.95, 2)</f>
      </c>
      <c r="L323" s="31">
        <f>ROUND(H323*1.05, 2)</f>
      </c>
      <c r="M323" s="31">
        <f>ROUND(H323*1.25, 2)</f>
      </c>
      <c r="N323" s="31">
        <f>ROUND(H323*1.55, 2)</f>
      </c>
      <c r="O323" s="31">
        <f>ROUND(H323*1.65, 2)</f>
      </c>
      <c r="P323" s="31">
        <f>SUM(I323:O323)</f>
      </c>
      <c r="Q323" s="31">
        <f>ROUND(H323*1.5, 2)</f>
      </c>
      <c r="R323" s="31">
        <f>ROUND(H323*2.0, 2)</f>
      </c>
      <c r="S323" s="12">
        <f>IF(F323&lt;=R323, "TRIGGER INDENT", "STOCK HEALTHY")</f>
      </c>
      <c r="T323" s="31">
        <f>IF(F323&lt;=R323, ROUND(MAX(H323, (I323+Q323)-F323), 2), 0)</f>
      </c>
    </row>
    <row r="324" ht="20" customHeight="1" spans="1:20" x14ac:dyDescent="0.25">
      <c r="A324" s="14" t="s">
        <v>813</v>
      </c>
      <c r="B324" s="14" t="s">
        <v>814</v>
      </c>
      <c r="C324" s="14" t="s">
        <v>137</v>
      </c>
      <c r="D324" s="14" t="s">
        <v>198</v>
      </c>
      <c r="E324" s="32">
        <v>22</v>
      </c>
      <c r="F324" s="33">
        <v>384</v>
      </c>
      <c r="G324" s="14" t="s">
        <v>154</v>
      </c>
      <c r="H324" s="33">
        <v>30.72</v>
      </c>
      <c r="I324" s="33">
        <f>ROUND(H324*1.0, 2)</f>
      </c>
      <c r="J324" s="33">
        <f>ROUND(H324*0.95, 2)</f>
      </c>
      <c r="K324" s="33">
        <f>ROUND(H324*0.95, 2)</f>
      </c>
      <c r="L324" s="33">
        <f>ROUND(H324*1.05, 2)</f>
      </c>
      <c r="M324" s="33">
        <f>ROUND(H324*1.25, 2)</f>
      </c>
      <c r="N324" s="33">
        <f>ROUND(H324*1.55, 2)</f>
      </c>
      <c r="O324" s="33">
        <f>ROUND(H324*1.65, 2)</f>
      </c>
      <c r="P324" s="33">
        <f>SUM(I324:O324)</f>
      </c>
      <c r="Q324" s="33">
        <f>ROUND(H324*1.5, 2)</f>
      </c>
      <c r="R324" s="33">
        <f>ROUND(H324*2.0, 2)</f>
      </c>
      <c r="S324" s="14">
        <f>IF(F324&lt;=R324, "TRIGGER INDENT", "STOCK HEALTHY")</f>
      </c>
      <c r="T324" s="33">
        <f>IF(F324&lt;=R324, ROUND(MAX(H324, (I324+Q324)-F324), 2), 0)</f>
      </c>
    </row>
    <row r="325" ht="20" customHeight="1" spans="1:20" x14ac:dyDescent="0.25">
      <c r="A325" s="12" t="s">
        <v>815</v>
      </c>
      <c r="B325" s="12" t="s">
        <v>816</v>
      </c>
      <c r="C325" s="12" t="s">
        <v>137</v>
      </c>
      <c r="D325" s="12" t="s">
        <v>198</v>
      </c>
      <c r="E325" s="30">
        <v>18</v>
      </c>
      <c r="F325" s="31">
        <v>1.5100002</v>
      </c>
      <c r="G325" s="12" t="s">
        <v>160</v>
      </c>
      <c r="H325" s="31">
        <v>1</v>
      </c>
      <c r="I325" s="31">
        <f>ROUND(H325*1.0, 2)</f>
      </c>
      <c r="J325" s="31">
        <f>ROUND(H325*0.95, 2)</f>
      </c>
      <c r="K325" s="31">
        <f>ROUND(H325*0.95, 2)</f>
      </c>
      <c r="L325" s="31">
        <f>ROUND(H325*1.05, 2)</f>
      </c>
      <c r="M325" s="31">
        <f>ROUND(H325*1.25, 2)</f>
      </c>
      <c r="N325" s="31">
        <f>ROUND(H325*1.55, 2)</f>
      </c>
      <c r="O325" s="31">
        <f>ROUND(H325*1.65, 2)</f>
      </c>
      <c r="P325" s="31">
        <f>SUM(I325:O325)</f>
      </c>
      <c r="Q325" s="31">
        <f>ROUND(H325*1.5, 2)</f>
      </c>
      <c r="R325" s="31">
        <f>ROUND(H325*2.0, 2)</f>
      </c>
      <c r="S325" s="12">
        <f>IF(F325&lt;=R325, "TRIGGER INDENT", "STOCK HEALTHY")</f>
      </c>
      <c r="T325" s="31">
        <f>IF(F325&lt;=R325, ROUND(MAX(H325, (I325+Q325)-F325), 2), 0)</f>
      </c>
    </row>
    <row r="326" ht="20" customHeight="1" spans="1:20" x14ac:dyDescent="0.25">
      <c r="A326" s="14" t="s">
        <v>817</v>
      </c>
      <c r="B326" s="14" t="s">
        <v>818</v>
      </c>
      <c r="C326" s="14" t="s">
        <v>170</v>
      </c>
      <c r="D326" s="14" t="s">
        <v>153</v>
      </c>
      <c r="E326" s="32">
        <v>320</v>
      </c>
      <c r="F326" s="33">
        <v>326.39996</v>
      </c>
      <c r="G326" s="14" t="s">
        <v>293</v>
      </c>
      <c r="H326" s="33">
        <v>26.11</v>
      </c>
      <c r="I326" s="33">
        <f>ROUND(H326*1.0, 2)</f>
      </c>
      <c r="J326" s="33">
        <f>ROUND(H326*0.95, 2)</f>
      </c>
      <c r="K326" s="33">
        <f>ROUND(H326*0.95, 2)</f>
      </c>
      <c r="L326" s="33">
        <f>ROUND(H326*1.05, 2)</f>
      </c>
      <c r="M326" s="33">
        <f>ROUND(H326*1.25, 2)</f>
      </c>
      <c r="N326" s="33">
        <f>ROUND(H326*1.55, 2)</f>
      </c>
      <c r="O326" s="33">
        <f>ROUND(H326*1.65, 2)</f>
      </c>
      <c r="P326" s="33">
        <f>SUM(I326:O326)</f>
      </c>
      <c r="Q326" s="33">
        <f>ROUND(H326*1.5, 2)</f>
      </c>
      <c r="R326" s="33">
        <f>ROUND(H326*2.0, 2)</f>
      </c>
      <c r="S326" s="14">
        <f>IF(F326&lt;=R326, "TRIGGER INDENT", "STOCK HEALTHY")</f>
      </c>
      <c r="T326" s="33">
        <f>IF(F326&lt;=R326, ROUND(MAX(H326, (I326+Q326)-F326), 2), 0)</f>
      </c>
    </row>
    <row r="327" ht="20" customHeight="1" spans="1:20" x14ac:dyDescent="0.25">
      <c r="A327" s="12" t="s">
        <v>819</v>
      </c>
      <c r="B327" s="12" t="s">
        <v>820</v>
      </c>
      <c r="C327" s="12" t="s">
        <v>170</v>
      </c>
      <c r="D327" s="12" t="s">
        <v>153</v>
      </c>
      <c r="E327" s="30">
        <v>20</v>
      </c>
      <c r="F327" s="31">
        <v>800</v>
      </c>
      <c r="G327" s="12" t="s">
        <v>149</v>
      </c>
      <c r="H327" s="31">
        <v>64</v>
      </c>
      <c r="I327" s="31">
        <f>ROUND(H327*1.0, 2)</f>
      </c>
      <c r="J327" s="31">
        <f>ROUND(H327*0.95, 2)</f>
      </c>
      <c r="K327" s="31">
        <f>ROUND(H327*0.95, 2)</f>
      </c>
      <c r="L327" s="31">
        <f>ROUND(H327*1.05, 2)</f>
      </c>
      <c r="M327" s="31">
        <f>ROUND(H327*1.25, 2)</f>
      </c>
      <c r="N327" s="31">
        <f>ROUND(H327*1.55, 2)</f>
      </c>
      <c r="O327" s="31">
        <f>ROUND(H327*1.65, 2)</f>
      </c>
      <c r="P327" s="31">
        <f>SUM(I327:O327)</f>
      </c>
      <c r="Q327" s="31">
        <f>ROUND(H327*1.5, 2)</f>
      </c>
      <c r="R327" s="31">
        <f>ROUND(H327*2.0, 2)</f>
      </c>
      <c r="S327" s="12">
        <f>IF(F327&lt;=R327, "TRIGGER INDENT", "STOCK HEALTHY")</f>
      </c>
      <c r="T327" s="31">
        <f>IF(F327&lt;=R327, ROUND(MAX(H327, (I327+Q327)-F327), 2), 0)</f>
      </c>
    </row>
    <row r="328" ht="20" customHeight="1" spans="1:20" x14ac:dyDescent="0.25">
      <c r="A328" s="14" t="s">
        <v>821</v>
      </c>
      <c r="B328" s="14" t="s">
        <v>822</v>
      </c>
      <c r="C328" s="14" t="s">
        <v>170</v>
      </c>
      <c r="D328" s="14" t="s">
        <v>153</v>
      </c>
      <c r="E328" s="32">
        <v>20</v>
      </c>
      <c r="F328" s="33">
        <v>800</v>
      </c>
      <c r="G328" s="14" t="s">
        <v>149</v>
      </c>
      <c r="H328" s="33">
        <v>64</v>
      </c>
      <c r="I328" s="33">
        <f>ROUND(H328*1.0, 2)</f>
      </c>
      <c r="J328" s="33">
        <f>ROUND(H328*0.95, 2)</f>
      </c>
      <c r="K328" s="33">
        <f>ROUND(H328*0.95, 2)</f>
      </c>
      <c r="L328" s="33">
        <f>ROUND(H328*1.05, 2)</f>
      </c>
      <c r="M328" s="33">
        <f>ROUND(H328*1.25, 2)</f>
      </c>
      <c r="N328" s="33">
        <f>ROUND(H328*1.55, 2)</f>
      </c>
      <c r="O328" s="33">
        <f>ROUND(H328*1.65, 2)</f>
      </c>
      <c r="P328" s="33">
        <f>SUM(I328:O328)</f>
      </c>
      <c r="Q328" s="33">
        <f>ROUND(H328*1.5, 2)</f>
      </c>
      <c r="R328" s="33">
        <f>ROUND(H328*2.0, 2)</f>
      </c>
      <c r="S328" s="14">
        <f>IF(F328&lt;=R328, "TRIGGER INDENT", "STOCK HEALTHY")</f>
      </c>
      <c r="T328" s="33">
        <f>IF(F328&lt;=R328, ROUND(MAX(H328, (I328+Q328)-F328), 2), 0)</f>
      </c>
    </row>
    <row r="329" ht="20" customHeight="1" spans="1:20" x14ac:dyDescent="0.25">
      <c r="A329" s="12" t="s">
        <v>823</v>
      </c>
      <c r="B329" s="12" t="s">
        <v>824</v>
      </c>
      <c r="C329" s="12" t="s">
        <v>170</v>
      </c>
      <c r="D329" s="12" t="s">
        <v>153</v>
      </c>
      <c r="E329" s="30">
        <v>20</v>
      </c>
      <c r="F329" s="31">
        <v>800</v>
      </c>
      <c r="G329" s="12" t="s">
        <v>149</v>
      </c>
      <c r="H329" s="31">
        <v>64</v>
      </c>
      <c r="I329" s="31">
        <f>ROUND(H329*1.0, 2)</f>
      </c>
      <c r="J329" s="31">
        <f>ROUND(H329*0.95, 2)</f>
      </c>
      <c r="K329" s="31">
        <f>ROUND(H329*0.95, 2)</f>
      </c>
      <c r="L329" s="31">
        <f>ROUND(H329*1.05, 2)</f>
      </c>
      <c r="M329" s="31">
        <f>ROUND(H329*1.25, 2)</f>
      </c>
      <c r="N329" s="31">
        <f>ROUND(H329*1.55, 2)</f>
      </c>
      <c r="O329" s="31">
        <f>ROUND(H329*1.65, 2)</f>
      </c>
      <c r="P329" s="31">
        <f>SUM(I329:O329)</f>
      </c>
      <c r="Q329" s="31">
        <f>ROUND(H329*1.5, 2)</f>
      </c>
      <c r="R329" s="31">
        <f>ROUND(H329*2.0, 2)</f>
      </c>
      <c r="S329" s="12">
        <f>IF(F329&lt;=R329, "TRIGGER INDENT", "STOCK HEALTHY")</f>
      </c>
      <c r="T329" s="31">
        <f>IF(F329&lt;=R329, ROUND(MAX(H329, (I329+Q329)-F329), 2), 0)</f>
      </c>
    </row>
    <row r="330" ht="20" customHeight="1" spans="1:20" x14ac:dyDescent="0.25">
      <c r="A330" s="14" t="s">
        <v>825</v>
      </c>
      <c r="B330" s="14" t="s">
        <v>826</v>
      </c>
      <c r="C330" s="14" t="s">
        <v>170</v>
      </c>
      <c r="D330" s="14" t="s">
        <v>153</v>
      </c>
      <c r="E330" s="32">
        <v>20</v>
      </c>
      <c r="F330" s="33">
        <v>800</v>
      </c>
      <c r="G330" s="14" t="s">
        <v>149</v>
      </c>
      <c r="H330" s="33">
        <v>64</v>
      </c>
      <c r="I330" s="33">
        <f>ROUND(H330*1.0, 2)</f>
      </c>
      <c r="J330" s="33">
        <f>ROUND(H330*0.95, 2)</f>
      </c>
      <c r="K330" s="33">
        <f>ROUND(H330*0.95, 2)</f>
      </c>
      <c r="L330" s="33">
        <f>ROUND(H330*1.05, 2)</f>
      </c>
      <c r="M330" s="33">
        <f>ROUND(H330*1.25, 2)</f>
      </c>
      <c r="N330" s="33">
        <f>ROUND(H330*1.55, 2)</f>
      </c>
      <c r="O330" s="33">
        <f>ROUND(H330*1.65, 2)</f>
      </c>
      <c r="P330" s="33">
        <f>SUM(I330:O330)</f>
      </c>
      <c r="Q330" s="33">
        <f>ROUND(H330*1.5, 2)</f>
      </c>
      <c r="R330" s="33">
        <f>ROUND(H330*2.0, 2)</f>
      </c>
      <c r="S330" s="14">
        <f>IF(F330&lt;=R330, "TRIGGER INDENT", "STOCK HEALTHY")</f>
      </c>
      <c r="T330" s="33">
        <f>IF(F330&lt;=R330, ROUND(MAX(H330, (I330+Q330)-F330), 2), 0)</f>
      </c>
    </row>
    <row r="331" ht="20" customHeight="1" spans="1:20" x14ac:dyDescent="0.25">
      <c r="A331" s="12" t="s">
        <v>827</v>
      </c>
      <c r="B331" s="12" t="s">
        <v>828</v>
      </c>
      <c r="C331" s="12" t="s">
        <v>170</v>
      </c>
      <c r="D331" s="12" t="s">
        <v>153</v>
      </c>
      <c r="E331" s="30">
        <v>20</v>
      </c>
      <c r="F331" s="31">
        <v>50</v>
      </c>
      <c r="G331" s="12" t="s">
        <v>149</v>
      </c>
      <c r="H331" s="31">
        <v>10</v>
      </c>
      <c r="I331" s="31">
        <f>ROUND(H331*1.0, 2)</f>
      </c>
      <c r="J331" s="31">
        <f>ROUND(H331*0.95, 2)</f>
      </c>
      <c r="K331" s="31">
        <f>ROUND(H331*0.95, 2)</f>
      </c>
      <c r="L331" s="31">
        <f>ROUND(H331*1.05, 2)</f>
      </c>
      <c r="M331" s="31">
        <f>ROUND(H331*1.25, 2)</f>
      </c>
      <c r="N331" s="31">
        <f>ROUND(H331*1.55, 2)</f>
      </c>
      <c r="O331" s="31">
        <f>ROUND(H331*1.65, 2)</f>
      </c>
      <c r="P331" s="31">
        <f>SUM(I331:O331)</f>
      </c>
      <c r="Q331" s="31">
        <f>ROUND(H331*1.5, 2)</f>
      </c>
      <c r="R331" s="31">
        <f>ROUND(H331*2.0, 2)</f>
      </c>
      <c r="S331" s="12">
        <f>IF(F331&lt;=R331, "TRIGGER INDENT", "STOCK HEALTHY")</f>
      </c>
      <c r="T331" s="31">
        <f>IF(F331&lt;=R331, ROUND(MAX(H331, (I331+Q331)-F331), 2), 0)</f>
      </c>
    </row>
    <row r="332" ht="20" customHeight="1" spans="1:20" x14ac:dyDescent="0.25">
      <c r="A332" s="14" t="s">
        <v>829</v>
      </c>
      <c r="B332" s="14" t="s">
        <v>830</v>
      </c>
      <c r="C332" s="14" t="s">
        <v>170</v>
      </c>
      <c r="D332" s="14" t="s">
        <v>153</v>
      </c>
      <c r="E332" s="32">
        <v>20</v>
      </c>
      <c r="F332" s="33">
        <v>50</v>
      </c>
      <c r="G332" s="14" t="s">
        <v>149</v>
      </c>
      <c r="H332" s="33">
        <v>10</v>
      </c>
      <c r="I332" s="33">
        <f>ROUND(H332*1.0, 2)</f>
      </c>
      <c r="J332" s="33">
        <f>ROUND(H332*0.95, 2)</f>
      </c>
      <c r="K332" s="33">
        <f>ROUND(H332*0.95, 2)</f>
      </c>
      <c r="L332" s="33">
        <f>ROUND(H332*1.05, 2)</f>
      </c>
      <c r="M332" s="33">
        <f>ROUND(H332*1.25, 2)</f>
      </c>
      <c r="N332" s="33">
        <f>ROUND(H332*1.55, 2)</f>
      </c>
      <c r="O332" s="33">
        <f>ROUND(H332*1.65, 2)</f>
      </c>
      <c r="P332" s="33">
        <f>SUM(I332:O332)</f>
      </c>
      <c r="Q332" s="33">
        <f>ROUND(H332*1.5, 2)</f>
      </c>
      <c r="R332" s="33">
        <f>ROUND(H332*2.0, 2)</f>
      </c>
      <c r="S332" s="14">
        <f>IF(F332&lt;=R332, "TRIGGER INDENT", "STOCK HEALTHY")</f>
      </c>
      <c r="T332" s="33">
        <f>IF(F332&lt;=R332, ROUND(MAX(H332, (I332+Q332)-F332), 2), 0)</f>
      </c>
    </row>
    <row r="333" ht="20" customHeight="1" spans="1:20" x14ac:dyDescent="0.25">
      <c r="A333" s="12" t="s">
        <v>831</v>
      </c>
      <c r="B333" s="12" t="s">
        <v>832</v>
      </c>
      <c r="C333" s="12" t="s">
        <v>170</v>
      </c>
      <c r="D333" s="12" t="s">
        <v>153</v>
      </c>
      <c r="E333" s="30">
        <v>20</v>
      </c>
      <c r="F333" s="31">
        <v>50</v>
      </c>
      <c r="G333" s="12" t="s">
        <v>149</v>
      </c>
      <c r="H333" s="31">
        <v>10</v>
      </c>
      <c r="I333" s="31">
        <f>ROUND(H333*1.0, 2)</f>
      </c>
      <c r="J333" s="31">
        <f>ROUND(H333*0.95, 2)</f>
      </c>
      <c r="K333" s="31">
        <f>ROUND(H333*0.95, 2)</f>
      </c>
      <c r="L333" s="31">
        <f>ROUND(H333*1.05, 2)</f>
      </c>
      <c r="M333" s="31">
        <f>ROUND(H333*1.25, 2)</f>
      </c>
      <c r="N333" s="31">
        <f>ROUND(H333*1.55, 2)</f>
      </c>
      <c r="O333" s="31">
        <f>ROUND(H333*1.65, 2)</f>
      </c>
      <c r="P333" s="31">
        <f>SUM(I333:O333)</f>
      </c>
      <c r="Q333" s="31">
        <f>ROUND(H333*1.5, 2)</f>
      </c>
      <c r="R333" s="31">
        <f>ROUND(H333*2.0, 2)</f>
      </c>
      <c r="S333" s="12">
        <f>IF(F333&lt;=R333, "TRIGGER INDENT", "STOCK HEALTHY")</f>
      </c>
      <c r="T333" s="31">
        <f>IF(F333&lt;=R333, ROUND(MAX(H333, (I333+Q333)-F333), 2), 0)</f>
      </c>
    </row>
    <row r="334" ht="20" customHeight="1" spans="1:20" x14ac:dyDescent="0.25">
      <c r="A334" s="14" t="s">
        <v>833</v>
      </c>
      <c r="B334" s="14" t="s">
        <v>834</v>
      </c>
      <c r="C334" s="14" t="s">
        <v>170</v>
      </c>
      <c r="D334" s="14" t="s">
        <v>153</v>
      </c>
      <c r="E334" s="32">
        <v>20</v>
      </c>
      <c r="F334" s="33">
        <v>50</v>
      </c>
      <c r="G334" s="14" t="s">
        <v>149</v>
      </c>
      <c r="H334" s="33">
        <v>10</v>
      </c>
      <c r="I334" s="33">
        <f>ROUND(H334*1.0, 2)</f>
      </c>
      <c r="J334" s="33">
        <f>ROUND(H334*0.95, 2)</f>
      </c>
      <c r="K334" s="33">
        <f>ROUND(H334*0.95, 2)</f>
      </c>
      <c r="L334" s="33">
        <f>ROUND(H334*1.05, 2)</f>
      </c>
      <c r="M334" s="33">
        <f>ROUND(H334*1.25, 2)</f>
      </c>
      <c r="N334" s="33">
        <f>ROUND(H334*1.55, 2)</f>
      </c>
      <c r="O334" s="33">
        <f>ROUND(H334*1.65, 2)</f>
      </c>
      <c r="P334" s="33">
        <f>SUM(I334:O334)</f>
      </c>
      <c r="Q334" s="33">
        <f>ROUND(H334*1.5, 2)</f>
      </c>
      <c r="R334" s="33">
        <f>ROUND(H334*2.0, 2)</f>
      </c>
      <c r="S334" s="14">
        <f>IF(F334&lt;=R334, "TRIGGER INDENT", "STOCK HEALTHY")</f>
      </c>
      <c r="T334" s="33">
        <f>IF(F334&lt;=R334, ROUND(MAX(H334, (I334+Q334)-F334), 2), 0)</f>
      </c>
    </row>
    <row r="335" ht="20" customHeight="1" spans="1:20" x14ac:dyDescent="0.25">
      <c r="A335" s="12" t="s">
        <v>835</v>
      </c>
      <c r="B335" s="12" t="s">
        <v>836</v>
      </c>
      <c r="C335" s="12" t="s">
        <v>170</v>
      </c>
      <c r="D335" s="12" t="s">
        <v>153</v>
      </c>
      <c r="E335" s="30">
        <v>20</v>
      </c>
      <c r="F335" s="31">
        <v>50</v>
      </c>
      <c r="G335" s="12" t="s">
        <v>149</v>
      </c>
      <c r="H335" s="31">
        <v>10</v>
      </c>
      <c r="I335" s="31">
        <f>ROUND(H335*1.0, 2)</f>
      </c>
      <c r="J335" s="31">
        <f>ROUND(H335*0.95, 2)</f>
      </c>
      <c r="K335" s="31">
        <f>ROUND(H335*0.95, 2)</f>
      </c>
      <c r="L335" s="31">
        <f>ROUND(H335*1.05, 2)</f>
      </c>
      <c r="M335" s="31">
        <f>ROUND(H335*1.25, 2)</f>
      </c>
      <c r="N335" s="31">
        <f>ROUND(H335*1.55, 2)</f>
      </c>
      <c r="O335" s="31">
        <f>ROUND(H335*1.65, 2)</f>
      </c>
      <c r="P335" s="31">
        <f>SUM(I335:O335)</f>
      </c>
      <c r="Q335" s="31">
        <f>ROUND(H335*1.5, 2)</f>
      </c>
      <c r="R335" s="31">
        <f>ROUND(H335*2.0, 2)</f>
      </c>
      <c r="S335" s="12">
        <f>IF(F335&lt;=R335, "TRIGGER INDENT", "STOCK HEALTHY")</f>
      </c>
      <c r="T335" s="31">
        <f>IF(F335&lt;=R335, ROUND(MAX(H335, (I335+Q335)-F335), 2), 0)</f>
      </c>
    </row>
    <row r="336" ht="20" customHeight="1" spans="1:20" x14ac:dyDescent="0.25">
      <c r="A336" s="14" t="s">
        <v>837</v>
      </c>
      <c r="B336" s="14" t="s">
        <v>838</v>
      </c>
      <c r="C336" s="14" t="s">
        <v>170</v>
      </c>
      <c r="D336" s="14" t="s">
        <v>153</v>
      </c>
      <c r="E336" s="32">
        <v>20</v>
      </c>
      <c r="F336" s="33">
        <v>50</v>
      </c>
      <c r="G336" s="14" t="s">
        <v>149</v>
      </c>
      <c r="H336" s="33">
        <v>10</v>
      </c>
      <c r="I336" s="33">
        <f>ROUND(H336*1.0, 2)</f>
      </c>
      <c r="J336" s="33">
        <f>ROUND(H336*0.95, 2)</f>
      </c>
      <c r="K336" s="33">
        <f>ROUND(H336*0.95, 2)</f>
      </c>
      <c r="L336" s="33">
        <f>ROUND(H336*1.05, 2)</f>
      </c>
      <c r="M336" s="33">
        <f>ROUND(H336*1.25, 2)</f>
      </c>
      <c r="N336" s="33">
        <f>ROUND(H336*1.55, 2)</f>
      </c>
      <c r="O336" s="33">
        <f>ROUND(H336*1.65, 2)</f>
      </c>
      <c r="P336" s="33">
        <f>SUM(I336:O336)</f>
      </c>
      <c r="Q336" s="33">
        <f>ROUND(H336*1.5, 2)</f>
      </c>
      <c r="R336" s="33">
        <f>ROUND(H336*2.0, 2)</f>
      </c>
      <c r="S336" s="14">
        <f>IF(F336&lt;=R336, "TRIGGER INDENT", "STOCK HEALTHY")</f>
      </c>
      <c r="T336" s="33">
        <f>IF(F336&lt;=R336, ROUND(MAX(H336, (I336+Q336)-F336), 2), 0)</f>
      </c>
    </row>
    <row r="337" ht="20" customHeight="1" spans="1:20" x14ac:dyDescent="0.25">
      <c r="A337" s="12" t="s">
        <v>839</v>
      </c>
      <c r="B337" s="12" t="s">
        <v>840</v>
      </c>
      <c r="C337" s="12" t="s">
        <v>170</v>
      </c>
      <c r="D337" s="12" t="s">
        <v>153</v>
      </c>
      <c r="E337" s="30">
        <v>20</v>
      </c>
      <c r="F337" s="31">
        <v>50</v>
      </c>
      <c r="G337" s="12" t="s">
        <v>149</v>
      </c>
      <c r="H337" s="31">
        <v>10</v>
      </c>
      <c r="I337" s="31">
        <f>ROUND(H337*1.0, 2)</f>
      </c>
      <c r="J337" s="31">
        <f>ROUND(H337*0.95, 2)</f>
      </c>
      <c r="K337" s="31">
        <f>ROUND(H337*0.95, 2)</f>
      </c>
      <c r="L337" s="31">
        <f>ROUND(H337*1.05, 2)</f>
      </c>
      <c r="M337" s="31">
        <f>ROUND(H337*1.25, 2)</f>
      </c>
      <c r="N337" s="31">
        <f>ROUND(H337*1.55, 2)</f>
      </c>
      <c r="O337" s="31">
        <f>ROUND(H337*1.65, 2)</f>
      </c>
      <c r="P337" s="31">
        <f>SUM(I337:O337)</f>
      </c>
      <c r="Q337" s="31">
        <f>ROUND(H337*1.5, 2)</f>
      </c>
      <c r="R337" s="31">
        <f>ROUND(H337*2.0, 2)</f>
      </c>
      <c r="S337" s="12">
        <f>IF(F337&lt;=R337, "TRIGGER INDENT", "STOCK HEALTHY")</f>
      </c>
      <c r="T337" s="31">
        <f>IF(F337&lt;=R337, ROUND(MAX(H337, (I337+Q337)-F337), 2), 0)</f>
      </c>
    </row>
    <row r="338" ht="20" customHeight="1" spans="1:20" x14ac:dyDescent="0.25">
      <c r="A338" s="14" t="s">
        <v>841</v>
      </c>
      <c r="B338" s="14" t="s">
        <v>842</v>
      </c>
      <c r="C338" s="14" t="s">
        <v>170</v>
      </c>
      <c r="D338" s="14" t="s">
        <v>153</v>
      </c>
      <c r="E338" s="32">
        <v>20</v>
      </c>
      <c r="F338" s="33">
        <v>50</v>
      </c>
      <c r="G338" s="14" t="s">
        <v>149</v>
      </c>
      <c r="H338" s="33">
        <v>10</v>
      </c>
      <c r="I338" s="33">
        <f>ROUND(H338*1.0, 2)</f>
      </c>
      <c r="J338" s="33">
        <f>ROUND(H338*0.95, 2)</f>
      </c>
      <c r="K338" s="33">
        <f>ROUND(H338*0.95, 2)</f>
      </c>
      <c r="L338" s="33">
        <f>ROUND(H338*1.05, 2)</f>
      </c>
      <c r="M338" s="33">
        <f>ROUND(H338*1.25, 2)</f>
      </c>
      <c r="N338" s="33">
        <f>ROUND(H338*1.55, 2)</f>
      </c>
      <c r="O338" s="33">
        <f>ROUND(H338*1.65, 2)</f>
      </c>
      <c r="P338" s="33">
        <f>SUM(I338:O338)</f>
      </c>
      <c r="Q338" s="33">
        <f>ROUND(H338*1.5, 2)</f>
      </c>
      <c r="R338" s="33">
        <f>ROUND(H338*2.0, 2)</f>
      </c>
      <c r="S338" s="14">
        <f>IF(F338&lt;=R338, "TRIGGER INDENT", "STOCK HEALTHY")</f>
      </c>
      <c r="T338" s="33">
        <f>IF(F338&lt;=R338, ROUND(MAX(H338, (I338+Q338)-F338), 2), 0)</f>
      </c>
    </row>
    <row r="339" ht="20" customHeight="1" spans="1:20" x14ac:dyDescent="0.25">
      <c r="A339" s="12" t="s">
        <v>843</v>
      </c>
      <c r="B339" s="12" t="s">
        <v>844</v>
      </c>
      <c r="C339" s="12" t="s">
        <v>170</v>
      </c>
      <c r="D339" s="12" t="s">
        <v>153</v>
      </c>
      <c r="E339" s="30">
        <v>20</v>
      </c>
      <c r="F339" s="31">
        <v>50</v>
      </c>
      <c r="G339" s="12" t="s">
        <v>149</v>
      </c>
      <c r="H339" s="31">
        <v>10</v>
      </c>
      <c r="I339" s="31">
        <f>ROUND(H339*1.0, 2)</f>
      </c>
      <c r="J339" s="31">
        <f>ROUND(H339*0.95, 2)</f>
      </c>
      <c r="K339" s="31">
        <f>ROUND(H339*0.95, 2)</f>
      </c>
      <c r="L339" s="31">
        <f>ROUND(H339*1.05, 2)</f>
      </c>
      <c r="M339" s="31">
        <f>ROUND(H339*1.25, 2)</f>
      </c>
      <c r="N339" s="31">
        <f>ROUND(H339*1.55, 2)</f>
      </c>
      <c r="O339" s="31">
        <f>ROUND(H339*1.65, 2)</f>
      </c>
      <c r="P339" s="31">
        <f>SUM(I339:O339)</f>
      </c>
      <c r="Q339" s="31">
        <f>ROUND(H339*1.5, 2)</f>
      </c>
      <c r="R339" s="31">
        <f>ROUND(H339*2.0, 2)</f>
      </c>
      <c r="S339" s="12">
        <f>IF(F339&lt;=R339, "TRIGGER INDENT", "STOCK HEALTHY")</f>
      </c>
      <c r="T339" s="31">
        <f>IF(F339&lt;=R339, ROUND(MAX(H339, (I339+Q339)-F339), 2), 0)</f>
      </c>
    </row>
    <row r="340" ht="20" customHeight="1" spans="1:20" x14ac:dyDescent="0.25">
      <c r="A340" s="14" t="s">
        <v>845</v>
      </c>
      <c r="B340" s="14" t="s">
        <v>846</v>
      </c>
      <c r="C340" s="14" t="s">
        <v>170</v>
      </c>
      <c r="D340" s="14" t="s">
        <v>153</v>
      </c>
      <c r="E340" s="32">
        <v>20</v>
      </c>
      <c r="F340" s="33">
        <v>50</v>
      </c>
      <c r="G340" s="14" t="s">
        <v>149</v>
      </c>
      <c r="H340" s="33">
        <v>10</v>
      </c>
      <c r="I340" s="33">
        <f>ROUND(H340*1.0, 2)</f>
      </c>
      <c r="J340" s="33">
        <f>ROUND(H340*0.95, 2)</f>
      </c>
      <c r="K340" s="33">
        <f>ROUND(H340*0.95, 2)</f>
      </c>
      <c r="L340" s="33">
        <f>ROUND(H340*1.05, 2)</f>
      </c>
      <c r="M340" s="33">
        <f>ROUND(H340*1.25, 2)</f>
      </c>
      <c r="N340" s="33">
        <f>ROUND(H340*1.55, 2)</f>
      </c>
      <c r="O340" s="33">
        <f>ROUND(H340*1.65, 2)</f>
      </c>
      <c r="P340" s="33">
        <f>SUM(I340:O340)</f>
      </c>
      <c r="Q340" s="33">
        <f>ROUND(H340*1.5, 2)</f>
      </c>
      <c r="R340" s="33">
        <f>ROUND(H340*2.0, 2)</f>
      </c>
      <c r="S340" s="14">
        <f>IF(F340&lt;=R340, "TRIGGER INDENT", "STOCK HEALTHY")</f>
      </c>
      <c r="T340" s="33">
        <f>IF(F340&lt;=R340, ROUND(MAX(H340, (I340+Q340)-F340), 2), 0)</f>
      </c>
    </row>
    <row r="341" ht="20" customHeight="1" spans="1:20" x14ac:dyDescent="0.25">
      <c r="A341" s="12" t="s">
        <v>847</v>
      </c>
      <c r="B341" s="12" t="s">
        <v>848</v>
      </c>
      <c r="C341" s="12" t="s">
        <v>152</v>
      </c>
      <c r="D341" s="12" t="s">
        <v>153</v>
      </c>
      <c r="E341" s="30">
        <v>1895</v>
      </c>
      <c r="F341" s="31">
        <v>9.919999</v>
      </c>
      <c r="G341" s="12" t="s">
        <v>149</v>
      </c>
      <c r="H341" s="31">
        <v>1.98</v>
      </c>
      <c r="I341" s="31">
        <f>ROUND(H341*1.0, 2)</f>
      </c>
      <c r="J341" s="31">
        <f>ROUND(H341*0.95, 2)</f>
      </c>
      <c r="K341" s="31">
        <f>ROUND(H341*0.95, 2)</f>
      </c>
      <c r="L341" s="31">
        <f>ROUND(H341*1.05, 2)</f>
      </c>
      <c r="M341" s="31">
        <f>ROUND(H341*1.25, 2)</f>
      </c>
      <c r="N341" s="31">
        <f>ROUND(H341*1.55, 2)</f>
      </c>
      <c r="O341" s="31">
        <f>ROUND(H341*1.65, 2)</f>
      </c>
      <c r="P341" s="31">
        <f>SUM(I341:O341)</f>
      </c>
      <c r="Q341" s="31">
        <f>ROUND(H341*1.5, 2)</f>
      </c>
      <c r="R341" s="31">
        <f>ROUND(H341*2.0, 2)</f>
      </c>
      <c r="S341" s="12">
        <f>IF(F341&lt;=R341, "TRIGGER INDENT", "STOCK HEALTHY")</f>
      </c>
      <c r="T341" s="31">
        <f>IF(F341&lt;=R341, ROUND(MAX(H341, (I341+Q341)-F341), 2), 0)</f>
      </c>
    </row>
    <row r="342" ht="20" customHeight="1" spans="1:20" x14ac:dyDescent="0.25">
      <c r="A342" s="14" t="s">
        <v>849</v>
      </c>
      <c r="B342" s="14" t="s">
        <v>850</v>
      </c>
      <c r="C342" s="14" t="s">
        <v>152</v>
      </c>
      <c r="D342" s="14" t="s">
        <v>153</v>
      </c>
      <c r="E342" s="32">
        <v>148</v>
      </c>
      <c r="F342" s="33">
        <v>648</v>
      </c>
      <c r="G342" s="14" t="s">
        <v>142</v>
      </c>
      <c r="H342" s="33">
        <v>51.84</v>
      </c>
      <c r="I342" s="33">
        <f>ROUND(H342*1.0, 2)</f>
      </c>
      <c r="J342" s="33">
        <f>ROUND(H342*0.95, 2)</f>
      </c>
      <c r="K342" s="33">
        <f>ROUND(H342*0.95, 2)</f>
      </c>
      <c r="L342" s="33">
        <f>ROUND(H342*1.05, 2)</f>
      </c>
      <c r="M342" s="33">
        <f>ROUND(H342*1.25, 2)</f>
      </c>
      <c r="N342" s="33">
        <f>ROUND(H342*1.55, 2)</f>
      </c>
      <c r="O342" s="33">
        <f>ROUND(H342*1.65, 2)</f>
      </c>
      <c r="P342" s="33">
        <f>SUM(I342:O342)</f>
      </c>
      <c r="Q342" s="33">
        <f>ROUND(H342*1.5, 2)</f>
      </c>
      <c r="R342" s="33">
        <f>ROUND(H342*2.0, 2)</f>
      </c>
      <c r="S342" s="14">
        <f>IF(F342&lt;=R342, "TRIGGER INDENT", "STOCK HEALTHY")</f>
      </c>
      <c r="T342" s="33">
        <f>IF(F342&lt;=R342, ROUND(MAX(H342, (I342+Q342)-F342), 2), 0)</f>
      </c>
    </row>
    <row r="343" ht="20" customHeight="1" spans="1:20" x14ac:dyDescent="0.25">
      <c r="A343" s="12" t="s">
        <v>851</v>
      </c>
      <c r="B343" s="12" t="s">
        <v>852</v>
      </c>
      <c r="C343" s="12" t="s">
        <v>137</v>
      </c>
      <c r="D343" s="12" t="s">
        <v>138</v>
      </c>
      <c r="E343" s="30">
        <v>90</v>
      </c>
      <c r="F343" s="31">
        <v>1.5100002</v>
      </c>
      <c r="G343" s="12" t="s">
        <v>154</v>
      </c>
      <c r="H343" s="31">
        <v>1</v>
      </c>
      <c r="I343" s="31">
        <f>ROUND(H343*1.0, 2)</f>
      </c>
      <c r="J343" s="31">
        <f>ROUND(H343*0.95, 2)</f>
      </c>
      <c r="K343" s="31">
        <f>ROUND(H343*0.95, 2)</f>
      </c>
      <c r="L343" s="31">
        <f>ROUND(H343*1.05, 2)</f>
      </c>
      <c r="M343" s="31">
        <f>ROUND(H343*1.25, 2)</f>
      </c>
      <c r="N343" s="31">
        <f>ROUND(H343*1.55, 2)</f>
      </c>
      <c r="O343" s="31">
        <f>ROUND(H343*1.65, 2)</f>
      </c>
      <c r="P343" s="31">
        <f>SUM(I343:O343)</f>
      </c>
      <c r="Q343" s="31">
        <f>ROUND(H343*1.5, 2)</f>
      </c>
      <c r="R343" s="31">
        <f>ROUND(H343*2.0, 2)</f>
      </c>
      <c r="S343" s="12">
        <f>IF(F343&lt;=R343, "TRIGGER INDENT", "STOCK HEALTHY")</f>
      </c>
      <c r="T343" s="31">
        <f>IF(F343&lt;=R343, ROUND(MAX(H343, (I343+Q343)-F343), 2), 0)</f>
      </c>
    </row>
    <row r="344" ht="20" customHeight="1" spans="1:20" x14ac:dyDescent="0.25">
      <c r="A344" s="14" t="s">
        <v>853</v>
      </c>
      <c r="B344" s="14" t="s">
        <v>854</v>
      </c>
      <c r="C344" s="14" t="s">
        <v>436</v>
      </c>
      <c r="D344" s="14" t="s">
        <v>138</v>
      </c>
      <c r="E344" s="32">
        <v>0.6899999976158142</v>
      </c>
      <c r="F344" s="33">
        <v>30400</v>
      </c>
      <c r="G344" s="14" t="s">
        <v>177</v>
      </c>
      <c r="H344" s="33">
        <v>1520</v>
      </c>
      <c r="I344" s="33">
        <f>ROUND(H344*1.0, 2)</f>
      </c>
      <c r="J344" s="33">
        <f>ROUND(H344*0.95, 2)</f>
      </c>
      <c r="K344" s="33">
        <f>ROUND(H344*0.95, 2)</f>
      </c>
      <c r="L344" s="33">
        <f>ROUND(H344*1.05, 2)</f>
      </c>
      <c r="M344" s="33">
        <f>ROUND(H344*1.25, 2)</f>
      </c>
      <c r="N344" s="33">
        <f>ROUND(H344*1.55, 2)</f>
      </c>
      <c r="O344" s="33">
        <f>ROUND(H344*1.65, 2)</f>
      </c>
      <c r="P344" s="33">
        <f>SUM(I344:O344)</f>
      </c>
      <c r="Q344" s="33">
        <f>ROUND(H344*1.5, 2)</f>
      </c>
      <c r="R344" s="33">
        <f>ROUND(H344*2.0, 2)</f>
      </c>
      <c r="S344" s="14">
        <f>IF(F344&lt;=R344, "TRIGGER INDENT", "STOCK HEALTHY")</f>
      </c>
      <c r="T344" s="33">
        <f>IF(F344&lt;=R344, ROUND(MAX(H344, (I344+Q344)-F344), 2), 0)</f>
      </c>
    </row>
    <row r="345" ht="20" customHeight="1" spans="1:20" x14ac:dyDescent="0.25">
      <c r="A345" s="12" t="s">
        <v>855</v>
      </c>
      <c r="B345" s="12" t="s">
        <v>856</v>
      </c>
      <c r="C345" s="12" t="s">
        <v>436</v>
      </c>
      <c r="D345" s="12" t="s">
        <v>148</v>
      </c>
      <c r="E345" s="30">
        <v>67.77999877929688</v>
      </c>
      <c r="F345" s="31">
        <v>160</v>
      </c>
      <c r="G345" s="12" t="s">
        <v>190</v>
      </c>
      <c r="H345" s="31">
        <v>19.2</v>
      </c>
      <c r="I345" s="31">
        <f>ROUND(H345*1.0, 2)</f>
      </c>
      <c r="J345" s="31">
        <f>ROUND(H345*0.95, 2)</f>
      </c>
      <c r="K345" s="31">
        <f>ROUND(H345*0.95, 2)</f>
      </c>
      <c r="L345" s="31">
        <f>ROUND(H345*1.05, 2)</f>
      </c>
      <c r="M345" s="31">
        <f>ROUND(H345*1.25, 2)</f>
      </c>
      <c r="N345" s="31">
        <f>ROUND(H345*1.55, 2)</f>
      </c>
      <c r="O345" s="31">
        <f>ROUND(H345*1.65, 2)</f>
      </c>
      <c r="P345" s="31">
        <f>SUM(I345:O345)</f>
      </c>
      <c r="Q345" s="31">
        <f>ROUND(H345*1.5, 2)</f>
      </c>
      <c r="R345" s="31">
        <f>ROUND(H345*2.0, 2)</f>
      </c>
      <c r="S345" s="12">
        <f>IF(F345&lt;=R345, "TRIGGER INDENT", "STOCK HEALTHY")</f>
      </c>
      <c r="T345" s="31">
        <f>IF(F345&lt;=R345, ROUND(MAX(H345, (I345+Q345)-F345), 2), 0)</f>
      </c>
    </row>
    <row r="346" ht="20" customHeight="1" spans="1:20" x14ac:dyDescent="0.25">
      <c r="A346" s="14" t="s">
        <v>857</v>
      </c>
      <c r="B346" s="14" t="s">
        <v>858</v>
      </c>
      <c r="C346" s="14" t="s">
        <v>137</v>
      </c>
      <c r="D346" s="14" t="s">
        <v>510</v>
      </c>
      <c r="E346" s="32">
        <v>27.940000534057617</v>
      </c>
      <c r="F346" s="33">
        <v>192</v>
      </c>
      <c r="G346" s="14" t="s">
        <v>160</v>
      </c>
      <c r="H346" s="33">
        <v>23.04</v>
      </c>
      <c r="I346" s="33">
        <f>ROUND(H346*1.0, 2)</f>
      </c>
      <c r="J346" s="33">
        <f>ROUND(H346*0.95, 2)</f>
      </c>
      <c r="K346" s="33">
        <f>ROUND(H346*0.95, 2)</f>
      </c>
      <c r="L346" s="33">
        <f>ROUND(H346*1.05, 2)</f>
      </c>
      <c r="M346" s="33">
        <f>ROUND(H346*1.25, 2)</f>
      </c>
      <c r="N346" s="33">
        <f>ROUND(H346*1.55, 2)</f>
      </c>
      <c r="O346" s="33">
        <f>ROUND(H346*1.65, 2)</f>
      </c>
      <c r="P346" s="33">
        <f>SUM(I346:O346)</f>
      </c>
      <c r="Q346" s="33">
        <f>ROUND(H346*1.5, 2)</f>
      </c>
      <c r="R346" s="33">
        <f>ROUND(H346*2.0, 2)</f>
      </c>
      <c r="S346" s="14">
        <f>IF(F346&lt;=R346, "TRIGGER INDENT", "STOCK HEALTHY")</f>
      </c>
      <c r="T346" s="33">
        <f>IF(F346&lt;=R346, ROUND(MAX(H346, (I346+Q346)-F346), 2), 0)</f>
      </c>
    </row>
    <row r="347" ht="20" customHeight="1" spans="1:20" x14ac:dyDescent="0.25">
      <c r="A347" s="12" t="s">
        <v>859</v>
      </c>
      <c r="B347" s="12" t="s">
        <v>860</v>
      </c>
      <c r="C347" s="12" t="s">
        <v>185</v>
      </c>
      <c r="D347" s="12" t="s">
        <v>138</v>
      </c>
      <c r="E347" s="30">
        <v>143</v>
      </c>
      <c r="F347" s="31">
        <v>480</v>
      </c>
      <c r="G347" s="12" t="s">
        <v>186</v>
      </c>
      <c r="H347" s="31">
        <v>38.4</v>
      </c>
      <c r="I347" s="31">
        <f>ROUND(H347*1.0, 2)</f>
      </c>
      <c r="J347" s="31">
        <f>ROUND(H347*0.95, 2)</f>
      </c>
      <c r="K347" s="31">
        <f>ROUND(H347*0.95, 2)</f>
      </c>
      <c r="L347" s="31">
        <f>ROUND(H347*1.05, 2)</f>
      </c>
      <c r="M347" s="31">
        <f>ROUND(H347*1.25, 2)</f>
      </c>
      <c r="N347" s="31">
        <f>ROUND(H347*1.55, 2)</f>
      </c>
      <c r="O347" s="31">
        <f>ROUND(H347*1.65, 2)</f>
      </c>
      <c r="P347" s="31">
        <f>SUM(I347:O347)</f>
      </c>
      <c r="Q347" s="31">
        <f>ROUND(H347*1.5, 2)</f>
      </c>
      <c r="R347" s="31">
        <f>ROUND(H347*2.0, 2)</f>
      </c>
      <c r="S347" s="12">
        <f>IF(F347&lt;=R347, "TRIGGER INDENT", "STOCK HEALTHY")</f>
      </c>
      <c r="T347" s="31">
        <f>IF(F347&lt;=R347, ROUND(MAX(H347, (I347+Q347)-F347), 2), 0)</f>
      </c>
    </row>
    <row r="348" ht="20" customHeight="1" spans="1:20" x14ac:dyDescent="0.25">
      <c r="A348" s="14" t="s">
        <v>861</v>
      </c>
      <c r="B348" s="14" t="s">
        <v>862</v>
      </c>
      <c r="C348" s="14" t="s">
        <v>211</v>
      </c>
      <c r="D348" s="14" t="s">
        <v>153</v>
      </c>
      <c r="E348" s="32">
        <v>112.4000015258789</v>
      </c>
      <c r="F348" s="33">
        <v>1912</v>
      </c>
      <c r="G348" s="14" t="s">
        <v>293</v>
      </c>
      <c r="H348" s="33">
        <v>95.6</v>
      </c>
      <c r="I348" s="33">
        <f>ROUND(H348*1.0, 2)</f>
      </c>
      <c r="J348" s="33">
        <f>ROUND(H348*0.95, 2)</f>
      </c>
      <c r="K348" s="33">
        <f>ROUND(H348*0.95, 2)</f>
      </c>
      <c r="L348" s="33">
        <f>ROUND(H348*1.05, 2)</f>
      </c>
      <c r="M348" s="33">
        <f>ROUND(H348*1.25, 2)</f>
      </c>
      <c r="N348" s="33">
        <f>ROUND(H348*1.55, 2)</f>
      </c>
      <c r="O348" s="33">
        <f>ROUND(H348*1.65, 2)</f>
      </c>
      <c r="P348" s="33">
        <f>SUM(I348:O348)</f>
      </c>
      <c r="Q348" s="33">
        <f>ROUND(H348*1.5, 2)</f>
      </c>
      <c r="R348" s="33">
        <f>ROUND(H348*2.0, 2)</f>
      </c>
      <c r="S348" s="14">
        <f>IF(F348&lt;=R348, "TRIGGER INDENT", "STOCK HEALTHY")</f>
      </c>
      <c r="T348" s="33">
        <f>IF(F348&lt;=R348, ROUND(MAX(H348, (I348+Q348)-F348), 2), 0)</f>
      </c>
    </row>
    <row r="349" ht="20" customHeight="1" spans="1:20" x14ac:dyDescent="0.25">
      <c r="A349" s="12" t="s">
        <v>863</v>
      </c>
      <c r="B349" s="12" t="s">
        <v>864</v>
      </c>
      <c r="C349" s="12" t="s">
        <v>152</v>
      </c>
      <c r="D349" s="12" t="s">
        <v>153</v>
      </c>
      <c r="E349" s="30">
        <v>192.3000030517578</v>
      </c>
      <c r="F349" s="31">
        <v>1008</v>
      </c>
      <c r="G349" s="12" t="s">
        <v>293</v>
      </c>
      <c r="H349" s="31">
        <v>50.4</v>
      </c>
      <c r="I349" s="31">
        <f>ROUND(H349*1.0, 2)</f>
      </c>
      <c r="J349" s="31">
        <f>ROUND(H349*0.95, 2)</f>
      </c>
      <c r="K349" s="31">
        <f>ROUND(H349*0.95, 2)</f>
      </c>
      <c r="L349" s="31">
        <f>ROUND(H349*1.05, 2)</f>
      </c>
      <c r="M349" s="31">
        <f>ROUND(H349*1.25, 2)</f>
      </c>
      <c r="N349" s="31">
        <f>ROUND(H349*1.55, 2)</f>
      </c>
      <c r="O349" s="31">
        <f>ROUND(H349*1.65, 2)</f>
      </c>
      <c r="P349" s="31">
        <f>SUM(I349:O349)</f>
      </c>
      <c r="Q349" s="31">
        <f>ROUND(H349*1.5, 2)</f>
      </c>
      <c r="R349" s="31">
        <f>ROUND(H349*2.0, 2)</f>
      </c>
      <c r="S349" s="12">
        <f>IF(F349&lt;=R349, "TRIGGER INDENT", "STOCK HEALTHY")</f>
      </c>
      <c r="T349" s="31">
        <f>IF(F349&lt;=R349, ROUND(MAX(H349, (I349+Q349)-F349), 2), 0)</f>
      </c>
    </row>
    <row r="350" ht="20" customHeight="1" spans="1:20" x14ac:dyDescent="0.25">
      <c r="A350" s="14" t="s">
        <v>865</v>
      </c>
      <c r="B350" s="14" t="s">
        <v>866</v>
      </c>
      <c r="C350" s="14" t="s">
        <v>176</v>
      </c>
      <c r="D350" s="14" t="s">
        <v>198</v>
      </c>
      <c r="E350" s="32">
        <v>11.600000381469727</v>
      </c>
      <c r="F350" s="33">
        <v>1.5100002</v>
      </c>
      <c r="G350" s="14" t="s">
        <v>149</v>
      </c>
      <c r="H350" s="33">
        <v>1</v>
      </c>
      <c r="I350" s="33">
        <f>ROUND(H350*1.0, 2)</f>
      </c>
      <c r="J350" s="33">
        <f>ROUND(H350*0.95, 2)</f>
      </c>
      <c r="K350" s="33">
        <f>ROUND(H350*0.95, 2)</f>
      </c>
      <c r="L350" s="33">
        <f>ROUND(H350*1.05, 2)</f>
      </c>
      <c r="M350" s="33">
        <f>ROUND(H350*1.25, 2)</f>
      </c>
      <c r="N350" s="33">
        <f>ROUND(H350*1.55, 2)</f>
      </c>
      <c r="O350" s="33">
        <f>ROUND(H350*1.65, 2)</f>
      </c>
      <c r="P350" s="33">
        <f>SUM(I350:O350)</f>
      </c>
      <c r="Q350" s="33">
        <f>ROUND(H350*1.5, 2)</f>
      </c>
      <c r="R350" s="33">
        <f>ROUND(H350*2.0, 2)</f>
      </c>
      <c r="S350" s="14">
        <f>IF(F350&lt;=R350, "TRIGGER INDENT", "STOCK HEALTHY")</f>
      </c>
      <c r="T350" s="33">
        <f>IF(F350&lt;=R350, ROUND(MAX(H350, (I350+Q350)-F350), 2), 0)</f>
      </c>
    </row>
    <row r="351" ht="20" customHeight="1" spans="1:20" x14ac:dyDescent="0.25">
      <c r="A351" s="12" t="s">
        <v>867</v>
      </c>
      <c r="B351" s="12" t="s">
        <v>868</v>
      </c>
      <c r="C351" s="12" t="s">
        <v>167</v>
      </c>
      <c r="D351" s="12" t="s">
        <v>153</v>
      </c>
      <c r="E351" s="30">
        <v>36.58000183105469</v>
      </c>
      <c r="F351" s="31">
        <v>986.08</v>
      </c>
      <c r="G351" s="12" t="s">
        <v>293</v>
      </c>
      <c r="H351" s="31">
        <v>78.89</v>
      </c>
      <c r="I351" s="31">
        <f>ROUND(H351*1.0, 2)</f>
      </c>
      <c r="J351" s="31">
        <f>ROUND(H351*0.95, 2)</f>
      </c>
      <c r="K351" s="31">
        <f>ROUND(H351*0.95, 2)</f>
      </c>
      <c r="L351" s="31">
        <f>ROUND(H351*1.05, 2)</f>
      </c>
      <c r="M351" s="31">
        <f>ROUND(H351*1.25, 2)</f>
      </c>
      <c r="N351" s="31">
        <f>ROUND(H351*1.55, 2)</f>
      </c>
      <c r="O351" s="31">
        <f>ROUND(H351*1.65, 2)</f>
      </c>
      <c r="P351" s="31">
        <f>SUM(I351:O351)</f>
      </c>
      <c r="Q351" s="31">
        <f>ROUND(H351*1.5, 2)</f>
      </c>
      <c r="R351" s="31">
        <f>ROUND(H351*2.0, 2)</f>
      </c>
      <c r="S351" s="12">
        <f>IF(F351&lt;=R351, "TRIGGER INDENT", "STOCK HEALTHY")</f>
      </c>
      <c r="T351" s="31">
        <f>IF(F351&lt;=R351, ROUND(MAX(H351, (I351+Q351)-F351), 2), 0)</f>
      </c>
    </row>
    <row r="352" ht="20" customHeight="1" spans="1:20" x14ac:dyDescent="0.25">
      <c r="A352" s="14" t="s">
        <v>869</v>
      </c>
      <c r="B352" s="14" t="s">
        <v>870</v>
      </c>
      <c r="C352" s="14" t="s">
        <v>211</v>
      </c>
      <c r="D352" s="14" t="s">
        <v>153</v>
      </c>
      <c r="E352" s="32">
        <v>126.47000122070312</v>
      </c>
      <c r="F352" s="33">
        <v>4622.2236</v>
      </c>
      <c r="G352" s="14" t="s">
        <v>293</v>
      </c>
      <c r="H352" s="33">
        <v>231.11</v>
      </c>
      <c r="I352" s="33">
        <f>ROUND(H352*1.0, 2)</f>
      </c>
      <c r="J352" s="33">
        <f>ROUND(H352*0.95, 2)</f>
      </c>
      <c r="K352" s="33">
        <f>ROUND(H352*0.95, 2)</f>
      </c>
      <c r="L352" s="33">
        <f>ROUND(H352*1.05, 2)</f>
      </c>
      <c r="M352" s="33">
        <f>ROUND(H352*1.25, 2)</f>
      </c>
      <c r="N352" s="33">
        <f>ROUND(H352*1.55, 2)</f>
      </c>
      <c r="O352" s="33">
        <f>ROUND(H352*1.65, 2)</f>
      </c>
      <c r="P352" s="33">
        <f>SUM(I352:O352)</f>
      </c>
      <c r="Q352" s="33">
        <f>ROUND(H352*1.5, 2)</f>
      </c>
      <c r="R352" s="33">
        <f>ROUND(H352*2.0, 2)</f>
      </c>
      <c r="S352" s="14">
        <f>IF(F352&lt;=R352, "TRIGGER INDENT", "STOCK HEALTHY")</f>
      </c>
      <c r="T352" s="33">
        <f>IF(F352&lt;=R352, ROUND(MAX(H352, (I352+Q352)-F352), 2), 0)</f>
      </c>
    </row>
    <row r="353" ht="20" customHeight="1" spans="1:20" x14ac:dyDescent="0.25">
      <c r="A353" s="12" t="s">
        <v>871</v>
      </c>
      <c r="B353" s="12" t="s">
        <v>872</v>
      </c>
      <c r="C353" s="12" t="s">
        <v>240</v>
      </c>
      <c r="D353" s="12" t="s">
        <v>153</v>
      </c>
      <c r="E353" s="30">
        <v>460</v>
      </c>
      <c r="F353" s="31">
        <v>40</v>
      </c>
      <c r="G353" s="12" t="s">
        <v>154</v>
      </c>
      <c r="H353" s="31">
        <v>8</v>
      </c>
      <c r="I353" s="31">
        <f>ROUND(H353*1.0, 2)</f>
      </c>
      <c r="J353" s="31">
        <f>ROUND(H353*0.95, 2)</f>
      </c>
      <c r="K353" s="31">
        <f>ROUND(H353*0.95, 2)</f>
      </c>
      <c r="L353" s="31">
        <f>ROUND(H353*1.05, 2)</f>
      </c>
      <c r="M353" s="31">
        <f>ROUND(H353*1.25, 2)</f>
      </c>
      <c r="N353" s="31">
        <f>ROUND(H353*1.55, 2)</f>
      </c>
      <c r="O353" s="31">
        <f>ROUND(H353*1.65, 2)</f>
      </c>
      <c r="P353" s="31">
        <f>SUM(I353:O353)</f>
      </c>
      <c r="Q353" s="31">
        <f>ROUND(H353*1.5, 2)</f>
      </c>
      <c r="R353" s="31">
        <f>ROUND(H353*2.0, 2)</f>
      </c>
      <c r="S353" s="12">
        <f>IF(F353&lt;=R353, "TRIGGER INDENT", "STOCK HEALTHY")</f>
      </c>
      <c r="T353" s="31">
        <f>IF(F353&lt;=R353, ROUND(MAX(H353, (I353+Q353)-F353), 2), 0)</f>
      </c>
    </row>
    <row r="354" ht="20" customHeight="1" spans="1:20" x14ac:dyDescent="0.25">
      <c r="A354" s="14" t="s">
        <v>873</v>
      </c>
      <c r="B354" s="14" t="s">
        <v>874</v>
      </c>
      <c r="C354" s="14" t="s">
        <v>170</v>
      </c>
      <c r="D354" s="14" t="s">
        <v>138</v>
      </c>
      <c r="E354" s="32">
        <v>30</v>
      </c>
      <c r="F354" s="33">
        <v>48</v>
      </c>
      <c r="G354" s="14" t="s">
        <v>149</v>
      </c>
      <c r="H354" s="33">
        <v>9.6</v>
      </c>
      <c r="I354" s="33">
        <f>ROUND(H354*1.0, 2)</f>
      </c>
      <c r="J354" s="33">
        <f>ROUND(H354*0.95, 2)</f>
      </c>
      <c r="K354" s="33">
        <f>ROUND(H354*0.95, 2)</f>
      </c>
      <c r="L354" s="33">
        <f>ROUND(H354*1.05, 2)</f>
      </c>
      <c r="M354" s="33">
        <f>ROUND(H354*1.25, 2)</f>
      </c>
      <c r="N354" s="33">
        <f>ROUND(H354*1.55, 2)</f>
      </c>
      <c r="O354" s="33">
        <f>ROUND(H354*1.65, 2)</f>
      </c>
      <c r="P354" s="33">
        <f>SUM(I354:O354)</f>
      </c>
      <c r="Q354" s="33">
        <f>ROUND(H354*1.5, 2)</f>
      </c>
      <c r="R354" s="33">
        <f>ROUND(H354*2.0, 2)</f>
      </c>
      <c r="S354" s="14">
        <f>IF(F354&lt;=R354, "TRIGGER INDENT", "STOCK HEALTHY")</f>
      </c>
      <c r="T354" s="33">
        <f>IF(F354&lt;=R354, ROUND(MAX(H354, (I354+Q354)-F354), 2), 0)</f>
      </c>
    </row>
    <row r="355" ht="20" customHeight="1" spans="1:20" x14ac:dyDescent="0.25">
      <c r="A355" s="12" t="s">
        <v>875</v>
      </c>
      <c r="B355" s="12" t="s">
        <v>876</v>
      </c>
      <c r="C355" s="12" t="s">
        <v>264</v>
      </c>
      <c r="D355" s="12" t="s">
        <v>265</v>
      </c>
      <c r="E355" s="30">
        <v>470.6700134277344</v>
      </c>
      <c r="F355" s="31">
        <v>48</v>
      </c>
      <c r="G355" s="12" t="s">
        <v>177</v>
      </c>
      <c r="H355" s="31">
        <v>9.6</v>
      </c>
      <c r="I355" s="31">
        <f>ROUND(H355*1.0, 2)</f>
      </c>
      <c r="J355" s="31">
        <f>ROUND(H355*0.95, 2)</f>
      </c>
      <c r="K355" s="31">
        <f>ROUND(H355*0.95, 2)</f>
      </c>
      <c r="L355" s="31">
        <f>ROUND(H355*1.05, 2)</f>
      </c>
      <c r="M355" s="31">
        <f>ROUND(H355*1.25, 2)</f>
      </c>
      <c r="N355" s="31">
        <f>ROUND(H355*1.55, 2)</f>
      </c>
      <c r="O355" s="31">
        <f>ROUND(H355*1.65, 2)</f>
      </c>
      <c r="P355" s="31">
        <f>SUM(I355:O355)</f>
      </c>
      <c r="Q355" s="31">
        <f>ROUND(H355*1.5, 2)</f>
      </c>
      <c r="R355" s="31">
        <f>ROUND(H355*2.0, 2)</f>
      </c>
      <c r="S355" s="12">
        <f>IF(F355&lt;=R355, "TRIGGER INDENT", "STOCK HEALTHY")</f>
      </c>
      <c r="T355" s="31">
        <f>IF(F355&lt;=R355, ROUND(MAX(H355, (I355+Q355)-F355), 2), 0)</f>
      </c>
    </row>
    <row r="356" ht="20" customHeight="1" spans="1:20" x14ac:dyDescent="0.25">
      <c r="A356" s="14" t="s">
        <v>877</v>
      </c>
      <c r="B356" s="14" t="s">
        <v>878</v>
      </c>
      <c r="C356" s="14" t="s">
        <v>402</v>
      </c>
      <c r="D356" s="14" t="s">
        <v>198</v>
      </c>
      <c r="E356" s="32">
        <v>144.5399932861328</v>
      </c>
      <c r="F356" s="33">
        <v>192</v>
      </c>
      <c r="G356" s="14" t="s">
        <v>190</v>
      </c>
      <c r="H356" s="33">
        <v>23.04</v>
      </c>
      <c r="I356" s="33">
        <f>ROUND(H356*1.0, 2)</f>
      </c>
      <c r="J356" s="33">
        <f>ROUND(H356*0.95, 2)</f>
      </c>
      <c r="K356" s="33">
        <f>ROUND(H356*0.95, 2)</f>
      </c>
      <c r="L356" s="33">
        <f>ROUND(H356*1.05, 2)</f>
      </c>
      <c r="M356" s="33">
        <f>ROUND(H356*1.25, 2)</f>
      </c>
      <c r="N356" s="33">
        <f>ROUND(H356*1.55, 2)</f>
      </c>
      <c r="O356" s="33">
        <f>ROUND(H356*1.65, 2)</f>
      </c>
      <c r="P356" s="33">
        <f>SUM(I356:O356)</f>
      </c>
      <c r="Q356" s="33">
        <f>ROUND(H356*1.5, 2)</f>
      </c>
      <c r="R356" s="33">
        <f>ROUND(H356*2.0, 2)</f>
      </c>
      <c r="S356" s="14">
        <f>IF(F356&lt;=R356, "TRIGGER INDENT", "STOCK HEALTHY")</f>
      </c>
      <c r="T356" s="33">
        <f>IF(F356&lt;=R356, ROUND(MAX(H356, (I356+Q356)-F356), 2), 0)</f>
      </c>
    </row>
    <row r="357" ht="20" customHeight="1" spans="1:20" x14ac:dyDescent="0.25">
      <c r="A357" s="12" t="s">
        <v>879</v>
      </c>
      <c r="B357" s="12" t="s">
        <v>880</v>
      </c>
      <c r="C357" s="12" t="s">
        <v>436</v>
      </c>
      <c r="D357" s="12" t="s">
        <v>148</v>
      </c>
      <c r="E357" s="30">
        <v>182</v>
      </c>
      <c r="F357" s="31">
        <v>272</v>
      </c>
      <c r="G357" s="12" t="s">
        <v>190</v>
      </c>
      <c r="H357" s="31">
        <v>21.76</v>
      </c>
      <c r="I357" s="31">
        <f>ROUND(H357*1.0, 2)</f>
      </c>
      <c r="J357" s="31">
        <f>ROUND(H357*0.95, 2)</f>
      </c>
      <c r="K357" s="31">
        <f>ROUND(H357*0.95, 2)</f>
      </c>
      <c r="L357" s="31">
        <f>ROUND(H357*1.05, 2)</f>
      </c>
      <c r="M357" s="31">
        <f>ROUND(H357*1.25, 2)</f>
      </c>
      <c r="N357" s="31">
        <f>ROUND(H357*1.55, 2)</f>
      </c>
      <c r="O357" s="31">
        <f>ROUND(H357*1.65, 2)</f>
      </c>
      <c r="P357" s="31">
        <f>SUM(I357:O357)</f>
      </c>
      <c r="Q357" s="31">
        <f>ROUND(H357*1.5, 2)</f>
      </c>
      <c r="R357" s="31">
        <f>ROUND(H357*2.0, 2)</f>
      </c>
      <c r="S357" s="12">
        <f>IF(F357&lt;=R357, "TRIGGER INDENT", "STOCK HEALTHY")</f>
      </c>
      <c r="T357" s="31">
        <f>IF(F357&lt;=R357, ROUND(MAX(H357, (I357+Q357)-F357), 2), 0)</f>
      </c>
    </row>
    <row r="358" ht="20" customHeight="1" spans="1:20" x14ac:dyDescent="0.25">
      <c r="A358" s="14" t="s">
        <v>881</v>
      </c>
      <c r="B358" s="14" t="s">
        <v>415</v>
      </c>
      <c r="C358" s="14" t="s">
        <v>415</v>
      </c>
      <c r="D358" s="14" t="s">
        <v>153</v>
      </c>
      <c r="E358" s="32">
        <v>3695.89990234375</v>
      </c>
      <c r="F358" s="33">
        <v>16</v>
      </c>
      <c r="G358" s="14" t="s">
        <v>142</v>
      </c>
      <c r="H358" s="33">
        <v>3.2</v>
      </c>
      <c r="I358" s="33">
        <f>ROUND(H358*1.0, 2)</f>
      </c>
      <c r="J358" s="33">
        <f>ROUND(H358*0.95, 2)</f>
      </c>
      <c r="K358" s="33">
        <f>ROUND(H358*0.95, 2)</f>
      </c>
      <c r="L358" s="33">
        <f>ROUND(H358*1.05, 2)</f>
      </c>
      <c r="M358" s="33">
        <f>ROUND(H358*1.25, 2)</f>
      </c>
      <c r="N358" s="33">
        <f>ROUND(H358*1.55, 2)</f>
      </c>
      <c r="O358" s="33">
        <f>ROUND(H358*1.65, 2)</f>
      </c>
      <c r="P358" s="33">
        <f>SUM(I358:O358)</f>
      </c>
      <c r="Q358" s="33">
        <f>ROUND(H358*1.5, 2)</f>
      </c>
      <c r="R358" s="33">
        <f>ROUND(H358*2.0, 2)</f>
      </c>
      <c r="S358" s="14">
        <f>IF(F358&lt;=R358, "TRIGGER INDENT", "STOCK HEALTHY")</f>
      </c>
      <c r="T358" s="33">
        <f>IF(F358&lt;=R358, ROUND(MAX(H358, (I358+Q358)-F358), 2), 0)</f>
      </c>
    </row>
    <row r="359" ht="20" customHeight="1" spans="1:20" x14ac:dyDescent="0.25">
      <c r="A359" s="12" t="s">
        <v>882</v>
      </c>
      <c r="B359" s="12" t="s">
        <v>883</v>
      </c>
      <c r="C359" s="12" t="s">
        <v>436</v>
      </c>
      <c r="D359" s="12" t="s">
        <v>148</v>
      </c>
      <c r="E359" s="30">
        <v>30</v>
      </c>
      <c r="F359" s="31">
        <v>160</v>
      </c>
      <c r="G359" s="12" t="s">
        <v>190</v>
      </c>
      <c r="H359" s="31">
        <v>19.2</v>
      </c>
      <c r="I359" s="31">
        <f>ROUND(H359*1.0, 2)</f>
      </c>
      <c r="J359" s="31">
        <f>ROUND(H359*0.95, 2)</f>
      </c>
      <c r="K359" s="31">
        <f>ROUND(H359*0.95, 2)</f>
      </c>
      <c r="L359" s="31">
        <f>ROUND(H359*1.05, 2)</f>
      </c>
      <c r="M359" s="31">
        <f>ROUND(H359*1.25, 2)</f>
      </c>
      <c r="N359" s="31">
        <f>ROUND(H359*1.55, 2)</f>
      </c>
      <c r="O359" s="31">
        <f>ROUND(H359*1.65, 2)</f>
      </c>
      <c r="P359" s="31">
        <f>SUM(I359:O359)</f>
      </c>
      <c r="Q359" s="31">
        <f>ROUND(H359*1.5, 2)</f>
      </c>
      <c r="R359" s="31">
        <f>ROUND(H359*2.0, 2)</f>
      </c>
      <c r="S359" s="12">
        <f>IF(F359&lt;=R359, "TRIGGER INDENT", "STOCK HEALTHY")</f>
      </c>
      <c r="T359" s="31">
        <f>IF(F359&lt;=R359, ROUND(MAX(H359, (I359+Q359)-F359), 2), 0)</f>
      </c>
    </row>
    <row r="360" ht="20" customHeight="1" spans="1:20" x14ac:dyDescent="0.25">
      <c r="A360" s="14" t="s">
        <v>884</v>
      </c>
      <c r="B360" s="14" t="s">
        <v>885</v>
      </c>
      <c r="C360" s="14" t="s">
        <v>137</v>
      </c>
      <c r="D360" s="14" t="s">
        <v>198</v>
      </c>
      <c r="E360" s="32">
        <v>38.88999938964844</v>
      </c>
      <c r="F360" s="33">
        <v>592</v>
      </c>
      <c r="G360" s="14" t="s">
        <v>154</v>
      </c>
      <c r="H360" s="33">
        <v>47.36</v>
      </c>
      <c r="I360" s="33">
        <f>ROUND(H360*1.0, 2)</f>
      </c>
      <c r="J360" s="33">
        <f>ROUND(H360*0.95, 2)</f>
      </c>
      <c r="K360" s="33">
        <f>ROUND(H360*0.95, 2)</f>
      </c>
      <c r="L360" s="33">
        <f>ROUND(H360*1.05, 2)</f>
      </c>
      <c r="M360" s="33">
        <f>ROUND(H360*1.25, 2)</f>
      </c>
      <c r="N360" s="33">
        <f>ROUND(H360*1.55, 2)</f>
      </c>
      <c r="O360" s="33">
        <f>ROUND(H360*1.65, 2)</f>
      </c>
      <c r="P360" s="33">
        <f>SUM(I360:O360)</f>
      </c>
      <c r="Q360" s="33">
        <f>ROUND(H360*1.5, 2)</f>
      </c>
      <c r="R360" s="33">
        <f>ROUND(H360*2.0, 2)</f>
      </c>
      <c r="S360" s="14">
        <f>IF(F360&lt;=R360, "TRIGGER INDENT", "STOCK HEALTHY")</f>
      </c>
      <c r="T360" s="33">
        <f>IF(F360&lt;=R360, ROUND(MAX(H360, (I360+Q360)-F360), 2), 0)</f>
      </c>
    </row>
    <row r="361" ht="20" customHeight="1" spans="1:20" x14ac:dyDescent="0.25">
      <c r="A361" s="12" t="s">
        <v>886</v>
      </c>
      <c r="B361" s="12" t="s">
        <v>887</v>
      </c>
      <c r="C361" s="12" t="s">
        <v>147</v>
      </c>
      <c r="D361" s="12" t="s">
        <v>148</v>
      </c>
      <c r="E361" s="30">
        <v>211.25</v>
      </c>
      <c r="F361" s="31">
        <v>32</v>
      </c>
      <c r="G361" s="12" t="s">
        <v>177</v>
      </c>
      <c r="H361" s="31">
        <v>6.4</v>
      </c>
      <c r="I361" s="31">
        <f>ROUND(H361*1.0, 2)</f>
      </c>
      <c r="J361" s="31">
        <f>ROUND(H361*0.95, 2)</f>
      </c>
      <c r="K361" s="31">
        <f>ROUND(H361*0.95, 2)</f>
      </c>
      <c r="L361" s="31">
        <f>ROUND(H361*1.05, 2)</f>
      </c>
      <c r="M361" s="31">
        <f>ROUND(H361*1.25, 2)</f>
      </c>
      <c r="N361" s="31">
        <f>ROUND(H361*1.55, 2)</f>
      </c>
      <c r="O361" s="31">
        <f>ROUND(H361*1.65, 2)</f>
      </c>
      <c r="P361" s="31">
        <f>SUM(I361:O361)</f>
      </c>
      <c r="Q361" s="31">
        <f>ROUND(H361*1.5, 2)</f>
      </c>
      <c r="R361" s="31">
        <f>ROUND(H361*2.0, 2)</f>
      </c>
      <c r="S361" s="12">
        <f>IF(F361&lt;=R361, "TRIGGER INDENT", "STOCK HEALTHY")</f>
      </c>
      <c r="T361" s="31">
        <f>IF(F361&lt;=R361, ROUND(MAX(H361, (I361+Q361)-F361), 2), 0)</f>
      </c>
    </row>
    <row r="362" ht="20" customHeight="1" spans="1:20" x14ac:dyDescent="0.25">
      <c r="A362" s="14" t="s">
        <v>888</v>
      </c>
      <c r="B362" s="14" t="s">
        <v>889</v>
      </c>
      <c r="C362" s="14" t="s">
        <v>159</v>
      </c>
      <c r="D362" s="14" t="s">
        <v>153</v>
      </c>
      <c r="E362" s="32">
        <v>25.25</v>
      </c>
      <c r="F362" s="33">
        <v>1.5100002</v>
      </c>
      <c r="G362" s="14" t="s">
        <v>186</v>
      </c>
      <c r="H362" s="33">
        <v>1</v>
      </c>
      <c r="I362" s="33">
        <f>ROUND(H362*1.0, 2)</f>
      </c>
      <c r="J362" s="33">
        <f>ROUND(H362*0.95, 2)</f>
      </c>
      <c r="K362" s="33">
        <f>ROUND(H362*0.95, 2)</f>
      </c>
      <c r="L362" s="33">
        <f>ROUND(H362*1.05, 2)</f>
      </c>
      <c r="M362" s="33">
        <f>ROUND(H362*1.25, 2)</f>
      </c>
      <c r="N362" s="33">
        <f>ROUND(H362*1.55, 2)</f>
      </c>
      <c r="O362" s="33">
        <f>ROUND(H362*1.65, 2)</f>
      </c>
      <c r="P362" s="33">
        <f>SUM(I362:O362)</f>
      </c>
      <c r="Q362" s="33">
        <f>ROUND(H362*1.5, 2)</f>
      </c>
      <c r="R362" s="33">
        <f>ROUND(H362*2.0, 2)</f>
      </c>
      <c r="S362" s="14">
        <f>IF(F362&lt;=R362, "TRIGGER INDENT", "STOCK HEALTHY")</f>
      </c>
      <c r="T362" s="33">
        <f>IF(F362&lt;=R362, ROUND(MAX(H362, (I362+Q362)-F362), 2), 0)</f>
      </c>
    </row>
    <row r="363" ht="20" customHeight="1" spans="1:20" x14ac:dyDescent="0.25">
      <c r="A363" s="12" t="s">
        <v>890</v>
      </c>
      <c r="B363" s="12" t="s">
        <v>891</v>
      </c>
      <c r="C363" s="12" t="s">
        <v>211</v>
      </c>
      <c r="D363" s="12" t="s">
        <v>153</v>
      </c>
      <c r="E363" s="30">
        <v>54</v>
      </c>
      <c r="F363" s="31">
        <v>864</v>
      </c>
      <c r="G363" s="12" t="s">
        <v>139</v>
      </c>
      <c r="H363" s="31">
        <v>69.12</v>
      </c>
      <c r="I363" s="31">
        <f>ROUND(H363*1.0, 2)</f>
      </c>
      <c r="J363" s="31">
        <f>ROUND(H363*0.95, 2)</f>
      </c>
      <c r="K363" s="31">
        <f>ROUND(H363*0.95, 2)</f>
      </c>
      <c r="L363" s="31">
        <f>ROUND(H363*1.05, 2)</f>
      </c>
      <c r="M363" s="31">
        <f>ROUND(H363*1.25, 2)</f>
      </c>
      <c r="N363" s="31">
        <f>ROUND(H363*1.55, 2)</f>
      </c>
      <c r="O363" s="31">
        <f>ROUND(H363*1.65, 2)</f>
      </c>
      <c r="P363" s="31">
        <f>SUM(I363:O363)</f>
      </c>
      <c r="Q363" s="31">
        <f>ROUND(H363*1.5, 2)</f>
      </c>
      <c r="R363" s="31">
        <f>ROUND(H363*2.0, 2)</f>
      </c>
      <c r="S363" s="12">
        <f>IF(F363&lt;=R363, "TRIGGER INDENT", "STOCK HEALTHY")</f>
      </c>
      <c r="T363" s="31">
        <f>IF(F363&lt;=R363, ROUND(MAX(H363, (I363+Q363)-F363), 2), 0)</f>
      </c>
    </row>
    <row r="364" ht="20" customHeight="1" spans="1:20" x14ac:dyDescent="0.25">
      <c r="A364" s="14" t="s">
        <v>892</v>
      </c>
      <c r="B364" s="14" t="s">
        <v>893</v>
      </c>
      <c r="C364" s="14" t="s">
        <v>152</v>
      </c>
      <c r="D364" s="14" t="s">
        <v>153</v>
      </c>
      <c r="E364" s="32">
        <v>135.7100067138672</v>
      </c>
      <c r="F364" s="33">
        <v>144</v>
      </c>
      <c r="G364" s="14" t="s">
        <v>190</v>
      </c>
      <c r="H364" s="33">
        <v>17.28</v>
      </c>
      <c r="I364" s="33">
        <f>ROUND(H364*1.0, 2)</f>
      </c>
      <c r="J364" s="33">
        <f>ROUND(H364*0.95, 2)</f>
      </c>
      <c r="K364" s="33">
        <f>ROUND(H364*0.95, 2)</f>
      </c>
      <c r="L364" s="33">
        <f>ROUND(H364*1.05, 2)</f>
      </c>
      <c r="M364" s="33">
        <f>ROUND(H364*1.25, 2)</f>
      </c>
      <c r="N364" s="33">
        <f>ROUND(H364*1.55, 2)</f>
      </c>
      <c r="O364" s="33">
        <f>ROUND(H364*1.65, 2)</f>
      </c>
      <c r="P364" s="33">
        <f>SUM(I364:O364)</f>
      </c>
      <c r="Q364" s="33">
        <f>ROUND(H364*1.5, 2)</f>
      </c>
      <c r="R364" s="33">
        <f>ROUND(H364*2.0, 2)</f>
      </c>
      <c r="S364" s="14">
        <f>IF(F364&lt;=R364, "TRIGGER INDENT", "STOCK HEALTHY")</f>
      </c>
      <c r="T364" s="33">
        <f>IF(F364&lt;=R364, ROUND(MAX(H364, (I364+Q364)-F364), 2), 0)</f>
      </c>
    </row>
    <row r="365" ht="20" customHeight="1" spans="1:20" x14ac:dyDescent="0.25">
      <c r="A365" s="12" t="s">
        <v>894</v>
      </c>
      <c r="B365" s="12" t="s">
        <v>895</v>
      </c>
      <c r="C365" s="12" t="s">
        <v>137</v>
      </c>
      <c r="D365" s="12" t="s">
        <v>138</v>
      </c>
      <c r="E365" s="30">
        <v>88.77999877929688</v>
      </c>
      <c r="F365" s="31">
        <v>48</v>
      </c>
      <c r="G365" s="12" t="s">
        <v>160</v>
      </c>
      <c r="H365" s="31">
        <v>9.6</v>
      </c>
      <c r="I365" s="31">
        <f>ROUND(H365*1.0, 2)</f>
      </c>
      <c r="J365" s="31">
        <f>ROUND(H365*0.95, 2)</f>
      </c>
      <c r="K365" s="31">
        <f>ROUND(H365*0.95, 2)</f>
      </c>
      <c r="L365" s="31">
        <f>ROUND(H365*1.05, 2)</f>
      </c>
      <c r="M365" s="31">
        <f>ROUND(H365*1.25, 2)</f>
      </c>
      <c r="N365" s="31">
        <f>ROUND(H365*1.55, 2)</f>
      </c>
      <c r="O365" s="31">
        <f>ROUND(H365*1.65, 2)</f>
      </c>
      <c r="P365" s="31">
        <f>SUM(I365:O365)</f>
      </c>
      <c r="Q365" s="31">
        <f>ROUND(H365*1.5, 2)</f>
      </c>
      <c r="R365" s="31">
        <f>ROUND(H365*2.0, 2)</f>
      </c>
      <c r="S365" s="12">
        <f>IF(F365&lt;=R365, "TRIGGER INDENT", "STOCK HEALTHY")</f>
      </c>
      <c r="T365" s="31">
        <f>IF(F365&lt;=R365, ROUND(MAX(H365, (I365+Q365)-F365), 2), 0)</f>
      </c>
    </row>
    <row r="366" ht="20" customHeight="1" spans="1:20" x14ac:dyDescent="0.25">
      <c r="A366" s="14" t="s">
        <v>896</v>
      </c>
      <c r="B366" s="14" t="s">
        <v>897</v>
      </c>
      <c r="C366" s="14" t="s">
        <v>137</v>
      </c>
      <c r="D366" s="14" t="s">
        <v>138</v>
      </c>
      <c r="E366" s="32">
        <v>162.5</v>
      </c>
      <c r="F366" s="33">
        <v>96</v>
      </c>
      <c r="G366" s="14" t="s">
        <v>154</v>
      </c>
      <c r="H366" s="33">
        <v>11.52</v>
      </c>
      <c r="I366" s="33">
        <f>ROUND(H366*1.0, 2)</f>
      </c>
      <c r="J366" s="33">
        <f>ROUND(H366*0.95, 2)</f>
      </c>
      <c r="K366" s="33">
        <f>ROUND(H366*0.95, 2)</f>
      </c>
      <c r="L366" s="33">
        <f>ROUND(H366*1.05, 2)</f>
      </c>
      <c r="M366" s="33">
        <f>ROUND(H366*1.25, 2)</f>
      </c>
      <c r="N366" s="33">
        <f>ROUND(H366*1.55, 2)</f>
      </c>
      <c r="O366" s="33">
        <f>ROUND(H366*1.65, 2)</f>
      </c>
      <c r="P366" s="33">
        <f>SUM(I366:O366)</f>
      </c>
      <c r="Q366" s="33">
        <f>ROUND(H366*1.5, 2)</f>
      </c>
      <c r="R366" s="33">
        <f>ROUND(H366*2.0, 2)</f>
      </c>
      <c r="S366" s="14">
        <f>IF(F366&lt;=R366, "TRIGGER INDENT", "STOCK HEALTHY")</f>
      </c>
      <c r="T366" s="33">
        <f>IF(F366&lt;=R366, ROUND(MAX(H366, (I366+Q366)-F366), 2), 0)</f>
      </c>
    </row>
    <row r="367" ht="20" customHeight="1" spans="1:20" x14ac:dyDescent="0.25">
      <c r="A367" s="12" t="s">
        <v>898</v>
      </c>
      <c r="B367" s="12" t="s">
        <v>899</v>
      </c>
      <c r="C367" s="12" t="s">
        <v>137</v>
      </c>
      <c r="D367" s="12" t="s">
        <v>198</v>
      </c>
      <c r="E367" s="30">
        <v>60</v>
      </c>
      <c r="F367" s="31">
        <v>240</v>
      </c>
      <c r="G367" s="12" t="s">
        <v>154</v>
      </c>
      <c r="H367" s="31">
        <v>19.2</v>
      </c>
      <c r="I367" s="31">
        <f>ROUND(H367*1.0, 2)</f>
      </c>
      <c r="J367" s="31">
        <f>ROUND(H367*0.95, 2)</f>
      </c>
      <c r="K367" s="31">
        <f>ROUND(H367*0.95, 2)</f>
      </c>
      <c r="L367" s="31">
        <f>ROUND(H367*1.05, 2)</f>
      </c>
      <c r="M367" s="31">
        <f>ROUND(H367*1.25, 2)</f>
      </c>
      <c r="N367" s="31">
        <f>ROUND(H367*1.55, 2)</f>
      </c>
      <c r="O367" s="31">
        <f>ROUND(H367*1.65, 2)</f>
      </c>
      <c r="P367" s="31">
        <f>SUM(I367:O367)</f>
      </c>
      <c r="Q367" s="31">
        <f>ROUND(H367*1.5, 2)</f>
      </c>
      <c r="R367" s="31">
        <f>ROUND(H367*2.0, 2)</f>
      </c>
      <c r="S367" s="12">
        <f>IF(F367&lt;=R367, "TRIGGER INDENT", "STOCK HEALTHY")</f>
      </c>
      <c r="T367" s="31">
        <f>IF(F367&lt;=R367, ROUND(MAX(H367, (I367+Q367)-F367), 2), 0)</f>
      </c>
    </row>
    <row r="368" ht="20" customHeight="1" spans="1:20" x14ac:dyDescent="0.25">
      <c r="A368" s="14" t="s">
        <v>900</v>
      </c>
      <c r="B368" s="14" t="s">
        <v>901</v>
      </c>
      <c r="C368" s="14" t="s">
        <v>137</v>
      </c>
      <c r="D368" s="14" t="s">
        <v>198</v>
      </c>
      <c r="E368" s="32">
        <v>70</v>
      </c>
      <c r="F368" s="33">
        <v>1.5100002</v>
      </c>
      <c r="G368" s="14" t="s">
        <v>154</v>
      </c>
      <c r="H368" s="33">
        <v>1</v>
      </c>
      <c r="I368" s="33">
        <f>ROUND(H368*1.0, 2)</f>
      </c>
      <c r="J368" s="33">
        <f>ROUND(H368*0.95, 2)</f>
      </c>
      <c r="K368" s="33">
        <f>ROUND(H368*0.95, 2)</f>
      </c>
      <c r="L368" s="33">
        <f>ROUND(H368*1.05, 2)</f>
      </c>
      <c r="M368" s="33">
        <f>ROUND(H368*1.25, 2)</f>
      </c>
      <c r="N368" s="33">
        <f>ROUND(H368*1.55, 2)</f>
      </c>
      <c r="O368" s="33">
        <f>ROUND(H368*1.65, 2)</f>
      </c>
      <c r="P368" s="33">
        <f>SUM(I368:O368)</f>
      </c>
      <c r="Q368" s="33">
        <f>ROUND(H368*1.5, 2)</f>
      </c>
      <c r="R368" s="33">
        <f>ROUND(H368*2.0, 2)</f>
      </c>
      <c r="S368" s="14">
        <f>IF(F368&lt;=R368, "TRIGGER INDENT", "STOCK HEALTHY")</f>
      </c>
      <c r="T368" s="33">
        <f>IF(F368&lt;=R368, ROUND(MAX(H368, (I368+Q368)-F368), 2), 0)</f>
      </c>
    </row>
    <row r="369" ht="20" customHeight="1" spans="1:20" x14ac:dyDescent="0.25">
      <c r="A369" s="12" t="s">
        <v>902</v>
      </c>
      <c r="B369" s="12" t="s">
        <v>903</v>
      </c>
      <c r="C369" s="12" t="s">
        <v>137</v>
      </c>
      <c r="D369" s="12" t="s">
        <v>198</v>
      </c>
      <c r="E369" s="30">
        <v>60</v>
      </c>
      <c r="F369" s="31">
        <v>592</v>
      </c>
      <c r="G369" s="12" t="s">
        <v>139</v>
      </c>
      <c r="H369" s="31">
        <v>47.36</v>
      </c>
      <c r="I369" s="31">
        <f>ROUND(H369*1.0, 2)</f>
      </c>
      <c r="J369" s="31">
        <f>ROUND(H369*0.95, 2)</f>
      </c>
      <c r="K369" s="31">
        <f>ROUND(H369*0.95, 2)</f>
      </c>
      <c r="L369" s="31">
        <f>ROUND(H369*1.05, 2)</f>
      </c>
      <c r="M369" s="31">
        <f>ROUND(H369*1.25, 2)</f>
      </c>
      <c r="N369" s="31">
        <f>ROUND(H369*1.55, 2)</f>
      </c>
      <c r="O369" s="31">
        <f>ROUND(H369*1.65, 2)</f>
      </c>
      <c r="P369" s="31">
        <f>SUM(I369:O369)</f>
      </c>
      <c r="Q369" s="31">
        <f>ROUND(H369*1.5, 2)</f>
      </c>
      <c r="R369" s="31">
        <f>ROUND(H369*2.0, 2)</f>
      </c>
      <c r="S369" s="12">
        <f>IF(F369&lt;=R369, "TRIGGER INDENT", "STOCK HEALTHY")</f>
      </c>
      <c r="T369" s="31">
        <f>IF(F369&lt;=R369, ROUND(MAX(H369, (I369+Q369)-F369), 2), 0)</f>
      </c>
    </row>
    <row r="370" ht="20" customHeight="1" spans="1:20" x14ac:dyDescent="0.25">
      <c r="A370" s="14" t="s">
        <v>904</v>
      </c>
      <c r="B370" s="14" t="s">
        <v>905</v>
      </c>
      <c r="C370" s="14" t="s">
        <v>137</v>
      </c>
      <c r="D370" s="14" t="s">
        <v>198</v>
      </c>
      <c r="E370" s="32">
        <v>40</v>
      </c>
      <c r="F370" s="33">
        <v>720</v>
      </c>
      <c r="G370" s="14" t="s">
        <v>154</v>
      </c>
      <c r="H370" s="33">
        <v>57.6</v>
      </c>
      <c r="I370" s="33">
        <f>ROUND(H370*1.0, 2)</f>
      </c>
      <c r="J370" s="33">
        <f>ROUND(H370*0.95, 2)</f>
      </c>
      <c r="K370" s="33">
        <f>ROUND(H370*0.95, 2)</f>
      </c>
      <c r="L370" s="33">
        <f>ROUND(H370*1.05, 2)</f>
      </c>
      <c r="M370" s="33">
        <f>ROUND(H370*1.25, 2)</f>
      </c>
      <c r="N370" s="33">
        <f>ROUND(H370*1.55, 2)</f>
      </c>
      <c r="O370" s="33">
        <f>ROUND(H370*1.65, 2)</f>
      </c>
      <c r="P370" s="33">
        <f>SUM(I370:O370)</f>
      </c>
      <c r="Q370" s="33">
        <f>ROUND(H370*1.5, 2)</f>
      </c>
      <c r="R370" s="33">
        <f>ROUND(H370*2.0, 2)</f>
      </c>
      <c r="S370" s="14">
        <f>IF(F370&lt;=R370, "TRIGGER INDENT", "STOCK HEALTHY")</f>
      </c>
      <c r="T370" s="33">
        <f>IF(F370&lt;=R370, ROUND(MAX(H370, (I370+Q370)-F370), 2), 0)</f>
      </c>
    </row>
  </sheetData>
  <mergeCells count="1">
    <mergeCell ref="A2:T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2:J104"/>
  <sheetViews>
    <sheetView workbookViewId="0"/>
  </sheetViews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14" customWidth="1"/>
    <col min="5" max="5" width="28" customWidth="1"/>
    <col min="6" max="6" width="14" customWidth="1"/>
    <col min="7" max="7" width="12" customWidth="1"/>
    <col min="8" max="10" width="16" customWidth="1"/>
  </cols>
  <sheetData>
    <row r="2" ht="35" customHeight="1" spans="1:10" x14ac:dyDescent="0.25">
      <c r="A2" s="22" t="s">
        <v>906</v>
      </c>
      <c r="B2" s="22"/>
      <c r="C2" s="22"/>
      <c r="D2" s="22"/>
      <c r="E2" s="22"/>
      <c r="F2" s="22"/>
      <c r="G2" s="22"/>
      <c r="H2" s="22"/>
      <c r="I2" s="22"/>
      <c r="J2" s="22"/>
    </row>
    <row r="4" ht="28" customHeight="1" spans="1:10" x14ac:dyDescent="0.25">
      <c r="A4" s="23" t="s">
        <v>907</v>
      </c>
      <c r="B4" s="23" t="s">
        <v>908</v>
      </c>
      <c r="C4" s="23" t="s">
        <v>909</v>
      </c>
      <c r="D4" s="29" t="s">
        <v>910</v>
      </c>
      <c r="E4" s="29" t="s">
        <v>911</v>
      </c>
      <c r="F4" s="29" t="s">
        <v>912</v>
      </c>
      <c r="G4" s="29" t="s">
        <v>118</v>
      </c>
      <c r="H4" s="29" t="s">
        <v>913</v>
      </c>
      <c r="I4" s="29" t="s">
        <v>914</v>
      </c>
      <c r="J4" s="29" t="s">
        <v>915</v>
      </c>
    </row>
    <row r="5" ht="20" customHeight="1" spans="1:10" x14ac:dyDescent="0.25">
      <c r="A5" s="12">
        <v>1</v>
      </c>
      <c r="B5" s="12" t="s">
        <v>916</v>
      </c>
      <c r="C5" s="12" t="s">
        <v>293</v>
      </c>
      <c r="D5" s="12">
        <v>100</v>
      </c>
      <c r="E5" s="12" t="s">
        <v>217</v>
      </c>
      <c r="F5" s="12">
        <v>12</v>
      </c>
      <c r="G5" s="12" t="s">
        <v>153</v>
      </c>
      <c r="H5" s="31">
        <f>ROUND((F5/D5)*100, 2)</f>
      </c>
      <c r="I5" s="31">
        <f>ROUND((F5/D5)*250, 2)</f>
      </c>
      <c r="J5" s="31">
        <f>ROUND((F5/D5)*500, 2)</f>
      </c>
    </row>
    <row r="6" ht="20" customHeight="1" spans="1:10" x14ac:dyDescent="0.25">
      <c r="A6" s="14">
        <v>2</v>
      </c>
      <c r="B6" s="14" t="s">
        <v>917</v>
      </c>
      <c r="C6" s="14" t="s">
        <v>918</v>
      </c>
      <c r="D6" s="14">
        <v>100</v>
      </c>
      <c r="E6" s="14" t="s">
        <v>919</v>
      </c>
      <c r="F6" s="14">
        <v>15</v>
      </c>
      <c r="G6" s="14" t="s">
        <v>153</v>
      </c>
      <c r="H6" s="33">
        <f>ROUND((F6/D6)*100, 2)</f>
      </c>
      <c r="I6" s="33">
        <f>ROUND((F6/D6)*250, 2)</f>
      </c>
      <c r="J6" s="33">
        <f>ROUND((F6/D6)*500, 2)</f>
      </c>
    </row>
    <row r="7" ht="20" customHeight="1" spans="1:10" x14ac:dyDescent="0.25">
      <c r="A7" s="12">
        <v>2</v>
      </c>
      <c r="B7" s="12" t="s">
        <v>917</v>
      </c>
      <c r="C7" s="12" t="s">
        <v>918</v>
      </c>
      <c r="D7" s="12">
        <v>100</v>
      </c>
      <c r="E7" s="12" t="s">
        <v>920</v>
      </c>
      <c r="F7" s="12">
        <v>1</v>
      </c>
      <c r="G7" s="12" t="s">
        <v>325</v>
      </c>
      <c r="H7" s="31">
        <f>ROUND((F7/D7)*100, 2)</f>
      </c>
      <c r="I7" s="31">
        <f>ROUND((F7/D7)*250, 2)</f>
      </c>
      <c r="J7" s="31">
        <f>ROUND((F7/D7)*500, 2)</f>
      </c>
    </row>
    <row r="8" ht="20" customHeight="1" spans="1:10" x14ac:dyDescent="0.25">
      <c r="A8" s="14">
        <v>2</v>
      </c>
      <c r="B8" s="14" t="s">
        <v>917</v>
      </c>
      <c r="C8" s="14" t="s">
        <v>918</v>
      </c>
      <c r="D8" s="14">
        <v>100</v>
      </c>
      <c r="E8" s="14" t="s">
        <v>921</v>
      </c>
      <c r="F8" s="14">
        <v>10</v>
      </c>
      <c r="G8" s="14" t="s">
        <v>325</v>
      </c>
      <c r="H8" s="33">
        <f>ROUND((F8/D8)*100, 2)</f>
      </c>
      <c r="I8" s="33">
        <f>ROUND((F8/D8)*250, 2)</f>
      </c>
      <c r="J8" s="33">
        <f>ROUND((F8/D8)*500, 2)</f>
      </c>
    </row>
    <row r="9" ht="20" customHeight="1" spans="1:10" x14ac:dyDescent="0.25">
      <c r="A9" s="12">
        <v>2</v>
      </c>
      <c r="B9" s="12" t="s">
        <v>917</v>
      </c>
      <c r="C9" s="12" t="s">
        <v>918</v>
      </c>
      <c r="D9" s="12">
        <v>100</v>
      </c>
      <c r="E9" s="12" t="s">
        <v>922</v>
      </c>
      <c r="F9" s="12">
        <v>3</v>
      </c>
      <c r="G9" s="12" t="s">
        <v>153</v>
      </c>
      <c r="H9" s="31">
        <f>ROUND((F9/D9)*100, 2)</f>
      </c>
      <c r="I9" s="31">
        <f>ROUND((F9/D9)*250, 2)</f>
      </c>
      <c r="J9" s="31">
        <f>ROUND((F9/D9)*500, 2)</f>
      </c>
    </row>
    <row r="10" ht="20" customHeight="1" spans="1:10" x14ac:dyDescent="0.25">
      <c r="A10" s="14">
        <v>3</v>
      </c>
      <c r="B10" s="14" t="s">
        <v>923</v>
      </c>
      <c r="C10" s="14" t="s">
        <v>918</v>
      </c>
      <c r="D10" s="14">
        <v>100</v>
      </c>
      <c r="E10" s="14" t="s">
        <v>919</v>
      </c>
      <c r="F10" s="14">
        <v>15</v>
      </c>
      <c r="G10" s="14" t="s">
        <v>153</v>
      </c>
      <c r="H10" s="33">
        <f>ROUND((F10/D10)*100, 2)</f>
      </c>
      <c r="I10" s="33">
        <f>ROUND((F10/D10)*250, 2)</f>
      </c>
      <c r="J10" s="33">
        <f>ROUND((F10/D10)*500, 2)</f>
      </c>
    </row>
    <row r="11" ht="20" customHeight="1" spans="1:10" x14ac:dyDescent="0.25">
      <c r="A11" s="12">
        <v>3</v>
      </c>
      <c r="B11" s="12" t="s">
        <v>923</v>
      </c>
      <c r="C11" s="12" t="s">
        <v>918</v>
      </c>
      <c r="D11" s="12">
        <v>100</v>
      </c>
      <c r="E11" s="12" t="s">
        <v>920</v>
      </c>
      <c r="F11" s="12">
        <v>1</v>
      </c>
      <c r="G11" s="12" t="s">
        <v>325</v>
      </c>
      <c r="H11" s="31">
        <f>ROUND((F11/D11)*100, 2)</f>
      </c>
      <c r="I11" s="31">
        <f>ROUND((F11/D11)*250, 2)</f>
      </c>
      <c r="J11" s="31">
        <f>ROUND((F11/D11)*500, 2)</f>
      </c>
    </row>
    <row r="12" ht="20" customHeight="1" spans="1:10" x14ac:dyDescent="0.25">
      <c r="A12" s="14">
        <v>3</v>
      </c>
      <c r="B12" s="14" t="s">
        <v>923</v>
      </c>
      <c r="C12" s="14" t="s">
        <v>918</v>
      </c>
      <c r="D12" s="14">
        <v>100</v>
      </c>
      <c r="E12" s="14" t="s">
        <v>921</v>
      </c>
      <c r="F12" s="14">
        <v>10</v>
      </c>
      <c r="G12" s="14" t="s">
        <v>325</v>
      </c>
      <c r="H12" s="33">
        <f>ROUND((F12/D12)*100, 2)</f>
      </c>
      <c r="I12" s="33">
        <f>ROUND((F12/D12)*250, 2)</f>
      </c>
      <c r="J12" s="33">
        <f>ROUND((F12/D12)*500, 2)</f>
      </c>
    </row>
    <row r="13" ht="20" customHeight="1" spans="1:10" x14ac:dyDescent="0.25">
      <c r="A13" s="12">
        <v>3</v>
      </c>
      <c r="B13" s="12" t="s">
        <v>923</v>
      </c>
      <c r="C13" s="12" t="s">
        <v>918</v>
      </c>
      <c r="D13" s="12">
        <v>100</v>
      </c>
      <c r="E13" s="12" t="s">
        <v>922</v>
      </c>
      <c r="F13" s="12">
        <v>3</v>
      </c>
      <c r="G13" s="12" t="s">
        <v>153</v>
      </c>
      <c r="H13" s="31">
        <f>ROUND((F13/D13)*100, 2)</f>
      </c>
      <c r="I13" s="31">
        <f>ROUND((F13/D13)*250, 2)</f>
      </c>
      <c r="J13" s="31">
        <f>ROUND((F13/D13)*500, 2)</f>
      </c>
    </row>
    <row r="14" ht="20" customHeight="1" spans="1:10" x14ac:dyDescent="0.25">
      <c r="A14" s="14">
        <v>4</v>
      </c>
      <c r="B14" s="14" t="s">
        <v>924</v>
      </c>
      <c r="C14" s="14" t="s">
        <v>918</v>
      </c>
      <c r="D14" s="14">
        <v>100</v>
      </c>
      <c r="E14" s="14" t="s">
        <v>919</v>
      </c>
      <c r="F14" s="14">
        <v>15</v>
      </c>
      <c r="G14" s="14" t="s">
        <v>153</v>
      </c>
      <c r="H14" s="33">
        <f>ROUND((F14/D14)*100, 2)</f>
      </c>
      <c r="I14" s="33">
        <f>ROUND((F14/D14)*250, 2)</f>
      </c>
      <c r="J14" s="33">
        <f>ROUND((F14/D14)*500, 2)</f>
      </c>
    </row>
    <row r="15" ht="20" customHeight="1" spans="1:10" x14ac:dyDescent="0.25">
      <c r="A15" s="12">
        <v>4</v>
      </c>
      <c r="B15" s="12" t="s">
        <v>924</v>
      </c>
      <c r="C15" s="12" t="s">
        <v>918</v>
      </c>
      <c r="D15" s="12">
        <v>100</v>
      </c>
      <c r="E15" s="12" t="s">
        <v>920</v>
      </c>
      <c r="F15" s="12">
        <v>1</v>
      </c>
      <c r="G15" s="12" t="s">
        <v>325</v>
      </c>
      <c r="H15" s="31">
        <f>ROUND((F15/D15)*100, 2)</f>
      </c>
      <c r="I15" s="31">
        <f>ROUND((F15/D15)*250, 2)</f>
      </c>
      <c r="J15" s="31">
        <f>ROUND((F15/D15)*500, 2)</f>
      </c>
    </row>
    <row r="16" ht="20" customHeight="1" spans="1:10" x14ac:dyDescent="0.25">
      <c r="A16" s="14">
        <v>4</v>
      </c>
      <c r="B16" s="14" t="s">
        <v>924</v>
      </c>
      <c r="C16" s="14" t="s">
        <v>918</v>
      </c>
      <c r="D16" s="14">
        <v>100</v>
      </c>
      <c r="E16" s="14" t="s">
        <v>921</v>
      </c>
      <c r="F16" s="14">
        <v>10</v>
      </c>
      <c r="G16" s="14" t="s">
        <v>325</v>
      </c>
      <c r="H16" s="33">
        <f>ROUND((F16/D16)*100, 2)</f>
      </c>
      <c r="I16" s="33">
        <f>ROUND((F16/D16)*250, 2)</f>
      </c>
      <c r="J16" s="33">
        <f>ROUND((F16/D16)*500, 2)</f>
      </c>
    </row>
    <row r="17" ht="20" customHeight="1" spans="1:10" x14ac:dyDescent="0.25">
      <c r="A17" s="12">
        <v>4</v>
      </c>
      <c r="B17" s="12" t="s">
        <v>924</v>
      </c>
      <c r="C17" s="12" t="s">
        <v>918</v>
      </c>
      <c r="D17" s="12">
        <v>100</v>
      </c>
      <c r="E17" s="12" t="s">
        <v>922</v>
      </c>
      <c r="F17" s="12">
        <v>3</v>
      </c>
      <c r="G17" s="12" t="s">
        <v>153</v>
      </c>
      <c r="H17" s="31">
        <f>ROUND((F17/D17)*100, 2)</f>
      </c>
      <c r="I17" s="31">
        <f>ROUND((F17/D17)*250, 2)</f>
      </c>
      <c r="J17" s="31">
        <f>ROUND((F17/D17)*500, 2)</f>
      </c>
    </row>
    <row r="18" ht="20" customHeight="1" spans="1:10" x14ac:dyDescent="0.25">
      <c r="A18" s="14">
        <v>5</v>
      </c>
      <c r="B18" s="14" t="s">
        <v>925</v>
      </c>
      <c r="C18" s="14" t="s">
        <v>918</v>
      </c>
      <c r="D18" s="14">
        <v>100</v>
      </c>
      <c r="E18" s="14" t="s">
        <v>919</v>
      </c>
      <c r="F18" s="14">
        <v>15</v>
      </c>
      <c r="G18" s="14" t="s">
        <v>153</v>
      </c>
      <c r="H18" s="33">
        <f>ROUND((F18/D18)*100, 2)</f>
      </c>
      <c r="I18" s="33">
        <f>ROUND((F18/D18)*250, 2)</f>
      </c>
      <c r="J18" s="33">
        <f>ROUND((F18/D18)*500, 2)</f>
      </c>
    </row>
    <row r="19" ht="20" customHeight="1" spans="1:10" x14ac:dyDescent="0.25">
      <c r="A19" s="12">
        <v>5</v>
      </c>
      <c r="B19" s="12" t="s">
        <v>925</v>
      </c>
      <c r="C19" s="12" t="s">
        <v>918</v>
      </c>
      <c r="D19" s="12">
        <v>100</v>
      </c>
      <c r="E19" s="12" t="s">
        <v>920</v>
      </c>
      <c r="F19" s="12">
        <v>1</v>
      </c>
      <c r="G19" s="12" t="s">
        <v>325</v>
      </c>
      <c r="H19" s="31">
        <f>ROUND((F19/D19)*100, 2)</f>
      </c>
      <c r="I19" s="31">
        <f>ROUND((F19/D19)*250, 2)</f>
      </c>
      <c r="J19" s="31">
        <f>ROUND((F19/D19)*500, 2)</f>
      </c>
    </row>
    <row r="20" ht="20" customHeight="1" spans="1:10" x14ac:dyDescent="0.25">
      <c r="A20" s="14">
        <v>5</v>
      </c>
      <c r="B20" s="14" t="s">
        <v>925</v>
      </c>
      <c r="C20" s="14" t="s">
        <v>918</v>
      </c>
      <c r="D20" s="14">
        <v>100</v>
      </c>
      <c r="E20" s="14" t="s">
        <v>921</v>
      </c>
      <c r="F20" s="14">
        <v>10</v>
      </c>
      <c r="G20" s="14" t="s">
        <v>325</v>
      </c>
      <c r="H20" s="33">
        <f>ROUND((F20/D20)*100, 2)</f>
      </c>
      <c r="I20" s="33">
        <f>ROUND((F20/D20)*250, 2)</f>
      </c>
      <c r="J20" s="33">
        <f>ROUND((F20/D20)*500, 2)</f>
      </c>
    </row>
    <row r="21" ht="20" customHeight="1" spans="1:10" x14ac:dyDescent="0.25">
      <c r="A21" s="12">
        <v>5</v>
      </c>
      <c r="B21" s="12" t="s">
        <v>925</v>
      </c>
      <c r="C21" s="12" t="s">
        <v>918</v>
      </c>
      <c r="D21" s="12">
        <v>100</v>
      </c>
      <c r="E21" s="12" t="s">
        <v>922</v>
      </c>
      <c r="F21" s="12">
        <v>3</v>
      </c>
      <c r="G21" s="12" t="s">
        <v>153</v>
      </c>
      <c r="H21" s="31">
        <f>ROUND((F21/D21)*100, 2)</f>
      </c>
      <c r="I21" s="31">
        <f>ROUND((F21/D21)*250, 2)</f>
      </c>
      <c r="J21" s="31">
        <f>ROUND((F21/D21)*500, 2)</f>
      </c>
    </row>
    <row r="22" ht="20" customHeight="1" spans="1:10" x14ac:dyDescent="0.25">
      <c r="A22" s="14">
        <v>6</v>
      </c>
      <c r="B22" s="14" t="s">
        <v>926</v>
      </c>
      <c r="C22" s="14" t="s">
        <v>918</v>
      </c>
      <c r="D22" s="14">
        <v>100</v>
      </c>
      <c r="E22" s="14" t="s">
        <v>919</v>
      </c>
      <c r="F22" s="14">
        <v>15</v>
      </c>
      <c r="G22" s="14" t="s">
        <v>153</v>
      </c>
      <c r="H22" s="33">
        <f>ROUND((F22/D22)*100, 2)</f>
      </c>
      <c r="I22" s="33">
        <f>ROUND((F22/D22)*250, 2)</f>
      </c>
      <c r="J22" s="33">
        <f>ROUND((F22/D22)*500, 2)</f>
      </c>
    </row>
    <row r="23" ht="20" customHeight="1" spans="1:10" x14ac:dyDescent="0.25">
      <c r="A23" s="12">
        <v>6</v>
      </c>
      <c r="B23" s="12" t="s">
        <v>926</v>
      </c>
      <c r="C23" s="12" t="s">
        <v>918</v>
      </c>
      <c r="D23" s="12">
        <v>100</v>
      </c>
      <c r="E23" s="12" t="s">
        <v>920</v>
      </c>
      <c r="F23" s="12">
        <v>1</v>
      </c>
      <c r="G23" s="12" t="s">
        <v>325</v>
      </c>
      <c r="H23" s="31">
        <f>ROUND((F23/D23)*100, 2)</f>
      </c>
      <c r="I23" s="31">
        <f>ROUND((F23/D23)*250, 2)</f>
      </c>
      <c r="J23" s="31">
        <f>ROUND((F23/D23)*500, 2)</f>
      </c>
    </row>
    <row r="24" ht="20" customHeight="1" spans="1:10" x14ac:dyDescent="0.25">
      <c r="A24" s="14">
        <v>6</v>
      </c>
      <c r="B24" s="14" t="s">
        <v>926</v>
      </c>
      <c r="C24" s="14" t="s">
        <v>918</v>
      </c>
      <c r="D24" s="14">
        <v>100</v>
      </c>
      <c r="E24" s="14" t="s">
        <v>921</v>
      </c>
      <c r="F24" s="14">
        <v>10</v>
      </c>
      <c r="G24" s="14" t="s">
        <v>325</v>
      </c>
      <c r="H24" s="33">
        <f>ROUND((F24/D24)*100, 2)</f>
      </c>
      <c r="I24" s="33">
        <f>ROUND((F24/D24)*250, 2)</f>
      </c>
      <c r="J24" s="33">
        <f>ROUND((F24/D24)*500, 2)</f>
      </c>
    </row>
    <row r="25" ht="20" customHeight="1" spans="1:10" x14ac:dyDescent="0.25">
      <c r="A25" s="12">
        <v>6</v>
      </c>
      <c r="B25" s="12" t="s">
        <v>926</v>
      </c>
      <c r="C25" s="12" t="s">
        <v>918</v>
      </c>
      <c r="D25" s="12">
        <v>100</v>
      </c>
      <c r="E25" s="12" t="s">
        <v>922</v>
      </c>
      <c r="F25" s="12">
        <v>3</v>
      </c>
      <c r="G25" s="12" t="s">
        <v>153</v>
      </c>
      <c r="H25" s="31">
        <f>ROUND((F25/D25)*100, 2)</f>
      </c>
      <c r="I25" s="31">
        <f>ROUND((F25/D25)*250, 2)</f>
      </c>
      <c r="J25" s="31">
        <f>ROUND((F25/D25)*500, 2)</f>
      </c>
    </row>
    <row r="26" ht="20" customHeight="1" spans="1:10" x14ac:dyDescent="0.25">
      <c r="A26" s="14">
        <v>7</v>
      </c>
      <c r="B26" s="14" t="s">
        <v>927</v>
      </c>
      <c r="C26" s="14" t="s">
        <v>918</v>
      </c>
      <c r="D26" s="14">
        <v>100</v>
      </c>
      <c r="E26" s="14" t="s">
        <v>919</v>
      </c>
      <c r="F26" s="14">
        <v>15</v>
      </c>
      <c r="G26" s="14" t="s">
        <v>153</v>
      </c>
      <c r="H26" s="33">
        <f>ROUND((F26/D26)*100, 2)</f>
      </c>
      <c r="I26" s="33">
        <f>ROUND((F26/D26)*250, 2)</f>
      </c>
      <c r="J26" s="33">
        <f>ROUND((F26/D26)*500, 2)</f>
      </c>
    </row>
    <row r="27" ht="20" customHeight="1" spans="1:10" x14ac:dyDescent="0.25">
      <c r="A27" s="12">
        <v>7</v>
      </c>
      <c r="B27" s="12" t="s">
        <v>927</v>
      </c>
      <c r="C27" s="12" t="s">
        <v>918</v>
      </c>
      <c r="D27" s="12">
        <v>100</v>
      </c>
      <c r="E27" s="12" t="s">
        <v>920</v>
      </c>
      <c r="F27" s="12">
        <v>1</v>
      </c>
      <c r="G27" s="12" t="s">
        <v>325</v>
      </c>
      <c r="H27" s="31">
        <f>ROUND((F27/D27)*100, 2)</f>
      </c>
      <c r="I27" s="31">
        <f>ROUND((F27/D27)*250, 2)</f>
      </c>
      <c r="J27" s="31">
        <f>ROUND((F27/D27)*500, 2)</f>
      </c>
    </row>
    <row r="28" ht="20" customHeight="1" spans="1:10" x14ac:dyDescent="0.25">
      <c r="A28" s="14">
        <v>7</v>
      </c>
      <c r="B28" s="14" t="s">
        <v>927</v>
      </c>
      <c r="C28" s="14" t="s">
        <v>918</v>
      </c>
      <c r="D28" s="14">
        <v>100</v>
      </c>
      <c r="E28" s="14" t="s">
        <v>921</v>
      </c>
      <c r="F28" s="14">
        <v>10</v>
      </c>
      <c r="G28" s="14" t="s">
        <v>325</v>
      </c>
      <c r="H28" s="33">
        <f>ROUND((F28/D28)*100, 2)</f>
      </c>
      <c r="I28" s="33">
        <f>ROUND((F28/D28)*250, 2)</f>
      </c>
      <c r="J28" s="33">
        <f>ROUND((F28/D28)*500, 2)</f>
      </c>
    </row>
    <row r="29" ht="20" customHeight="1" spans="1:10" x14ac:dyDescent="0.25">
      <c r="A29" s="12">
        <v>7</v>
      </c>
      <c r="B29" s="12" t="s">
        <v>927</v>
      </c>
      <c r="C29" s="12" t="s">
        <v>918</v>
      </c>
      <c r="D29" s="12">
        <v>100</v>
      </c>
      <c r="E29" s="12" t="s">
        <v>922</v>
      </c>
      <c r="F29" s="12">
        <v>3</v>
      </c>
      <c r="G29" s="12" t="s">
        <v>153</v>
      </c>
      <c r="H29" s="31">
        <f>ROUND((F29/D29)*100, 2)</f>
      </c>
      <c r="I29" s="31">
        <f>ROUND((F29/D29)*250, 2)</f>
      </c>
      <c r="J29" s="31">
        <f>ROUND((F29/D29)*500, 2)</f>
      </c>
    </row>
    <row r="30" ht="20" customHeight="1" spans="1:10" x14ac:dyDescent="0.25">
      <c r="A30" s="14">
        <v>8</v>
      </c>
      <c r="B30" s="14" t="s">
        <v>928</v>
      </c>
      <c r="C30" s="14" t="s">
        <v>918</v>
      </c>
      <c r="D30" s="14">
        <v>100</v>
      </c>
      <c r="E30" s="14" t="s">
        <v>919</v>
      </c>
      <c r="F30" s="14">
        <v>15</v>
      </c>
      <c r="G30" s="14" t="s">
        <v>153</v>
      </c>
      <c r="H30" s="33">
        <f>ROUND((F30/D30)*100, 2)</f>
      </c>
      <c r="I30" s="33">
        <f>ROUND((F30/D30)*250, 2)</f>
      </c>
      <c r="J30" s="33">
        <f>ROUND((F30/D30)*500, 2)</f>
      </c>
    </row>
    <row r="31" ht="20" customHeight="1" spans="1:10" x14ac:dyDescent="0.25">
      <c r="A31" s="12">
        <v>8</v>
      </c>
      <c r="B31" s="12" t="s">
        <v>928</v>
      </c>
      <c r="C31" s="12" t="s">
        <v>918</v>
      </c>
      <c r="D31" s="12">
        <v>100</v>
      </c>
      <c r="E31" s="12" t="s">
        <v>920</v>
      </c>
      <c r="F31" s="12">
        <v>1</v>
      </c>
      <c r="G31" s="12" t="s">
        <v>325</v>
      </c>
      <c r="H31" s="31">
        <f>ROUND((F31/D31)*100, 2)</f>
      </c>
      <c r="I31" s="31">
        <f>ROUND((F31/D31)*250, 2)</f>
      </c>
      <c r="J31" s="31">
        <f>ROUND((F31/D31)*500, 2)</f>
      </c>
    </row>
    <row r="32" ht="20" customHeight="1" spans="1:10" x14ac:dyDescent="0.25">
      <c r="A32" s="14">
        <v>8</v>
      </c>
      <c r="B32" s="14" t="s">
        <v>928</v>
      </c>
      <c r="C32" s="14" t="s">
        <v>918</v>
      </c>
      <c r="D32" s="14">
        <v>100</v>
      </c>
      <c r="E32" s="14" t="s">
        <v>921</v>
      </c>
      <c r="F32" s="14">
        <v>10</v>
      </c>
      <c r="G32" s="14" t="s">
        <v>325</v>
      </c>
      <c r="H32" s="33">
        <f>ROUND((F32/D32)*100, 2)</f>
      </c>
      <c r="I32" s="33">
        <f>ROUND((F32/D32)*250, 2)</f>
      </c>
      <c r="J32" s="33">
        <f>ROUND((F32/D32)*500, 2)</f>
      </c>
    </row>
    <row r="33" ht="20" customHeight="1" spans="1:10" x14ac:dyDescent="0.25">
      <c r="A33" s="12">
        <v>8</v>
      </c>
      <c r="B33" s="12" t="s">
        <v>928</v>
      </c>
      <c r="C33" s="12" t="s">
        <v>918</v>
      </c>
      <c r="D33" s="12">
        <v>100</v>
      </c>
      <c r="E33" s="12" t="s">
        <v>922</v>
      </c>
      <c r="F33" s="12">
        <v>3</v>
      </c>
      <c r="G33" s="12" t="s">
        <v>153</v>
      </c>
      <c r="H33" s="31">
        <f>ROUND((F33/D33)*100, 2)</f>
      </c>
      <c r="I33" s="31">
        <f>ROUND((F33/D33)*250, 2)</f>
      </c>
      <c r="J33" s="31">
        <f>ROUND((F33/D33)*500, 2)</f>
      </c>
    </row>
    <row r="34" ht="20" customHeight="1" spans="1:10" x14ac:dyDescent="0.25">
      <c r="A34" s="14">
        <v>9</v>
      </c>
      <c r="B34" s="14" t="s">
        <v>929</v>
      </c>
      <c r="C34" s="14" t="s">
        <v>918</v>
      </c>
      <c r="D34" s="14">
        <v>100</v>
      </c>
      <c r="E34" s="14" t="s">
        <v>919</v>
      </c>
      <c r="F34" s="14">
        <v>15</v>
      </c>
      <c r="G34" s="14" t="s">
        <v>153</v>
      </c>
      <c r="H34" s="33">
        <f>ROUND((F34/D34)*100, 2)</f>
      </c>
      <c r="I34" s="33">
        <f>ROUND((F34/D34)*250, 2)</f>
      </c>
      <c r="J34" s="33">
        <f>ROUND((F34/D34)*500, 2)</f>
      </c>
    </row>
    <row r="35" ht="20" customHeight="1" spans="1:10" x14ac:dyDescent="0.25">
      <c r="A35" s="12">
        <v>9</v>
      </c>
      <c r="B35" s="12" t="s">
        <v>929</v>
      </c>
      <c r="C35" s="12" t="s">
        <v>918</v>
      </c>
      <c r="D35" s="12">
        <v>100</v>
      </c>
      <c r="E35" s="12" t="s">
        <v>920</v>
      </c>
      <c r="F35" s="12">
        <v>1</v>
      </c>
      <c r="G35" s="12" t="s">
        <v>325</v>
      </c>
      <c r="H35" s="31">
        <f>ROUND((F35/D35)*100, 2)</f>
      </c>
      <c r="I35" s="31">
        <f>ROUND((F35/D35)*250, 2)</f>
      </c>
      <c r="J35" s="31">
        <f>ROUND((F35/D35)*500, 2)</f>
      </c>
    </row>
    <row r="36" ht="20" customHeight="1" spans="1:10" x14ac:dyDescent="0.25">
      <c r="A36" s="14">
        <v>9</v>
      </c>
      <c r="B36" s="14" t="s">
        <v>929</v>
      </c>
      <c r="C36" s="14" t="s">
        <v>918</v>
      </c>
      <c r="D36" s="14">
        <v>100</v>
      </c>
      <c r="E36" s="14" t="s">
        <v>921</v>
      </c>
      <c r="F36" s="14">
        <v>10</v>
      </c>
      <c r="G36" s="14" t="s">
        <v>325</v>
      </c>
      <c r="H36" s="33">
        <f>ROUND((F36/D36)*100, 2)</f>
      </c>
      <c r="I36" s="33">
        <f>ROUND((F36/D36)*250, 2)</f>
      </c>
      <c r="J36" s="33">
        <f>ROUND((F36/D36)*500, 2)</f>
      </c>
    </row>
    <row r="37" ht="20" customHeight="1" spans="1:10" x14ac:dyDescent="0.25">
      <c r="A37" s="12">
        <v>9</v>
      </c>
      <c r="B37" s="12" t="s">
        <v>929</v>
      </c>
      <c r="C37" s="12" t="s">
        <v>918</v>
      </c>
      <c r="D37" s="12">
        <v>100</v>
      </c>
      <c r="E37" s="12" t="s">
        <v>922</v>
      </c>
      <c r="F37" s="12">
        <v>3</v>
      </c>
      <c r="G37" s="12" t="s">
        <v>153</v>
      </c>
      <c r="H37" s="31">
        <f>ROUND((F37/D37)*100, 2)</f>
      </c>
      <c r="I37" s="31">
        <f>ROUND((F37/D37)*250, 2)</f>
      </c>
      <c r="J37" s="31">
        <f>ROUND((F37/D37)*500, 2)</f>
      </c>
    </row>
    <row r="38" ht="20" customHeight="1" spans="1:10" x14ac:dyDescent="0.25">
      <c r="A38" s="14">
        <v>10</v>
      </c>
      <c r="B38" s="14" t="s">
        <v>930</v>
      </c>
      <c r="C38" s="14" t="s">
        <v>918</v>
      </c>
      <c r="D38" s="14">
        <v>100</v>
      </c>
      <c r="E38" s="14" t="s">
        <v>919</v>
      </c>
      <c r="F38" s="14">
        <v>15</v>
      </c>
      <c r="G38" s="14" t="s">
        <v>153</v>
      </c>
      <c r="H38" s="33">
        <f>ROUND((F38/D38)*100, 2)</f>
      </c>
      <c r="I38" s="33">
        <f>ROUND((F38/D38)*250, 2)</f>
      </c>
      <c r="J38" s="33">
        <f>ROUND((F38/D38)*500, 2)</f>
      </c>
    </row>
    <row r="39" ht="20" customHeight="1" spans="1:10" x14ac:dyDescent="0.25">
      <c r="A39" s="12">
        <v>10</v>
      </c>
      <c r="B39" s="12" t="s">
        <v>930</v>
      </c>
      <c r="C39" s="12" t="s">
        <v>918</v>
      </c>
      <c r="D39" s="12">
        <v>100</v>
      </c>
      <c r="E39" s="12" t="s">
        <v>920</v>
      </c>
      <c r="F39" s="12">
        <v>1</v>
      </c>
      <c r="G39" s="12" t="s">
        <v>325</v>
      </c>
      <c r="H39" s="31">
        <f>ROUND((F39/D39)*100, 2)</f>
      </c>
      <c r="I39" s="31">
        <f>ROUND((F39/D39)*250, 2)</f>
      </c>
      <c r="J39" s="31">
        <f>ROUND((F39/D39)*500, 2)</f>
      </c>
    </row>
    <row r="40" ht="20" customHeight="1" spans="1:10" x14ac:dyDescent="0.25">
      <c r="A40" s="14">
        <v>10</v>
      </c>
      <c r="B40" s="14" t="s">
        <v>930</v>
      </c>
      <c r="C40" s="14" t="s">
        <v>918</v>
      </c>
      <c r="D40" s="14">
        <v>100</v>
      </c>
      <c r="E40" s="14" t="s">
        <v>921</v>
      </c>
      <c r="F40" s="14">
        <v>10</v>
      </c>
      <c r="G40" s="14" t="s">
        <v>325</v>
      </c>
      <c r="H40" s="33">
        <f>ROUND((F40/D40)*100, 2)</f>
      </c>
      <c r="I40" s="33">
        <f>ROUND((F40/D40)*250, 2)</f>
      </c>
      <c r="J40" s="33">
        <f>ROUND((F40/D40)*500, 2)</f>
      </c>
    </row>
    <row r="41" ht="20" customHeight="1" spans="1:10" x14ac:dyDescent="0.25">
      <c r="A41" s="12">
        <v>10</v>
      </c>
      <c r="B41" s="12" t="s">
        <v>930</v>
      </c>
      <c r="C41" s="12" t="s">
        <v>918</v>
      </c>
      <c r="D41" s="12">
        <v>100</v>
      </c>
      <c r="E41" s="12" t="s">
        <v>922</v>
      </c>
      <c r="F41" s="12">
        <v>3</v>
      </c>
      <c r="G41" s="12" t="s">
        <v>153</v>
      </c>
      <c r="H41" s="31">
        <f>ROUND((F41/D41)*100, 2)</f>
      </c>
      <c r="I41" s="31">
        <f>ROUND((F41/D41)*250, 2)</f>
      </c>
      <c r="J41" s="31">
        <f>ROUND((F41/D41)*500, 2)</f>
      </c>
    </row>
    <row r="42" ht="20" customHeight="1" spans="1:10" x14ac:dyDescent="0.25">
      <c r="A42" s="14">
        <v>11</v>
      </c>
      <c r="B42" s="14" t="s">
        <v>931</v>
      </c>
      <c r="C42" s="14" t="s">
        <v>918</v>
      </c>
      <c r="D42" s="14">
        <v>100</v>
      </c>
      <c r="E42" s="14" t="s">
        <v>919</v>
      </c>
      <c r="F42" s="14">
        <v>15</v>
      </c>
      <c r="G42" s="14" t="s">
        <v>153</v>
      </c>
      <c r="H42" s="33">
        <f>ROUND((F42/D42)*100, 2)</f>
      </c>
      <c r="I42" s="33">
        <f>ROUND((F42/D42)*250, 2)</f>
      </c>
      <c r="J42" s="33">
        <f>ROUND((F42/D42)*500, 2)</f>
      </c>
    </row>
    <row r="43" ht="20" customHeight="1" spans="1:10" x14ac:dyDescent="0.25">
      <c r="A43" s="12">
        <v>11</v>
      </c>
      <c r="B43" s="12" t="s">
        <v>931</v>
      </c>
      <c r="C43" s="12" t="s">
        <v>918</v>
      </c>
      <c r="D43" s="12">
        <v>100</v>
      </c>
      <c r="E43" s="12" t="s">
        <v>920</v>
      </c>
      <c r="F43" s="12">
        <v>1</v>
      </c>
      <c r="G43" s="12" t="s">
        <v>325</v>
      </c>
      <c r="H43" s="31">
        <f>ROUND((F43/D43)*100, 2)</f>
      </c>
      <c r="I43" s="31">
        <f>ROUND((F43/D43)*250, 2)</f>
      </c>
      <c r="J43" s="31">
        <f>ROUND((F43/D43)*500, 2)</f>
      </c>
    </row>
    <row r="44" ht="20" customHeight="1" spans="1:10" x14ac:dyDescent="0.25">
      <c r="A44" s="14">
        <v>11</v>
      </c>
      <c r="B44" s="14" t="s">
        <v>931</v>
      </c>
      <c r="C44" s="14" t="s">
        <v>918</v>
      </c>
      <c r="D44" s="14">
        <v>100</v>
      </c>
      <c r="E44" s="14" t="s">
        <v>921</v>
      </c>
      <c r="F44" s="14">
        <v>10</v>
      </c>
      <c r="G44" s="14" t="s">
        <v>325</v>
      </c>
      <c r="H44" s="33">
        <f>ROUND((F44/D44)*100, 2)</f>
      </c>
      <c r="I44" s="33">
        <f>ROUND((F44/D44)*250, 2)</f>
      </c>
      <c r="J44" s="33">
        <f>ROUND((F44/D44)*500, 2)</f>
      </c>
    </row>
    <row r="45" ht="20" customHeight="1" spans="1:10" x14ac:dyDescent="0.25">
      <c r="A45" s="12">
        <v>11</v>
      </c>
      <c r="B45" s="12" t="s">
        <v>931</v>
      </c>
      <c r="C45" s="12" t="s">
        <v>918</v>
      </c>
      <c r="D45" s="12">
        <v>100</v>
      </c>
      <c r="E45" s="12" t="s">
        <v>922</v>
      </c>
      <c r="F45" s="12">
        <v>3</v>
      </c>
      <c r="G45" s="12" t="s">
        <v>153</v>
      </c>
      <c r="H45" s="31">
        <f>ROUND((F45/D45)*100, 2)</f>
      </c>
      <c r="I45" s="31">
        <f>ROUND((F45/D45)*250, 2)</f>
      </c>
      <c r="J45" s="31">
        <f>ROUND((F45/D45)*500, 2)</f>
      </c>
    </row>
    <row r="46" ht="20" customHeight="1" spans="1:10" x14ac:dyDescent="0.25">
      <c r="A46" s="14">
        <v>12</v>
      </c>
      <c r="B46" s="14" t="s">
        <v>932</v>
      </c>
      <c r="C46" s="14" t="s">
        <v>918</v>
      </c>
      <c r="D46" s="14">
        <v>100</v>
      </c>
      <c r="E46" s="14" t="s">
        <v>919</v>
      </c>
      <c r="F46" s="14">
        <v>15</v>
      </c>
      <c r="G46" s="14" t="s">
        <v>153</v>
      </c>
      <c r="H46" s="33">
        <f>ROUND((F46/D46)*100, 2)</f>
      </c>
      <c r="I46" s="33">
        <f>ROUND((F46/D46)*250, 2)</f>
      </c>
      <c r="J46" s="33">
        <f>ROUND((F46/D46)*500, 2)</f>
      </c>
    </row>
    <row r="47" ht="20" customHeight="1" spans="1:10" x14ac:dyDescent="0.25">
      <c r="A47" s="12">
        <v>12</v>
      </c>
      <c r="B47" s="12" t="s">
        <v>932</v>
      </c>
      <c r="C47" s="12" t="s">
        <v>918</v>
      </c>
      <c r="D47" s="12">
        <v>100</v>
      </c>
      <c r="E47" s="12" t="s">
        <v>920</v>
      </c>
      <c r="F47" s="12">
        <v>1</v>
      </c>
      <c r="G47" s="12" t="s">
        <v>325</v>
      </c>
      <c r="H47" s="31">
        <f>ROUND((F47/D47)*100, 2)</f>
      </c>
      <c r="I47" s="31">
        <f>ROUND((F47/D47)*250, 2)</f>
      </c>
      <c r="J47" s="31">
        <f>ROUND((F47/D47)*500, 2)</f>
      </c>
    </row>
    <row r="48" ht="20" customHeight="1" spans="1:10" x14ac:dyDescent="0.25">
      <c r="A48" s="14">
        <v>12</v>
      </c>
      <c r="B48" s="14" t="s">
        <v>932</v>
      </c>
      <c r="C48" s="14" t="s">
        <v>918</v>
      </c>
      <c r="D48" s="14">
        <v>100</v>
      </c>
      <c r="E48" s="14" t="s">
        <v>921</v>
      </c>
      <c r="F48" s="14">
        <v>10</v>
      </c>
      <c r="G48" s="14" t="s">
        <v>325</v>
      </c>
      <c r="H48" s="33">
        <f>ROUND((F48/D48)*100, 2)</f>
      </c>
      <c r="I48" s="33">
        <f>ROUND((F48/D48)*250, 2)</f>
      </c>
      <c r="J48" s="33">
        <f>ROUND((F48/D48)*500, 2)</f>
      </c>
    </row>
    <row r="49" ht="20" customHeight="1" spans="1:10" x14ac:dyDescent="0.25">
      <c r="A49" s="12">
        <v>12</v>
      </c>
      <c r="B49" s="12" t="s">
        <v>932</v>
      </c>
      <c r="C49" s="12" t="s">
        <v>918</v>
      </c>
      <c r="D49" s="12">
        <v>100</v>
      </c>
      <c r="E49" s="12" t="s">
        <v>922</v>
      </c>
      <c r="F49" s="12">
        <v>3</v>
      </c>
      <c r="G49" s="12" t="s">
        <v>153</v>
      </c>
      <c r="H49" s="31">
        <f>ROUND((F49/D49)*100, 2)</f>
      </c>
      <c r="I49" s="31">
        <f>ROUND((F49/D49)*250, 2)</f>
      </c>
      <c r="J49" s="31">
        <f>ROUND((F49/D49)*500, 2)</f>
      </c>
    </row>
    <row r="50" ht="20" customHeight="1" spans="1:10" x14ac:dyDescent="0.25">
      <c r="A50" s="14">
        <v>13</v>
      </c>
      <c r="B50" s="14" t="s">
        <v>933</v>
      </c>
      <c r="C50" s="14" t="s">
        <v>918</v>
      </c>
      <c r="D50" s="14">
        <v>100</v>
      </c>
      <c r="E50" s="14" t="s">
        <v>919</v>
      </c>
      <c r="F50" s="14">
        <v>15</v>
      </c>
      <c r="G50" s="14" t="s">
        <v>153</v>
      </c>
      <c r="H50" s="33">
        <f>ROUND((F50/D50)*100, 2)</f>
      </c>
      <c r="I50" s="33">
        <f>ROUND((F50/D50)*250, 2)</f>
      </c>
      <c r="J50" s="33">
        <f>ROUND((F50/D50)*500, 2)</f>
      </c>
    </row>
    <row r="51" ht="20" customHeight="1" spans="1:10" x14ac:dyDescent="0.25">
      <c r="A51" s="12">
        <v>13</v>
      </c>
      <c r="B51" s="12" t="s">
        <v>933</v>
      </c>
      <c r="C51" s="12" t="s">
        <v>918</v>
      </c>
      <c r="D51" s="12">
        <v>100</v>
      </c>
      <c r="E51" s="12" t="s">
        <v>920</v>
      </c>
      <c r="F51" s="12">
        <v>1</v>
      </c>
      <c r="G51" s="12" t="s">
        <v>325</v>
      </c>
      <c r="H51" s="31">
        <f>ROUND((F51/D51)*100, 2)</f>
      </c>
      <c r="I51" s="31">
        <f>ROUND((F51/D51)*250, 2)</f>
      </c>
      <c r="J51" s="31">
        <f>ROUND((F51/D51)*500, 2)</f>
      </c>
    </row>
    <row r="52" ht="20" customHeight="1" spans="1:10" x14ac:dyDescent="0.25">
      <c r="A52" s="14">
        <v>13</v>
      </c>
      <c r="B52" s="14" t="s">
        <v>933</v>
      </c>
      <c r="C52" s="14" t="s">
        <v>918</v>
      </c>
      <c r="D52" s="14">
        <v>100</v>
      </c>
      <c r="E52" s="14" t="s">
        <v>921</v>
      </c>
      <c r="F52" s="14">
        <v>10</v>
      </c>
      <c r="G52" s="14" t="s">
        <v>325</v>
      </c>
      <c r="H52" s="33">
        <f>ROUND((F52/D52)*100, 2)</f>
      </c>
      <c r="I52" s="33">
        <f>ROUND((F52/D52)*250, 2)</f>
      </c>
      <c r="J52" s="33">
        <f>ROUND((F52/D52)*500, 2)</f>
      </c>
    </row>
    <row r="53" ht="20" customHeight="1" spans="1:10" x14ac:dyDescent="0.25">
      <c r="A53" s="12">
        <v>13</v>
      </c>
      <c r="B53" s="12" t="s">
        <v>933</v>
      </c>
      <c r="C53" s="12" t="s">
        <v>918</v>
      </c>
      <c r="D53" s="12">
        <v>100</v>
      </c>
      <c r="E53" s="12" t="s">
        <v>922</v>
      </c>
      <c r="F53" s="12">
        <v>3</v>
      </c>
      <c r="G53" s="12" t="s">
        <v>153</v>
      </c>
      <c r="H53" s="31">
        <f>ROUND((F53/D53)*100, 2)</f>
      </c>
      <c r="I53" s="31">
        <f>ROUND((F53/D53)*250, 2)</f>
      </c>
      <c r="J53" s="31">
        <f>ROUND((F53/D53)*500, 2)</f>
      </c>
    </row>
    <row r="54" ht="20" customHeight="1" spans="1:10" x14ac:dyDescent="0.25">
      <c r="A54" s="14">
        <v>14</v>
      </c>
      <c r="B54" s="14" t="s">
        <v>934</v>
      </c>
      <c r="C54" s="14" t="s">
        <v>918</v>
      </c>
      <c r="D54" s="14">
        <v>100</v>
      </c>
      <c r="E54" s="14" t="s">
        <v>919</v>
      </c>
      <c r="F54" s="14">
        <v>15</v>
      </c>
      <c r="G54" s="14" t="s">
        <v>153</v>
      </c>
      <c r="H54" s="33">
        <f>ROUND((F54/D54)*100, 2)</f>
      </c>
      <c r="I54" s="33">
        <f>ROUND((F54/D54)*250, 2)</f>
      </c>
      <c r="J54" s="33">
        <f>ROUND((F54/D54)*500, 2)</f>
      </c>
    </row>
    <row r="55" ht="20" customHeight="1" spans="1:10" x14ac:dyDescent="0.25">
      <c r="A55" s="12">
        <v>14</v>
      </c>
      <c r="B55" s="12" t="s">
        <v>934</v>
      </c>
      <c r="C55" s="12" t="s">
        <v>918</v>
      </c>
      <c r="D55" s="12">
        <v>100</v>
      </c>
      <c r="E55" s="12" t="s">
        <v>920</v>
      </c>
      <c r="F55" s="12">
        <v>1</v>
      </c>
      <c r="G55" s="12" t="s">
        <v>325</v>
      </c>
      <c r="H55" s="31">
        <f>ROUND((F55/D55)*100, 2)</f>
      </c>
      <c r="I55" s="31">
        <f>ROUND((F55/D55)*250, 2)</f>
      </c>
      <c r="J55" s="31">
        <f>ROUND((F55/D55)*500, 2)</f>
      </c>
    </row>
    <row r="56" ht="20" customHeight="1" spans="1:10" x14ac:dyDescent="0.25">
      <c r="A56" s="14">
        <v>14</v>
      </c>
      <c r="B56" s="14" t="s">
        <v>934</v>
      </c>
      <c r="C56" s="14" t="s">
        <v>918</v>
      </c>
      <c r="D56" s="14">
        <v>100</v>
      </c>
      <c r="E56" s="14" t="s">
        <v>921</v>
      </c>
      <c r="F56" s="14">
        <v>10</v>
      </c>
      <c r="G56" s="14" t="s">
        <v>325</v>
      </c>
      <c r="H56" s="33">
        <f>ROUND((F56/D56)*100, 2)</f>
      </c>
      <c r="I56" s="33">
        <f>ROUND((F56/D56)*250, 2)</f>
      </c>
      <c r="J56" s="33">
        <f>ROUND((F56/D56)*500, 2)</f>
      </c>
    </row>
    <row r="57" ht="20" customHeight="1" spans="1:10" x14ac:dyDescent="0.25">
      <c r="A57" s="12">
        <v>14</v>
      </c>
      <c r="B57" s="12" t="s">
        <v>934</v>
      </c>
      <c r="C57" s="12" t="s">
        <v>918</v>
      </c>
      <c r="D57" s="12">
        <v>100</v>
      </c>
      <c r="E57" s="12" t="s">
        <v>922</v>
      </c>
      <c r="F57" s="12">
        <v>3</v>
      </c>
      <c r="G57" s="12" t="s">
        <v>153</v>
      </c>
      <c r="H57" s="31">
        <f>ROUND((F57/D57)*100, 2)</f>
      </c>
      <c r="I57" s="31">
        <f>ROUND((F57/D57)*250, 2)</f>
      </c>
      <c r="J57" s="31">
        <f>ROUND((F57/D57)*500, 2)</f>
      </c>
    </row>
    <row r="58" ht="20" customHeight="1" spans="1:10" x14ac:dyDescent="0.25">
      <c r="A58" s="14">
        <v>15</v>
      </c>
      <c r="B58" s="14" t="s">
        <v>935</v>
      </c>
      <c r="C58" s="14" t="s">
        <v>918</v>
      </c>
      <c r="D58" s="14">
        <v>100</v>
      </c>
      <c r="E58" s="14" t="s">
        <v>919</v>
      </c>
      <c r="F58" s="14">
        <v>15</v>
      </c>
      <c r="G58" s="14" t="s">
        <v>153</v>
      </c>
      <c r="H58" s="33">
        <f>ROUND((F58/D58)*100, 2)</f>
      </c>
      <c r="I58" s="33">
        <f>ROUND((F58/D58)*250, 2)</f>
      </c>
      <c r="J58" s="33">
        <f>ROUND((F58/D58)*500, 2)</f>
      </c>
    </row>
    <row r="59" ht="20" customHeight="1" spans="1:10" x14ac:dyDescent="0.25">
      <c r="A59" s="12">
        <v>15</v>
      </c>
      <c r="B59" s="12" t="s">
        <v>935</v>
      </c>
      <c r="C59" s="12" t="s">
        <v>918</v>
      </c>
      <c r="D59" s="12">
        <v>100</v>
      </c>
      <c r="E59" s="12" t="s">
        <v>920</v>
      </c>
      <c r="F59" s="12">
        <v>1</v>
      </c>
      <c r="G59" s="12" t="s">
        <v>325</v>
      </c>
      <c r="H59" s="31">
        <f>ROUND((F59/D59)*100, 2)</f>
      </c>
      <c r="I59" s="31">
        <f>ROUND((F59/D59)*250, 2)</f>
      </c>
      <c r="J59" s="31">
        <f>ROUND((F59/D59)*500, 2)</f>
      </c>
    </row>
    <row r="60" ht="20" customHeight="1" spans="1:10" x14ac:dyDescent="0.25">
      <c r="A60" s="14">
        <v>15</v>
      </c>
      <c r="B60" s="14" t="s">
        <v>935</v>
      </c>
      <c r="C60" s="14" t="s">
        <v>918</v>
      </c>
      <c r="D60" s="14">
        <v>100</v>
      </c>
      <c r="E60" s="14" t="s">
        <v>921</v>
      </c>
      <c r="F60" s="14">
        <v>10</v>
      </c>
      <c r="G60" s="14" t="s">
        <v>325</v>
      </c>
      <c r="H60" s="33">
        <f>ROUND((F60/D60)*100, 2)</f>
      </c>
      <c r="I60" s="33">
        <f>ROUND((F60/D60)*250, 2)</f>
      </c>
      <c r="J60" s="33">
        <f>ROUND((F60/D60)*500, 2)</f>
      </c>
    </row>
    <row r="61" ht="20" customHeight="1" spans="1:10" x14ac:dyDescent="0.25">
      <c r="A61" s="12">
        <v>15</v>
      </c>
      <c r="B61" s="12" t="s">
        <v>935</v>
      </c>
      <c r="C61" s="12" t="s">
        <v>918</v>
      </c>
      <c r="D61" s="12">
        <v>100</v>
      </c>
      <c r="E61" s="12" t="s">
        <v>922</v>
      </c>
      <c r="F61" s="12">
        <v>3</v>
      </c>
      <c r="G61" s="12" t="s">
        <v>153</v>
      </c>
      <c r="H61" s="31">
        <f>ROUND((F61/D61)*100, 2)</f>
      </c>
      <c r="I61" s="31">
        <f>ROUND((F61/D61)*250, 2)</f>
      </c>
      <c r="J61" s="31">
        <f>ROUND((F61/D61)*500, 2)</f>
      </c>
    </row>
    <row r="62" ht="20" customHeight="1" spans="1:10" x14ac:dyDescent="0.25">
      <c r="A62" s="14">
        <v>16</v>
      </c>
      <c r="B62" s="14" t="s">
        <v>936</v>
      </c>
      <c r="C62" s="14" t="s">
        <v>918</v>
      </c>
      <c r="D62" s="14">
        <v>100</v>
      </c>
      <c r="E62" s="14" t="s">
        <v>919</v>
      </c>
      <c r="F62" s="14">
        <v>15</v>
      </c>
      <c r="G62" s="14" t="s">
        <v>153</v>
      </c>
      <c r="H62" s="33">
        <f>ROUND((F62/D62)*100, 2)</f>
      </c>
      <c r="I62" s="33">
        <f>ROUND((F62/D62)*250, 2)</f>
      </c>
      <c r="J62" s="33">
        <f>ROUND((F62/D62)*500, 2)</f>
      </c>
    </row>
    <row r="63" ht="20" customHeight="1" spans="1:10" x14ac:dyDescent="0.25">
      <c r="A63" s="12">
        <v>16</v>
      </c>
      <c r="B63" s="12" t="s">
        <v>936</v>
      </c>
      <c r="C63" s="12" t="s">
        <v>918</v>
      </c>
      <c r="D63" s="12">
        <v>100</v>
      </c>
      <c r="E63" s="12" t="s">
        <v>920</v>
      </c>
      <c r="F63" s="12">
        <v>1</v>
      </c>
      <c r="G63" s="12" t="s">
        <v>325</v>
      </c>
      <c r="H63" s="31">
        <f>ROUND((F63/D63)*100, 2)</f>
      </c>
      <c r="I63" s="31">
        <f>ROUND((F63/D63)*250, 2)</f>
      </c>
      <c r="J63" s="31">
        <f>ROUND((F63/D63)*500, 2)</f>
      </c>
    </row>
    <row r="64" ht="20" customHeight="1" spans="1:10" x14ac:dyDescent="0.25">
      <c r="A64" s="14">
        <v>16</v>
      </c>
      <c r="B64" s="14" t="s">
        <v>936</v>
      </c>
      <c r="C64" s="14" t="s">
        <v>918</v>
      </c>
      <c r="D64" s="14">
        <v>100</v>
      </c>
      <c r="E64" s="14" t="s">
        <v>921</v>
      </c>
      <c r="F64" s="14">
        <v>10</v>
      </c>
      <c r="G64" s="14" t="s">
        <v>325</v>
      </c>
      <c r="H64" s="33">
        <f>ROUND((F64/D64)*100, 2)</f>
      </c>
      <c r="I64" s="33">
        <f>ROUND((F64/D64)*250, 2)</f>
      </c>
      <c r="J64" s="33">
        <f>ROUND((F64/D64)*500, 2)</f>
      </c>
    </row>
    <row r="65" ht="20" customHeight="1" spans="1:10" x14ac:dyDescent="0.25">
      <c r="A65" s="12">
        <v>16</v>
      </c>
      <c r="B65" s="12" t="s">
        <v>936</v>
      </c>
      <c r="C65" s="12" t="s">
        <v>918</v>
      </c>
      <c r="D65" s="12">
        <v>100</v>
      </c>
      <c r="E65" s="12" t="s">
        <v>922</v>
      </c>
      <c r="F65" s="12">
        <v>3</v>
      </c>
      <c r="G65" s="12" t="s">
        <v>153</v>
      </c>
      <c r="H65" s="31">
        <f>ROUND((F65/D65)*100, 2)</f>
      </c>
      <c r="I65" s="31">
        <f>ROUND((F65/D65)*250, 2)</f>
      </c>
      <c r="J65" s="31">
        <f>ROUND((F65/D65)*500, 2)</f>
      </c>
    </row>
    <row r="66" ht="20" customHeight="1" spans="1:10" x14ac:dyDescent="0.25">
      <c r="A66" s="14">
        <v>17</v>
      </c>
      <c r="B66" s="14" t="s">
        <v>937</v>
      </c>
      <c r="C66" s="14" t="s">
        <v>918</v>
      </c>
      <c r="D66" s="14">
        <v>100</v>
      </c>
      <c r="E66" s="14" t="s">
        <v>919</v>
      </c>
      <c r="F66" s="14">
        <v>15</v>
      </c>
      <c r="G66" s="14" t="s">
        <v>153</v>
      </c>
      <c r="H66" s="33">
        <f>ROUND((F66/D66)*100, 2)</f>
      </c>
      <c r="I66" s="33">
        <f>ROUND((F66/D66)*250, 2)</f>
      </c>
      <c r="J66" s="33">
        <f>ROUND((F66/D66)*500, 2)</f>
      </c>
    </row>
    <row r="67" ht="20" customHeight="1" spans="1:10" x14ac:dyDescent="0.25">
      <c r="A67" s="12">
        <v>17</v>
      </c>
      <c r="B67" s="12" t="s">
        <v>937</v>
      </c>
      <c r="C67" s="12" t="s">
        <v>918</v>
      </c>
      <c r="D67" s="12">
        <v>100</v>
      </c>
      <c r="E67" s="12" t="s">
        <v>920</v>
      </c>
      <c r="F67" s="12">
        <v>1</v>
      </c>
      <c r="G67" s="12" t="s">
        <v>325</v>
      </c>
      <c r="H67" s="31">
        <f>ROUND((F67/D67)*100, 2)</f>
      </c>
      <c r="I67" s="31">
        <f>ROUND((F67/D67)*250, 2)</f>
      </c>
      <c r="J67" s="31">
        <f>ROUND((F67/D67)*500, 2)</f>
      </c>
    </row>
    <row r="68" ht="20" customHeight="1" spans="1:10" x14ac:dyDescent="0.25">
      <c r="A68" s="14">
        <v>17</v>
      </c>
      <c r="B68" s="14" t="s">
        <v>937</v>
      </c>
      <c r="C68" s="14" t="s">
        <v>918</v>
      </c>
      <c r="D68" s="14">
        <v>100</v>
      </c>
      <c r="E68" s="14" t="s">
        <v>921</v>
      </c>
      <c r="F68" s="14">
        <v>10</v>
      </c>
      <c r="G68" s="14" t="s">
        <v>325</v>
      </c>
      <c r="H68" s="33">
        <f>ROUND((F68/D68)*100, 2)</f>
      </c>
      <c r="I68" s="33">
        <f>ROUND((F68/D68)*250, 2)</f>
      </c>
      <c r="J68" s="33">
        <f>ROUND((F68/D68)*500, 2)</f>
      </c>
    </row>
    <row r="69" ht="20" customHeight="1" spans="1:10" x14ac:dyDescent="0.25">
      <c r="A69" s="12">
        <v>17</v>
      </c>
      <c r="B69" s="12" t="s">
        <v>937</v>
      </c>
      <c r="C69" s="12" t="s">
        <v>918</v>
      </c>
      <c r="D69" s="12">
        <v>100</v>
      </c>
      <c r="E69" s="12" t="s">
        <v>922</v>
      </c>
      <c r="F69" s="12">
        <v>3</v>
      </c>
      <c r="G69" s="12" t="s">
        <v>153</v>
      </c>
      <c r="H69" s="31">
        <f>ROUND((F69/D69)*100, 2)</f>
      </c>
      <c r="I69" s="31">
        <f>ROUND((F69/D69)*250, 2)</f>
      </c>
      <c r="J69" s="31">
        <f>ROUND((F69/D69)*500, 2)</f>
      </c>
    </row>
    <row r="70" ht="20" customHeight="1" spans="1:10" x14ac:dyDescent="0.25">
      <c r="A70" s="14">
        <v>18</v>
      </c>
      <c r="B70" s="14" t="s">
        <v>938</v>
      </c>
      <c r="C70" s="14" t="s">
        <v>918</v>
      </c>
      <c r="D70" s="14">
        <v>100</v>
      </c>
      <c r="E70" s="14" t="s">
        <v>919</v>
      </c>
      <c r="F70" s="14">
        <v>15</v>
      </c>
      <c r="G70" s="14" t="s">
        <v>153</v>
      </c>
      <c r="H70" s="33">
        <f>ROUND((F70/D70)*100, 2)</f>
      </c>
      <c r="I70" s="33">
        <f>ROUND((F70/D70)*250, 2)</f>
      </c>
      <c r="J70" s="33">
        <f>ROUND((F70/D70)*500, 2)</f>
      </c>
    </row>
    <row r="71" ht="20" customHeight="1" spans="1:10" x14ac:dyDescent="0.25">
      <c r="A71" s="12">
        <v>18</v>
      </c>
      <c r="B71" s="12" t="s">
        <v>938</v>
      </c>
      <c r="C71" s="12" t="s">
        <v>918</v>
      </c>
      <c r="D71" s="12">
        <v>100</v>
      </c>
      <c r="E71" s="12" t="s">
        <v>920</v>
      </c>
      <c r="F71" s="12">
        <v>1</v>
      </c>
      <c r="G71" s="12" t="s">
        <v>325</v>
      </c>
      <c r="H71" s="31">
        <f>ROUND((F71/D71)*100, 2)</f>
      </c>
      <c r="I71" s="31">
        <f>ROUND((F71/D71)*250, 2)</f>
      </c>
      <c r="J71" s="31">
        <f>ROUND((F71/D71)*500, 2)</f>
      </c>
    </row>
    <row r="72" ht="20" customHeight="1" spans="1:10" x14ac:dyDescent="0.25">
      <c r="A72" s="14">
        <v>18</v>
      </c>
      <c r="B72" s="14" t="s">
        <v>938</v>
      </c>
      <c r="C72" s="14" t="s">
        <v>918</v>
      </c>
      <c r="D72" s="14">
        <v>100</v>
      </c>
      <c r="E72" s="14" t="s">
        <v>921</v>
      </c>
      <c r="F72" s="14">
        <v>10</v>
      </c>
      <c r="G72" s="14" t="s">
        <v>325</v>
      </c>
      <c r="H72" s="33">
        <f>ROUND((F72/D72)*100, 2)</f>
      </c>
      <c r="I72" s="33">
        <f>ROUND((F72/D72)*250, 2)</f>
      </c>
      <c r="J72" s="33">
        <f>ROUND((F72/D72)*500, 2)</f>
      </c>
    </row>
    <row r="73" ht="20" customHeight="1" spans="1:10" x14ac:dyDescent="0.25">
      <c r="A73" s="12">
        <v>18</v>
      </c>
      <c r="B73" s="12" t="s">
        <v>938</v>
      </c>
      <c r="C73" s="12" t="s">
        <v>918</v>
      </c>
      <c r="D73" s="12">
        <v>100</v>
      </c>
      <c r="E73" s="12" t="s">
        <v>922</v>
      </c>
      <c r="F73" s="12">
        <v>3</v>
      </c>
      <c r="G73" s="12" t="s">
        <v>153</v>
      </c>
      <c r="H73" s="31">
        <f>ROUND((F73/D73)*100, 2)</f>
      </c>
      <c r="I73" s="31">
        <f>ROUND((F73/D73)*250, 2)</f>
      </c>
      <c r="J73" s="31">
        <f>ROUND((F73/D73)*500, 2)</f>
      </c>
    </row>
    <row r="74" ht="20" customHeight="1" spans="1:10" x14ac:dyDescent="0.25">
      <c r="A74" s="14">
        <v>19</v>
      </c>
      <c r="B74" s="14" t="s">
        <v>939</v>
      </c>
      <c r="C74" s="14" t="s">
        <v>918</v>
      </c>
      <c r="D74" s="14">
        <v>100</v>
      </c>
      <c r="E74" s="14" t="s">
        <v>919</v>
      </c>
      <c r="F74" s="14">
        <v>15</v>
      </c>
      <c r="G74" s="14" t="s">
        <v>153</v>
      </c>
      <c r="H74" s="33">
        <f>ROUND((F74/D74)*100, 2)</f>
      </c>
      <c r="I74" s="33">
        <f>ROUND((F74/D74)*250, 2)</f>
      </c>
      <c r="J74" s="33">
        <f>ROUND((F74/D74)*500, 2)</f>
      </c>
    </row>
    <row r="75" ht="20" customHeight="1" spans="1:10" x14ac:dyDescent="0.25">
      <c r="A75" s="12">
        <v>19</v>
      </c>
      <c r="B75" s="12" t="s">
        <v>939</v>
      </c>
      <c r="C75" s="12" t="s">
        <v>918</v>
      </c>
      <c r="D75" s="12">
        <v>100</v>
      </c>
      <c r="E75" s="12" t="s">
        <v>920</v>
      </c>
      <c r="F75" s="12">
        <v>1</v>
      </c>
      <c r="G75" s="12" t="s">
        <v>325</v>
      </c>
      <c r="H75" s="31">
        <f>ROUND((F75/D75)*100, 2)</f>
      </c>
      <c r="I75" s="31">
        <f>ROUND((F75/D75)*250, 2)</f>
      </c>
      <c r="J75" s="31">
        <f>ROUND((F75/D75)*500, 2)</f>
      </c>
    </row>
    <row r="76" ht="20" customHeight="1" spans="1:10" x14ac:dyDescent="0.25">
      <c r="A76" s="14">
        <v>19</v>
      </c>
      <c r="B76" s="14" t="s">
        <v>939</v>
      </c>
      <c r="C76" s="14" t="s">
        <v>918</v>
      </c>
      <c r="D76" s="14">
        <v>100</v>
      </c>
      <c r="E76" s="14" t="s">
        <v>921</v>
      </c>
      <c r="F76" s="14">
        <v>10</v>
      </c>
      <c r="G76" s="14" t="s">
        <v>325</v>
      </c>
      <c r="H76" s="33">
        <f>ROUND((F76/D76)*100, 2)</f>
      </c>
      <c r="I76" s="33">
        <f>ROUND((F76/D76)*250, 2)</f>
      </c>
      <c r="J76" s="33">
        <f>ROUND((F76/D76)*500, 2)</f>
      </c>
    </row>
    <row r="77" ht="20" customHeight="1" spans="1:10" x14ac:dyDescent="0.25">
      <c r="A77" s="12">
        <v>19</v>
      </c>
      <c r="B77" s="12" t="s">
        <v>939</v>
      </c>
      <c r="C77" s="12" t="s">
        <v>918</v>
      </c>
      <c r="D77" s="12">
        <v>100</v>
      </c>
      <c r="E77" s="12" t="s">
        <v>922</v>
      </c>
      <c r="F77" s="12">
        <v>3</v>
      </c>
      <c r="G77" s="12" t="s">
        <v>153</v>
      </c>
      <c r="H77" s="31">
        <f>ROUND((F77/D77)*100, 2)</f>
      </c>
      <c r="I77" s="31">
        <f>ROUND((F77/D77)*250, 2)</f>
      </c>
      <c r="J77" s="31">
        <f>ROUND((F77/D77)*500, 2)</f>
      </c>
    </row>
    <row r="78" ht="20" customHeight="1" spans="1:10" x14ac:dyDescent="0.25">
      <c r="A78" s="14">
        <v>20</v>
      </c>
      <c r="B78" s="14" t="s">
        <v>940</v>
      </c>
      <c r="C78" s="14" t="s">
        <v>918</v>
      </c>
      <c r="D78" s="14">
        <v>100</v>
      </c>
      <c r="E78" s="14" t="s">
        <v>919</v>
      </c>
      <c r="F78" s="14">
        <v>15</v>
      </c>
      <c r="G78" s="14" t="s">
        <v>153</v>
      </c>
      <c r="H78" s="33">
        <f>ROUND((F78/D78)*100, 2)</f>
      </c>
      <c r="I78" s="33">
        <f>ROUND((F78/D78)*250, 2)</f>
      </c>
      <c r="J78" s="33">
        <f>ROUND((F78/D78)*500, 2)</f>
      </c>
    </row>
    <row r="79" ht="20" customHeight="1" spans="1:10" x14ac:dyDescent="0.25">
      <c r="A79" s="12">
        <v>20</v>
      </c>
      <c r="B79" s="12" t="s">
        <v>940</v>
      </c>
      <c r="C79" s="12" t="s">
        <v>918</v>
      </c>
      <c r="D79" s="12">
        <v>100</v>
      </c>
      <c r="E79" s="12" t="s">
        <v>920</v>
      </c>
      <c r="F79" s="12">
        <v>1</v>
      </c>
      <c r="G79" s="12" t="s">
        <v>325</v>
      </c>
      <c r="H79" s="31">
        <f>ROUND((F79/D79)*100, 2)</f>
      </c>
      <c r="I79" s="31">
        <f>ROUND((F79/D79)*250, 2)</f>
      </c>
      <c r="J79" s="31">
        <f>ROUND((F79/D79)*500, 2)</f>
      </c>
    </row>
    <row r="80" ht="20" customHeight="1" spans="1:10" x14ac:dyDescent="0.25">
      <c r="A80" s="14">
        <v>20</v>
      </c>
      <c r="B80" s="14" t="s">
        <v>940</v>
      </c>
      <c r="C80" s="14" t="s">
        <v>918</v>
      </c>
      <c r="D80" s="14">
        <v>100</v>
      </c>
      <c r="E80" s="14" t="s">
        <v>921</v>
      </c>
      <c r="F80" s="14">
        <v>10</v>
      </c>
      <c r="G80" s="14" t="s">
        <v>325</v>
      </c>
      <c r="H80" s="33">
        <f>ROUND((F80/D80)*100, 2)</f>
      </c>
      <c r="I80" s="33">
        <f>ROUND((F80/D80)*250, 2)</f>
      </c>
      <c r="J80" s="33">
        <f>ROUND((F80/D80)*500, 2)</f>
      </c>
    </row>
    <row r="81" ht="20" customHeight="1" spans="1:10" x14ac:dyDescent="0.25">
      <c r="A81" s="12">
        <v>20</v>
      </c>
      <c r="B81" s="12" t="s">
        <v>940</v>
      </c>
      <c r="C81" s="12" t="s">
        <v>918</v>
      </c>
      <c r="D81" s="12">
        <v>100</v>
      </c>
      <c r="E81" s="12" t="s">
        <v>922</v>
      </c>
      <c r="F81" s="12">
        <v>3</v>
      </c>
      <c r="G81" s="12" t="s">
        <v>153</v>
      </c>
      <c r="H81" s="31">
        <f>ROUND((F81/D81)*100, 2)</f>
      </c>
      <c r="I81" s="31">
        <f>ROUND((F81/D81)*250, 2)</f>
      </c>
      <c r="J81" s="31">
        <f>ROUND((F81/D81)*500, 2)</f>
      </c>
    </row>
    <row r="82" ht="20" customHeight="1" spans="1:10" x14ac:dyDescent="0.25">
      <c r="A82" s="14">
        <v>21</v>
      </c>
      <c r="B82" s="14" t="s">
        <v>941</v>
      </c>
      <c r="C82" s="14" t="s">
        <v>918</v>
      </c>
      <c r="D82" s="14">
        <v>100</v>
      </c>
      <c r="E82" s="14" t="s">
        <v>919</v>
      </c>
      <c r="F82" s="14">
        <v>15</v>
      </c>
      <c r="G82" s="14" t="s">
        <v>153</v>
      </c>
      <c r="H82" s="33">
        <f>ROUND((F82/D82)*100, 2)</f>
      </c>
      <c r="I82" s="33">
        <f>ROUND((F82/D82)*250, 2)</f>
      </c>
      <c r="J82" s="33">
        <f>ROUND((F82/D82)*500, 2)</f>
      </c>
    </row>
    <row r="83" ht="20" customHeight="1" spans="1:10" x14ac:dyDescent="0.25">
      <c r="A83" s="12">
        <v>21</v>
      </c>
      <c r="B83" s="12" t="s">
        <v>941</v>
      </c>
      <c r="C83" s="12" t="s">
        <v>918</v>
      </c>
      <c r="D83" s="12">
        <v>100</v>
      </c>
      <c r="E83" s="12" t="s">
        <v>920</v>
      </c>
      <c r="F83" s="12">
        <v>1</v>
      </c>
      <c r="G83" s="12" t="s">
        <v>325</v>
      </c>
      <c r="H83" s="31">
        <f>ROUND((F83/D83)*100, 2)</f>
      </c>
      <c r="I83" s="31">
        <f>ROUND((F83/D83)*250, 2)</f>
      </c>
      <c r="J83" s="31">
        <f>ROUND((F83/D83)*500, 2)</f>
      </c>
    </row>
    <row r="84" ht="20" customHeight="1" spans="1:10" x14ac:dyDescent="0.25">
      <c r="A84" s="14">
        <v>21</v>
      </c>
      <c r="B84" s="14" t="s">
        <v>941</v>
      </c>
      <c r="C84" s="14" t="s">
        <v>918</v>
      </c>
      <c r="D84" s="14">
        <v>100</v>
      </c>
      <c r="E84" s="14" t="s">
        <v>921</v>
      </c>
      <c r="F84" s="14">
        <v>10</v>
      </c>
      <c r="G84" s="14" t="s">
        <v>325</v>
      </c>
      <c r="H84" s="33">
        <f>ROUND((F84/D84)*100, 2)</f>
      </c>
      <c r="I84" s="33">
        <f>ROUND((F84/D84)*250, 2)</f>
      </c>
      <c r="J84" s="33">
        <f>ROUND((F84/D84)*500, 2)</f>
      </c>
    </row>
    <row r="85" ht="20" customHeight="1" spans="1:10" x14ac:dyDescent="0.25">
      <c r="A85" s="12">
        <v>21</v>
      </c>
      <c r="B85" s="12" t="s">
        <v>941</v>
      </c>
      <c r="C85" s="12" t="s">
        <v>918</v>
      </c>
      <c r="D85" s="12">
        <v>100</v>
      </c>
      <c r="E85" s="12" t="s">
        <v>922</v>
      </c>
      <c r="F85" s="12">
        <v>3</v>
      </c>
      <c r="G85" s="12" t="s">
        <v>153</v>
      </c>
      <c r="H85" s="31">
        <f>ROUND((F85/D85)*100, 2)</f>
      </c>
      <c r="I85" s="31">
        <f>ROUND((F85/D85)*250, 2)</f>
      </c>
      <c r="J85" s="31">
        <f>ROUND((F85/D85)*500, 2)</f>
      </c>
    </row>
    <row r="86" ht="20" customHeight="1" spans="1:10" x14ac:dyDescent="0.25">
      <c r="A86" s="14">
        <v>22</v>
      </c>
      <c r="B86" s="14" t="s">
        <v>942</v>
      </c>
      <c r="C86" s="14" t="s">
        <v>918</v>
      </c>
      <c r="D86" s="14">
        <v>100</v>
      </c>
      <c r="E86" s="14" t="s">
        <v>919</v>
      </c>
      <c r="F86" s="14">
        <v>15</v>
      </c>
      <c r="G86" s="14" t="s">
        <v>153</v>
      </c>
      <c r="H86" s="33">
        <f>ROUND((F86/D86)*100, 2)</f>
      </c>
      <c r="I86" s="33">
        <f>ROUND((F86/D86)*250, 2)</f>
      </c>
      <c r="J86" s="33">
        <f>ROUND((F86/D86)*500, 2)</f>
      </c>
    </row>
    <row r="87" ht="20" customHeight="1" spans="1:10" x14ac:dyDescent="0.25">
      <c r="A87" s="12">
        <v>22</v>
      </c>
      <c r="B87" s="12" t="s">
        <v>942</v>
      </c>
      <c r="C87" s="12" t="s">
        <v>918</v>
      </c>
      <c r="D87" s="12">
        <v>100</v>
      </c>
      <c r="E87" s="12" t="s">
        <v>920</v>
      </c>
      <c r="F87" s="12">
        <v>1</v>
      </c>
      <c r="G87" s="12" t="s">
        <v>325</v>
      </c>
      <c r="H87" s="31">
        <f>ROUND((F87/D87)*100, 2)</f>
      </c>
      <c r="I87" s="31">
        <f>ROUND((F87/D87)*250, 2)</f>
      </c>
      <c r="J87" s="31">
        <f>ROUND((F87/D87)*500, 2)</f>
      </c>
    </row>
    <row r="88" ht="20" customHeight="1" spans="1:10" x14ac:dyDescent="0.25">
      <c r="A88" s="14">
        <v>22</v>
      </c>
      <c r="B88" s="14" t="s">
        <v>942</v>
      </c>
      <c r="C88" s="14" t="s">
        <v>918</v>
      </c>
      <c r="D88" s="14">
        <v>100</v>
      </c>
      <c r="E88" s="14" t="s">
        <v>921</v>
      </c>
      <c r="F88" s="14">
        <v>10</v>
      </c>
      <c r="G88" s="14" t="s">
        <v>325</v>
      </c>
      <c r="H88" s="33">
        <f>ROUND((F88/D88)*100, 2)</f>
      </c>
      <c r="I88" s="33">
        <f>ROUND((F88/D88)*250, 2)</f>
      </c>
      <c r="J88" s="33">
        <f>ROUND((F88/D88)*500, 2)</f>
      </c>
    </row>
    <row r="89" ht="20" customHeight="1" spans="1:10" x14ac:dyDescent="0.25">
      <c r="A89" s="12">
        <v>22</v>
      </c>
      <c r="B89" s="12" t="s">
        <v>942</v>
      </c>
      <c r="C89" s="12" t="s">
        <v>918</v>
      </c>
      <c r="D89" s="12">
        <v>100</v>
      </c>
      <c r="E89" s="12" t="s">
        <v>922</v>
      </c>
      <c r="F89" s="12">
        <v>3</v>
      </c>
      <c r="G89" s="12" t="s">
        <v>153</v>
      </c>
      <c r="H89" s="31">
        <f>ROUND((F89/D89)*100, 2)</f>
      </c>
      <c r="I89" s="31">
        <f>ROUND((F89/D89)*250, 2)</f>
      </c>
      <c r="J89" s="31">
        <f>ROUND((F89/D89)*500, 2)</f>
      </c>
    </row>
    <row r="90" ht="20" customHeight="1" spans="1:10" x14ac:dyDescent="0.25">
      <c r="A90" s="14">
        <v>23</v>
      </c>
      <c r="B90" s="14" t="s">
        <v>943</v>
      </c>
      <c r="C90" s="14" t="s">
        <v>918</v>
      </c>
      <c r="D90" s="14">
        <v>100</v>
      </c>
      <c r="E90" s="14" t="s">
        <v>919</v>
      </c>
      <c r="F90" s="14">
        <v>15</v>
      </c>
      <c r="G90" s="14" t="s">
        <v>153</v>
      </c>
      <c r="H90" s="33">
        <f>ROUND((F90/D90)*100, 2)</f>
      </c>
      <c r="I90" s="33">
        <f>ROUND((F90/D90)*250, 2)</f>
      </c>
      <c r="J90" s="33">
        <f>ROUND((F90/D90)*500, 2)</f>
      </c>
    </row>
    <row r="91" ht="20" customHeight="1" spans="1:10" x14ac:dyDescent="0.25">
      <c r="A91" s="12">
        <v>23</v>
      </c>
      <c r="B91" s="12" t="s">
        <v>943</v>
      </c>
      <c r="C91" s="12" t="s">
        <v>918</v>
      </c>
      <c r="D91" s="12">
        <v>100</v>
      </c>
      <c r="E91" s="12" t="s">
        <v>920</v>
      </c>
      <c r="F91" s="12">
        <v>1</v>
      </c>
      <c r="G91" s="12" t="s">
        <v>325</v>
      </c>
      <c r="H91" s="31">
        <f>ROUND((F91/D91)*100, 2)</f>
      </c>
      <c r="I91" s="31">
        <f>ROUND((F91/D91)*250, 2)</f>
      </c>
      <c r="J91" s="31">
        <f>ROUND((F91/D91)*500, 2)</f>
      </c>
    </row>
    <row r="92" ht="20" customHeight="1" spans="1:10" x14ac:dyDescent="0.25">
      <c r="A92" s="14">
        <v>23</v>
      </c>
      <c r="B92" s="14" t="s">
        <v>943</v>
      </c>
      <c r="C92" s="14" t="s">
        <v>918</v>
      </c>
      <c r="D92" s="14">
        <v>100</v>
      </c>
      <c r="E92" s="14" t="s">
        <v>921</v>
      </c>
      <c r="F92" s="14">
        <v>10</v>
      </c>
      <c r="G92" s="14" t="s">
        <v>325</v>
      </c>
      <c r="H92" s="33">
        <f>ROUND((F92/D92)*100, 2)</f>
      </c>
      <c r="I92" s="33">
        <f>ROUND((F92/D92)*250, 2)</f>
      </c>
      <c r="J92" s="33">
        <f>ROUND((F92/D92)*500, 2)</f>
      </c>
    </row>
    <row r="93" ht="20" customHeight="1" spans="1:10" x14ac:dyDescent="0.25">
      <c r="A93" s="12">
        <v>23</v>
      </c>
      <c r="B93" s="12" t="s">
        <v>943</v>
      </c>
      <c r="C93" s="12" t="s">
        <v>918</v>
      </c>
      <c r="D93" s="12">
        <v>100</v>
      </c>
      <c r="E93" s="12" t="s">
        <v>922</v>
      </c>
      <c r="F93" s="12">
        <v>3</v>
      </c>
      <c r="G93" s="12" t="s">
        <v>153</v>
      </c>
      <c r="H93" s="31">
        <f>ROUND((F93/D93)*100, 2)</f>
      </c>
      <c r="I93" s="31">
        <f>ROUND((F93/D93)*250, 2)</f>
      </c>
      <c r="J93" s="31">
        <f>ROUND((F93/D93)*500, 2)</f>
      </c>
    </row>
    <row r="94" ht="20" customHeight="1" spans="1:10" x14ac:dyDescent="0.25">
      <c r="A94" s="14">
        <v>24</v>
      </c>
      <c r="B94" s="14" t="s">
        <v>944</v>
      </c>
      <c r="C94" s="14" t="s">
        <v>918</v>
      </c>
      <c r="D94" s="14">
        <v>100</v>
      </c>
      <c r="E94" s="14" t="s">
        <v>919</v>
      </c>
      <c r="F94" s="14">
        <v>15</v>
      </c>
      <c r="G94" s="14" t="s">
        <v>153</v>
      </c>
      <c r="H94" s="33">
        <f>ROUND((F94/D94)*100, 2)</f>
      </c>
      <c r="I94" s="33">
        <f>ROUND((F94/D94)*250, 2)</f>
      </c>
      <c r="J94" s="33">
        <f>ROUND((F94/D94)*500, 2)</f>
      </c>
    </row>
    <row r="95" ht="20" customHeight="1" spans="1:10" x14ac:dyDescent="0.25">
      <c r="A95" s="12">
        <v>24</v>
      </c>
      <c r="B95" s="12" t="s">
        <v>944</v>
      </c>
      <c r="C95" s="12" t="s">
        <v>918</v>
      </c>
      <c r="D95" s="12">
        <v>100</v>
      </c>
      <c r="E95" s="12" t="s">
        <v>920</v>
      </c>
      <c r="F95" s="12">
        <v>1</v>
      </c>
      <c r="G95" s="12" t="s">
        <v>325</v>
      </c>
      <c r="H95" s="31">
        <f>ROUND((F95/D95)*100, 2)</f>
      </c>
      <c r="I95" s="31">
        <f>ROUND((F95/D95)*250, 2)</f>
      </c>
      <c r="J95" s="31">
        <f>ROUND((F95/D95)*500, 2)</f>
      </c>
    </row>
    <row r="96" ht="20" customHeight="1" spans="1:10" x14ac:dyDescent="0.25">
      <c r="A96" s="14">
        <v>24</v>
      </c>
      <c r="B96" s="14" t="s">
        <v>944</v>
      </c>
      <c r="C96" s="14" t="s">
        <v>918</v>
      </c>
      <c r="D96" s="14">
        <v>100</v>
      </c>
      <c r="E96" s="14" t="s">
        <v>921</v>
      </c>
      <c r="F96" s="14">
        <v>10</v>
      </c>
      <c r="G96" s="14" t="s">
        <v>325</v>
      </c>
      <c r="H96" s="33">
        <f>ROUND((F96/D96)*100, 2)</f>
      </c>
      <c r="I96" s="33">
        <f>ROUND((F96/D96)*250, 2)</f>
      </c>
      <c r="J96" s="33">
        <f>ROUND((F96/D96)*500, 2)</f>
      </c>
    </row>
    <row r="97" ht="20" customHeight="1" spans="1:10" x14ac:dyDescent="0.25">
      <c r="A97" s="12">
        <v>24</v>
      </c>
      <c r="B97" s="12" t="s">
        <v>944</v>
      </c>
      <c r="C97" s="12" t="s">
        <v>918</v>
      </c>
      <c r="D97" s="12">
        <v>100</v>
      </c>
      <c r="E97" s="12" t="s">
        <v>922</v>
      </c>
      <c r="F97" s="12">
        <v>3</v>
      </c>
      <c r="G97" s="12" t="s">
        <v>153</v>
      </c>
      <c r="H97" s="31">
        <f>ROUND((F97/D97)*100, 2)</f>
      </c>
      <c r="I97" s="31">
        <f>ROUND((F97/D97)*250, 2)</f>
      </c>
      <c r="J97" s="31">
        <f>ROUND((F97/D97)*500, 2)</f>
      </c>
    </row>
    <row r="98" ht="20" customHeight="1" spans="1:10" x14ac:dyDescent="0.25">
      <c r="A98" s="14">
        <v>25</v>
      </c>
      <c r="B98" s="14" t="s">
        <v>945</v>
      </c>
      <c r="C98" s="14" t="s">
        <v>918</v>
      </c>
      <c r="D98" s="14">
        <v>100</v>
      </c>
      <c r="E98" s="14" t="s">
        <v>919</v>
      </c>
      <c r="F98" s="14">
        <v>15</v>
      </c>
      <c r="G98" s="14" t="s">
        <v>153</v>
      </c>
      <c r="H98" s="33">
        <f>ROUND((F98/D98)*100, 2)</f>
      </c>
      <c r="I98" s="33">
        <f>ROUND((F98/D98)*250, 2)</f>
      </c>
      <c r="J98" s="33">
        <f>ROUND((F98/D98)*500, 2)</f>
      </c>
    </row>
    <row r="99" ht="20" customHeight="1" spans="1:10" x14ac:dyDescent="0.25">
      <c r="A99" s="12">
        <v>25</v>
      </c>
      <c r="B99" s="12" t="s">
        <v>945</v>
      </c>
      <c r="C99" s="12" t="s">
        <v>918</v>
      </c>
      <c r="D99" s="12">
        <v>100</v>
      </c>
      <c r="E99" s="12" t="s">
        <v>920</v>
      </c>
      <c r="F99" s="12">
        <v>1</v>
      </c>
      <c r="G99" s="12" t="s">
        <v>325</v>
      </c>
      <c r="H99" s="31">
        <f>ROUND((F99/D99)*100, 2)</f>
      </c>
      <c r="I99" s="31">
        <f>ROUND((F99/D99)*250, 2)</f>
      </c>
      <c r="J99" s="31">
        <f>ROUND((F99/D99)*500, 2)</f>
      </c>
    </row>
    <row r="100" ht="20" customHeight="1" spans="1:10" x14ac:dyDescent="0.25">
      <c r="A100" s="14">
        <v>25</v>
      </c>
      <c r="B100" s="14" t="s">
        <v>945</v>
      </c>
      <c r="C100" s="14" t="s">
        <v>918</v>
      </c>
      <c r="D100" s="14">
        <v>100</v>
      </c>
      <c r="E100" s="14" t="s">
        <v>921</v>
      </c>
      <c r="F100" s="14">
        <v>10</v>
      </c>
      <c r="G100" s="14" t="s">
        <v>325</v>
      </c>
      <c r="H100" s="33">
        <f>ROUND((F100/D100)*100, 2)</f>
      </c>
      <c r="I100" s="33">
        <f>ROUND((F100/D100)*250, 2)</f>
      </c>
      <c r="J100" s="33">
        <f>ROUND((F100/D100)*500, 2)</f>
      </c>
    </row>
    <row r="101" ht="20" customHeight="1" spans="1:10" x14ac:dyDescent="0.25">
      <c r="A101" s="12">
        <v>25</v>
      </c>
      <c r="B101" s="12" t="s">
        <v>945</v>
      </c>
      <c r="C101" s="12" t="s">
        <v>918</v>
      </c>
      <c r="D101" s="12">
        <v>100</v>
      </c>
      <c r="E101" s="12" t="s">
        <v>922</v>
      </c>
      <c r="F101" s="12">
        <v>3</v>
      </c>
      <c r="G101" s="12" t="s">
        <v>153</v>
      </c>
      <c r="H101" s="31">
        <f>ROUND((F101/D101)*100, 2)</f>
      </c>
      <c r="I101" s="31">
        <f>ROUND((F101/D101)*250, 2)</f>
      </c>
      <c r="J101" s="31">
        <f>ROUND((F101/D101)*500, 2)</f>
      </c>
    </row>
    <row r="102" ht="20" customHeight="1" spans="1:10" x14ac:dyDescent="0.25">
      <c r="A102" s="14">
        <v>26</v>
      </c>
      <c r="B102" s="14" t="s">
        <v>946</v>
      </c>
      <c r="C102" s="14" t="s">
        <v>918</v>
      </c>
      <c r="D102" s="14">
        <v>100</v>
      </c>
      <c r="E102" s="14" t="s">
        <v>919</v>
      </c>
      <c r="F102" s="14">
        <v>15</v>
      </c>
      <c r="G102" s="14" t="s">
        <v>153</v>
      </c>
      <c r="H102" s="33">
        <f>ROUND((F102/D102)*100, 2)</f>
      </c>
      <c r="I102" s="33">
        <f>ROUND((F102/D102)*250, 2)</f>
      </c>
      <c r="J102" s="33">
        <f>ROUND((F102/D102)*500, 2)</f>
      </c>
    </row>
    <row r="103" ht="20" customHeight="1" spans="1:10" x14ac:dyDescent="0.25">
      <c r="A103" s="12">
        <v>26</v>
      </c>
      <c r="B103" s="12" t="s">
        <v>946</v>
      </c>
      <c r="C103" s="12" t="s">
        <v>918</v>
      </c>
      <c r="D103" s="12">
        <v>100</v>
      </c>
      <c r="E103" s="12" t="s">
        <v>920</v>
      </c>
      <c r="F103" s="12">
        <v>1</v>
      </c>
      <c r="G103" s="12" t="s">
        <v>325</v>
      </c>
      <c r="H103" s="31">
        <f>ROUND((F103/D103)*100, 2)</f>
      </c>
      <c r="I103" s="31">
        <f>ROUND((F103/D103)*250, 2)</f>
      </c>
      <c r="J103" s="31">
        <f>ROUND((F103/D103)*500, 2)</f>
      </c>
    </row>
    <row r="104" ht="20" customHeight="1" spans="1:10" x14ac:dyDescent="0.25">
      <c r="A104" s="14">
        <v>26</v>
      </c>
      <c r="B104" s="14" t="s">
        <v>946</v>
      </c>
      <c r="C104" s="14" t="s">
        <v>918</v>
      </c>
      <c r="D104" s="14">
        <v>100</v>
      </c>
      <c r="E104" s="14" t="s">
        <v>921</v>
      </c>
      <c r="F104" s="14">
        <v>10</v>
      </c>
      <c r="G104" s="14" t="s">
        <v>325</v>
      </c>
      <c r="H104" s="33">
        <f>ROUND((F104/D104)*100, 2)</f>
      </c>
      <c r="I104" s="33">
        <f>ROUND((F104/D104)*250, 2)</f>
      </c>
      <c r="J104" s="33">
        <f>ROUND((F104/D104)*500, 2)</f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97706"/>
  </sheetPr>
  <dimension ref="B2:G35"/>
  <sheetViews>
    <sheetView workbookViewId="0"/>
  </sheetViews>
  <sheetFormatPr defaultRowHeight="15" outlineLevelRow="0" outlineLevelCol="0" x14ac:dyDescent="55"/>
  <cols>
    <col min="1" max="1" width="5" customWidth="1"/>
    <col min="2" max="3" width="25" customWidth="1"/>
    <col min="4" max="5" width="14" customWidth="1"/>
    <col min="6" max="6" width="18" customWidth="1"/>
    <col min="7" max="7" width="22" customWidth="1"/>
  </cols>
  <sheetData>
    <row r="2" ht="35" customHeight="1" spans="2:7" x14ac:dyDescent="0.25">
      <c r="B2" s="22" t="s">
        <v>947</v>
      </c>
      <c r="C2" s="22"/>
      <c r="D2" s="22"/>
      <c r="E2" s="22"/>
      <c r="F2" s="22"/>
      <c r="G2" s="22"/>
    </row>
    <row r="4" spans="2:2" x14ac:dyDescent="0.25">
      <c r="B4" s="34" t="s">
        <v>948</v>
      </c>
    </row>
    <row r="5" spans="2:3" x14ac:dyDescent="0.25">
      <c r="B5" s="14" t="s">
        <v>949</v>
      </c>
      <c r="C5" s="35" t="s">
        <v>950</v>
      </c>
    </row>
    <row r="6" spans="2:3" x14ac:dyDescent="0.25">
      <c r="B6" s="14" t="s">
        <v>951</v>
      </c>
      <c r="C6" s="36" t="s">
        <v>952</v>
      </c>
    </row>
    <row r="7" spans="2:3" x14ac:dyDescent="0.25">
      <c r="B7" s="14" t="s">
        <v>953</v>
      </c>
      <c r="C7" s="37">
        <v>1.6</v>
      </c>
    </row>
    <row r="9" spans="2:7" x14ac:dyDescent="0.25">
      <c r="B9" s="38" t="s">
        <v>954</v>
      </c>
      <c r="C9" s="38"/>
      <c r="D9" s="38"/>
      <c r="E9" s="38"/>
      <c r="F9" s="38"/>
      <c r="G9" s="38"/>
    </row>
    <row r="10" ht="28" customHeight="1" spans="2:7" x14ac:dyDescent="0.25">
      <c r="B10" s="23" t="s">
        <v>116</v>
      </c>
      <c r="C10" s="23" t="s">
        <v>117</v>
      </c>
      <c r="D10" s="23" t="s">
        <v>118</v>
      </c>
      <c r="E10" s="29" t="s">
        <v>955</v>
      </c>
      <c r="F10" s="29" t="s">
        <v>956</v>
      </c>
      <c r="G10" s="29" t="s">
        <v>957</v>
      </c>
    </row>
    <row r="11" ht="20" customHeight="1" spans="2:7" x14ac:dyDescent="0.25">
      <c r="B11" s="12" t="s">
        <v>136</v>
      </c>
      <c r="C11" s="12" t="s">
        <v>137</v>
      </c>
      <c r="D11" s="12" t="s">
        <v>138</v>
      </c>
      <c r="E11" s="31">
        <v>3988</v>
      </c>
      <c r="F11" s="31">
        <f>ROUND(199.4 * $C$7, 2)</f>
      </c>
      <c r="G11" s="39">
        <f>ROUND(MAX(0, (F11 + (299.1)) - E11), 2)</f>
      </c>
    </row>
    <row r="12" ht="20" customHeight="1" spans="2:7" x14ac:dyDescent="0.25">
      <c r="B12" s="14" t="s">
        <v>144</v>
      </c>
      <c r="C12" s="14" t="s">
        <v>137</v>
      </c>
      <c r="D12" s="14" t="s">
        <v>138</v>
      </c>
      <c r="E12" s="33">
        <v>7198</v>
      </c>
      <c r="F12" s="33">
        <f>ROUND(359.9 * $C$7, 2)</f>
      </c>
      <c r="G12" s="40">
        <f>ROUND(MAX(0, (F12 + (539.85)) - E12), 2)</f>
      </c>
    </row>
    <row r="13" ht="20" customHeight="1" spans="2:7" x14ac:dyDescent="0.25">
      <c r="B13" s="12" t="s">
        <v>166</v>
      </c>
      <c r="C13" s="12" t="s">
        <v>167</v>
      </c>
      <c r="D13" s="12" t="s">
        <v>153</v>
      </c>
      <c r="E13" s="31">
        <v>2491.5</v>
      </c>
      <c r="F13" s="31">
        <f>ROUND(124.58 * $C$7, 2)</f>
      </c>
      <c r="G13" s="39">
        <f>ROUND(MAX(0, (F13 + (186.87)) - E13), 2)</f>
      </c>
    </row>
    <row r="14" ht="20" customHeight="1" spans="2:7" x14ac:dyDescent="0.25">
      <c r="B14" s="14" t="s">
        <v>169</v>
      </c>
      <c r="C14" s="14" t="s">
        <v>170</v>
      </c>
      <c r="D14" s="14" t="s">
        <v>153</v>
      </c>
      <c r="E14" s="33">
        <v>370.39993</v>
      </c>
      <c r="F14" s="33">
        <f>ROUND(29.63 * $C$7, 2)</f>
      </c>
      <c r="G14" s="40">
        <f>ROUND(MAX(0, (F14 + (44.45)) - E14), 2)</f>
      </c>
    </row>
    <row r="15" ht="20" customHeight="1" spans="2:7" x14ac:dyDescent="0.25">
      <c r="B15" s="12" t="s">
        <v>179</v>
      </c>
      <c r="C15" s="12" t="s">
        <v>170</v>
      </c>
      <c r="D15" s="12" t="s">
        <v>138</v>
      </c>
      <c r="E15" s="31">
        <v>244</v>
      </c>
      <c r="F15" s="31">
        <f>ROUND(19.52 * $C$7, 2)</f>
      </c>
      <c r="G15" s="39">
        <f>ROUND(MAX(0, (F15 + (29.28)) - E15), 2)</f>
      </c>
    </row>
    <row r="16" ht="20" customHeight="1" spans="2:7" x14ac:dyDescent="0.25">
      <c r="B16" s="14" t="s">
        <v>188</v>
      </c>
      <c r="C16" s="14" t="s">
        <v>189</v>
      </c>
      <c r="D16" s="14" t="s">
        <v>138</v>
      </c>
      <c r="E16" s="33">
        <v>667.5</v>
      </c>
      <c r="F16" s="33">
        <f>ROUND(53.4 * $C$7, 2)</f>
      </c>
      <c r="G16" s="40">
        <f>ROUND(MAX(0, (F16 + (80.1)) - E16), 2)</f>
      </c>
    </row>
    <row r="17" ht="20" customHeight="1" spans="2:7" x14ac:dyDescent="0.25">
      <c r="B17" s="12" t="s">
        <v>192</v>
      </c>
      <c r="C17" s="12" t="s">
        <v>152</v>
      </c>
      <c r="D17" s="12" t="s">
        <v>153</v>
      </c>
      <c r="E17" s="31">
        <v>17.71</v>
      </c>
      <c r="F17" s="31">
        <f>ROUND(3.54 * $C$7, 2)</f>
      </c>
      <c r="G17" s="39">
        <f>ROUND(MAX(0, (F17 + (5.31)) - E17), 2)</f>
      </c>
    </row>
    <row r="18" ht="20" customHeight="1" spans="2:7" x14ac:dyDescent="0.25">
      <c r="B18" s="14" t="s">
        <v>217</v>
      </c>
      <c r="C18" s="14" t="s">
        <v>195</v>
      </c>
      <c r="D18" s="14" t="s">
        <v>153</v>
      </c>
      <c r="E18" s="33">
        <v>666.8</v>
      </c>
      <c r="F18" s="33">
        <f>ROUND(53.34 * $C$7, 2)</f>
      </c>
      <c r="G18" s="40">
        <f>ROUND(MAX(0, (F18 + (80.01)) - E18), 2)</f>
      </c>
    </row>
    <row r="19" ht="20" customHeight="1" spans="2:7" x14ac:dyDescent="0.25">
      <c r="B19" s="12" t="s">
        <v>219</v>
      </c>
      <c r="C19" s="12" t="s">
        <v>170</v>
      </c>
      <c r="D19" s="12" t="s">
        <v>198</v>
      </c>
      <c r="E19" s="31">
        <v>809</v>
      </c>
      <c r="F19" s="31">
        <f>ROUND(64.72 * $C$7, 2)</f>
      </c>
      <c r="G19" s="39">
        <f>ROUND(MAX(0, (F19 + (97.08)) - E19), 2)</f>
      </c>
    </row>
    <row r="20" ht="20" customHeight="1" spans="2:7" x14ac:dyDescent="0.25">
      <c r="B20" s="14" t="s">
        <v>256</v>
      </c>
      <c r="C20" s="14" t="s">
        <v>257</v>
      </c>
      <c r="D20" s="14" t="s">
        <v>138</v>
      </c>
      <c r="E20" s="33">
        <v>656</v>
      </c>
      <c r="F20" s="33">
        <f>ROUND(52.48 * $C$7, 2)</f>
      </c>
      <c r="G20" s="40">
        <f>ROUND(MAX(0, (F20 + (78.72)) - E20), 2)</f>
      </c>
    </row>
    <row r="21" ht="20" customHeight="1" spans="2:7" x14ac:dyDescent="0.25">
      <c r="B21" s="12" t="s">
        <v>259</v>
      </c>
      <c r="C21" s="12" t="s">
        <v>137</v>
      </c>
      <c r="D21" s="12" t="s">
        <v>138</v>
      </c>
      <c r="E21" s="31">
        <v>880</v>
      </c>
      <c r="F21" s="31">
        <f>ROUND(70.4 * $C$7, 2)</f>
      </c>
      <c r="G21" s="39">
        <f>ROUND(MAX(0, (F21 + (105.6)) - E21), 2)</f>
      </c>
    </row>
    <row r="22" ht="20" customHeight="1" spans="2:7" x14ac:dyDescent="0.25">
      <c r="B22" s="14" t="s">
        <v>269</v>
      </c>
      <c r="C22" s="14" t="s">
        <v>137</v>
      </c>
      <c r="D22" s="14" t="s">
        <v>198</v>
      </c>
      <c r="E22" s="33">
        <v>272</v>
      </c>
      <c r="F22" s="33">
        <f>ROUND(21.76 * $C$7, 2)</f>
      </c>
      <c r="G22" s="40">
        <f>ROUND(MAX(0, (F22 + (32.64)) - E22), 2)</f>
      </c>
    </row>
    <row r="23" ht="20" customHeight="1" spans="2:7" x14ac:dyDescent="0.25">
      <c r="B23" s="12" t="s">
        <v>275</v>
      </c>
      <c r="C23" s="12" t="s">
        <v>167</v>
      </c>
      <c r="D23" s="12" t="s">
        <v>153</v>
      </c>
      <c r="E23" s="31">
        <v>1008</v>
      </c>
      <c r="F23" s="31">
        <f>ROUND(50.4 * $C$7, 2)</f>
      </c>
      <c r="G23" s="39">
        <f>ROUND(MAX(0, (F23 + (75.6)) - E23), 2)</f>
      </c>
    </row>
    <row r="24" ht="20" customHeight="1" spans="2:7" x14ac:dyDescent="0.25">
      <c r="B24" s="14" t="s">
        <v>277</v>
      </c>
      <c r="C24" s="14" t="s">
        <v>211</v>
      </c>
      <c r="D24" s="14" t="s">
        <v>153</v>
      </c>
      <c r="E24" s="33">
        <v>923.20013</v>
      </c>
      <c r="F24" s="33">
        <f>ROUND(73.86 * $C$7, 2)</f>
      </c>
      <c r="G24" s="40">
        <f>ROUND(MAX(0, (F24 + (110.79)) - E24), 2)</f>
      </c>
    </row>
    <row r="25" ht="20" customHeight="1" spans="2:7" x14ac:dyDescent="0.25">
      <c r="B25" s="12" t="s">
        <v>299</v>
      </c>
      <c r="C25" s="12" t="s">
        <v>152</v>
      </c>
      <c r="D25" s="12" t="s">
        <v>153</v>
      </c>
      <c r="E25" s="31">
        <v>1637.5997</v>
      </c>
      <c r="F25" s="31">
        <f>ROUND(81.88 * $C$7, 2)</f>
      </c>
      <c r="G25" s="39">
        <f>ROUND(MAX(0, (F25 + (122.82)) - E25), 2)</f>
      </c>
    </row>
    <row r="26" ht="20" customHeight="1" spans="2:7" x14ac:dyDescent="0.25">
      <c r="B26" s="14" t="s">
        <v>315</v>
      </c>
      <c r="C26" s="14" t="s">
        <v>137</v>
      </c>
      <c r="D26" s="14" t="s">
        <v>138</v>
      </c>
      <c r="E26" s="33">
        <v>608</v>
      </c>
      <c r="F26" s="33">
        <f>ROUND(48.64 * $C$7, 2)</f>
      </c>
      <c r="G26" s="40">
        <f>ROUND(MAX(0, (F26 + (72.96)) - E26), 2)</f>
      </c>
    </row>
    <row r="27" ht="20" customHeight="1" spans="2:7" x14ac:dyDescent="0.25">
      <c r="B27" s="12" t="s">
        <v>319</v>
      </c>
      <c r="C27" s="12" t="s">
        <v>170</v>
      </c>
      <c r="D27" s="12" t="s">
        <v>138</v>
      </c>
      <c r="E27" s="31">
        <v>1072</v>
      </c>
      <c r="F27" s="31">
        <f>ROUND(53.6 * $C$7, 2)</f>
      </c>
      <c r="G27" s="39">
        <f>ROUND(MAX(0, (F27 + (80.4)) - E27), 2)</f>
      </c>
    </row>
    <row r="28" ht="20" customHeight="1" spans="2:7" x14ac:dyDescent="0.25">
      <c r="B28" s="14" t="s">
        <v>327</v>
      </c>
      <c r="C28" s="14" t="s">
        <v>170</v>
      </c>
      <c r="D28" s="14" t="s">
        <v>153</v>
      </c>
      <c r="E28" s="33">
        <v>80</v>
      </c>
      <c r="F28" s="33">
        <f>ROUND(9.6 * $C$7, 2)</f>
      </c>
      <c r="G28" s="40">
        <f>ROUND(MAX(0, (F28 + (14.4)) - E28), 2)</f>
      </c>
    </row>
    <row r="29" ht="20" customHeight="1" spans="2:7" x14ac:dyDescent="0.25">
      <c r="B29" s="12" t="s">
        <v>331</v>
      </c>
      <c r="C29" s="12" t="s">
        <v>170</v>
      </c>
      <c r="D29" s="12" t="s">
        <v>153</v>
      </c>
      <c r="E29" s="31">
        <v>73.59999</v>
      </c>
      <c r="F29" s="31">
        <f>ROUND(8.83 * $C$7, 2)</f>
      </c>
      <c r="G29" s="39">
        <f>ROUND(MAX(0, (F29 + (13.25)) - E29), 2)</f>
      </c>
    </row>
    <row r="30" ht="20" customHeight="1" spans="2:7" x14ac:dyDescent="0.25">
      <c r="B30" s="14" t="s">
        <v>338</v>
      </c>
      <c r="C30" s="14" t="s">
        <v>137</v>
      </c>
      <c r="D30" s="14" t="s">
        <v>153</v>
      </c>
      <c r="E30" s="33">
        <v>1.5100002</v>
      </c>
      <c r="F30" s="33">
        <f>ROUND(1 * $C$7, 2)</f>
      </c>
      <c r="G30" s="40">
        <f>ROUND(MAX(0, (F30 + (1.5)) - E30), 2)</f>
      </c>
    </row>
    <row r="31" ht="20" customHeight="1" spans="2:7" x14ac:dyDescent="0.25">
      <c r="B31" s="12" t="s">
        <v>340</v>
      </c>
      <c r="C31" s="12" t="s">
        <v>137</v>
      </c>
      <c r="D31" s="12" t="s">
        <v>153</v>
      </c>
      <c r="E31" s="31">
        <v>384</v>
      </c>
      <c r="F31" s="31">
        <f>ROUND(30.72 * $C$7, 2)</f>
      </c>
      <c r="G31" s="39">
        <f>ROUND(MAX(0, (F31 + (46.08)) - E31), 2)</f>
      </c>
    </row>
    <row r="32" ht="20" customHeight="1" spans="2:7" x14ac:dyDescent="0.25">
      <c r="B32" s="14" t="s">
        <v>344</v>
      </c>
      <c r="C32" s="14" t="s">
        <v>167</v>
      </c>
      <c r="D32" s="14" t="s">
        <v>153</v>
      </c>
      <c r="E32" s="33">
        <v>320</v>
      </c>
      <c r="F32" s="33">
        <f>ROUND(25.6 * $C$7, 2)</f>
      </c>
      <c r="G32" s="40">
        <f>ROUND(MAX(0, (F32 + (38.4)) - E32), 2)</f>
      </c>
    </row>
    <row r="33" ht="20" customHeight="1" spans="2:7" x14ac:dyDescent="0.25">
      <c r="B33" s="12" t="s">
        <v>348</v>
      </c>
      <c r="C33" s="12" t="s">
        <v>257</v>
      </c>
      <c r="D33" s="12" t="s">
        <v>153</v>
      </c>
      <c r="E33" s="31">
        <v>656</v>
      </c>
      <c r="F33" s="31">
        <f>ROUND(52.48 * $C$7, 2)</f>
      </c>
      <c r="G33" s="39">
        <f>ROUND(MAX(0, (F33 + (78.72)) - E33), 2)</f>
      </c>
    </row>
    <row r="34" ht="20" customHeight="1" spans="2:7" x14ac:dyDescent="0.25">
      <c r="B34" s="14" t="s">
        <v>356</v>
      </c>
      <c r="C34" s="14" t="s">
        <v>152</v>
      </c>
      <c r="D34" s="14" t="s">
        <v>153</v>
      </c>
      <c r="E34" s="33">
        <v>40</v>
      </c>
      <c r="F34" s="33">
        <f>ROUND(8 * $C$7, 2)</f>
      </c>
      <c r="G34" s="40">
        <f>ROUND(MAX(0, (F34 + (12)) - E34), 2)</f>
      </c>
    </row>
    <row r="35" ht="20" customHeight="1" spans="2:7" x14ac:dyDescent="0.25">
      <c r="B35" s="12" t="s">
        <v>358</v>
      </c>
      <c r="C35" s="12" t="s">
        <v>324</v>
      </c>
      <c r="D35" s="12" t="s">
        <v>153</v>
      </c>
      <c r="E35" s="31">
        <v>32</v>
      </c>
      <c r="F35" s="31">
        <f>ROUND(6.4 * $C$7, 2)</f>
      </c>
      <c r="G35" s="39">
        <f>ROUND(MAX(0, (F35 + (9.6)) - E35), 2)</f>
      </c>
    </row>
  </sheetData>
  <mergeCells count="2">
    <mergeCell ref="B2:G2"/>
    <mergeCell ref="B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Dept x Day Patterns</vt:lpstr>
      <vt:lpstr>Item-by-Item Indent Engine</vt:lpstr>
      <vt:lpstr>Recipe Explosion Matrix</vt:lpstr>
      <vt:lpstr>Auto-Indent Simulator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 Kapila Multi-Agent Automation System</dc:creator>
  <dc:title/>
  <dc:subject/>
  <dc:description/>
  <cp:keywords/>
  <cp:category/>
  <cp:lastModifiedBy>DevOps &amp; AI Inventory Architect</cp:lastModifiedBy>
  <dcterms:created xsi:type="dcterms:W3CDTF">2026-09-08T13:33:57Z</dcterms:created>
  <dcterms:modified xsi:type="dcterms:W3CDTF">2026-09-08T13:33:57Z</dcterms:modified>
</cp:coreProperties>
</file>