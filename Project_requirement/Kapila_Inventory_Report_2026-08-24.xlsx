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apila_store\Project_requirement\"/>
    </mc:Choice>
  </mc:AlternateContent>
  <xr:revisionPtr revIDLastSave="0" documentId="13_ncr:1_{3BF81F3A-AF33-4976-BDD4-22AA5B6BB5A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ystem Generated 2026-08-24" sheetId="1" r:id="rId1"/>
    <sheet name="Kapila hotel 21-08-26" sheetId="2" r:id="rId2"/>
    <sheet name="Discrepancy Report" sheetId="3" r:id="rId3"/>
  </sheets>
  <definedNames>
    <definedName name="_xlnm._FilterDatabase" localSheetId="2" hidden="1">'Discrepancy Report'!$A$1:$H$480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0" i="3" l="1"/>
  <c r="G480" i="3"/>
  <c r="F480" i="3"/>
  <c r="E480" i="3"/>
  <c r="D480" i="3"/>
  <c r="C480" i="3"/>
  <c r="B480" i="3"/>
  <c r="H479" i="3"/>
  <c r="G479" i="3"/>
  <c r="F479" i="3"/>
  <c r="E479" i="3"/>
  <c r="D479" i="3"/>
  <c r="C479" i="3"/>
  <c r="B479" i="3"/>
  <c r="H478" i="3"/>
  <c r="G478" i="3"/>
  <c r="F478" i="3"/>
  <c r="E478" i="3"/>
  <c r="D478" i="3"/>
  <c r="C478" i="3"/>
  <c r="B478" i="3"/>
  <c r="H477" i="3"/>
  <c r="G477" i="3"/>
  <c r="F477" i="3"/>
  <c r="E477" i="3"/>
  <c r="D477" i="3"/>
  <c r="C477" i="3"/>
  <c r="B477" i="3"/>
  <c r="H476" i="3"/>
  <c r="G476" i="3"/>
  <c r="F476" i="3"/>
  <c r="E476" i="3"/>
  <c r="D476" i="3"/>
  <c r="C476" i="3"/>
  <c r="B476" i="3"/>
  <c r="H475" i="3"/>
  <c r="G475" i="3"/>
  <c r="F475" i="3"/>
  <c r="E475" i="3"/>
  <c r="D475" i="3"/>
  <c r="C475" i="3"/>
  <c r="B475" i="3"/>
  <c r="A2" i="3" a="1"/>
  <c r="C474" i="3" s="1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E15" i="3" l="1"/>
  <c r="B28" i="3"/>
  <c r="C58" i="3"/>
  <c r="B106" i="3"/>
  <c r="H106" i="3" s="1"/>
  <c r="E141" i="3"/>
  <c r="C213" i="3"/>
  <c r="F375" i="3"/>
  <c r="E3" i="3"/>
  <c r="F15" i="3"/>
  <c r="C28" i="3"/>
  <c r="F63" i="3"/>
  <c r="C106" i="3"/>
  <c r="B142" i="3"/>
  <c r="B226" i="3"/>
  <c r="E378" i="3"/>
  <c r="B410" i="3"/>
  <c r="F242" i="3"/>
  <c r="B8" i="3"/>
  <c r="E20" i="3"/>
  <c r="C38" i="3"/>
  <c r="F80" i="3"/>
  <c r="F118" i="3"/>
  <c r="B162" i="3"/>
  <c r="B256" i="3"/>
  <c r="E457" i="3"/>
  <c r="E147" i="3"/>
  <c r="E8" i="3"/>
  <c r="B21" i="3"/>
  <c r="H21" i="3" s="1"/>
  <c r="E38" i="3"/>
  <c r="C81" i="3"/>
  <c r="B124" i="3"/>
  <c r="C175" i="3"/>
  <c r="F272" i="3"/>
  <c r="B154" i="3"/>
  <c r="C10" i="3"/>
  <c r="F22" i="3"/>
  <c r="B45" i="3"/>
  <c r="F86" i="3"/>
  <c r="C124" i="3"/>
  <c r="F186" i="3"/>
  <c r="E281" i="3"/>
  <c r="B18" i="3"/>
  <c r="F68" i="3"/>
  <c r="C18" i="3"/>
  <c r="F30" i="3"/>
  <c r="F75" i="3"/>
  <c r="G75" i="3" s="1"/>
  <c r="C154" i="3"/>
  <c r="B11" i="3"/>
  <c r="B23" i="3"/>
  <c r="C45" i="3"/>
  <c r="C88" i="3"/>
  <c r="E129" i="3"/>
  <c r="G129" i="3" s="1"/>
  <c r="E187" i="3"/>
  <c r="B306" i="3"/>
  <c r="H306" i="3" s="1"/>
  <c r="E111" i="3"/>
  <c r="B112" i="3"/>
  <c r="B6" i="3"/>
  <c r="B243" i="3"/>
  <c r="F12" i="3"/>
  <c r="F23" i="3"/>
  <c r="F50" i="3"/>
  <c r="F93" i="3"/>
  <c r="F129" i="3"/>
  <c r="B198" i="3"/>
  <c r="C307" i="3"/>
  <c r="C226" i="3"/>
  <c r="D226" i="3" s="1"/>
  <c r="H226" i="3" s="1"/>
  <c r="F413" i="3"/>
  <c r="B454" i="3"/>
  <c r="B13" i="3"/>
  <c r="E25" i="3"/>
  <c r="G25" i="3" s="1"/>
  <c r="C51" i="3"/>
  <c r="E99" i="3"/>
  <c r="F136" i="3"/>
  <c r="F200" i="3"/>
  <c r="F340" i="3"/>
  <c r="B5" i="3"/>
  <c r="E30" i="3"/>
  <c r="C5" i="3"/>
  <c r="E75" i="3"/>
  <c r="B33" i="3"/>
  <c r="E117" i="3"/>
  <c r="F13" i="3"/>
  <c r="F25" i="3"/>
  <c r="F56" i="3"/>
  <c r="F99" i="3"/>
  <c r="B137" i="3"/>
  <c r="B213" i="3"/>
  <c r="C341" i="3"/>
  <c r="B3" i="3"/>
  <c r="D3" i="3" s="1"/>
  <c r="E5" i="3"/>
  <c r="C8" i="3"/>
  <c r="E10" i="3"/>
  <c r="C13" i="3"/>
  <c r="B16" i="3"/>
  <c r="E18" i="3"/>
  <c r="F20" i="3"/>
  <c r="C23" i="3"/>
  <c r="C33" i="3"/>
  <c r="C40" i="3"/>
  <c r="E45" i="3"/>
  <c r="E51" i="3"/>
  <c r="E58" i="3"/>
  <c r="C64" i="3"/>
  <c r="E70" i="3"/>
  <c r="B76" i="3"/>
  <c r="E81" i="3"/>
  <c r="E88" i="3"/>
  <c r="C94" i="3"/>
  <c r="C101" i="3"/>
  <c r="E106" i="3"/>
  <c r="C112" i="3"/>
  <c r="F124" i="3"/>
  <c r="C131" i="3"/>
  <c r="C137" i="3"/>
  <c r="C142" i="3"/>
  <c r="B149" i="3"/>
  <c r="F154" i="3"/>
  <c r="C165" i="3"/>
  <c r="E175" i="3"/>
  <c r="E188" i="3"/>
  <c r="B201" i="3"/>
  <c r="E213" i="3"/>
  <c r="B231" i="3"/>
  <c r="H231" i="3" s="1"/>
  <c r="C243" i="3"/>
  <c r="D243" i="3" s="1"/>
  <c r="H243" i="3" s="1"/>
  <c r="E256" i="3"/>
  <c r="F281" i="3"/>
  <c r="C315" i="3"/>
  <c r="F350" i="3"/>
  <c r="F384" i="3"/>
  <c r="B424" i="3"/>
  <c r="E468" i="3"/>
  <c r="C3" i="3"/>
  <c r="F5" i="3"/>
  <c r="F10" i="3"/>
  <c r="E13" i="3"/>
  <c r="C16" i="3"/>
  <c r="F18" i="3"/>
  <c r="E23" i="3"/>
  <c r="G23" i="3" s="1"/>
  <c r="B26" i="3"/>
  <c r="E28" i="3"/>
  <c r="B31" i="3"/>
  <c r="F33" i="3"/>
  <c r="B46" i="3"/>
  <c r="F58" i="3"/>
  <c r="E64" i="3"/>
  <c r="F70" i="3"/>
  <c r="E76" i="3"/>
  <c r="C83" i="3"/>
  <c r="F88" i="3"/>
  <c r="E94" i="3"/>
  <c r="B107" i="3"/>
  <c r="F113" i="3"/>
  <c r="B119" i="3"/>
  <c r="B125" i="3"/>
  <c r="E131" i="3"/>
  <c r="E137" i="3"/>
  <c r="F143" i="3"/>
  <c r="C149" i="3"/>
  <c r="B155" i="3"/>
  <c r="H155" i="3" s="1"/>
  <c r="C176" i="3"/>
  <c r="C201" i="3"/>
  <c r="C215" i="3"/>
  <c r="C231" i="3"/>
  <c r="F243" i="3"/>
  <c r="F260" i="3"/>
  <c r="B283" i="3"/>
  <c r="B316" i="3"/>
  <c r="H316" i="3" s="1"/>
  <c r="C424" i="3"/>
  <c r="F468" i="3"/>
  <c r="C26" i="3"/>
  <c r="F28" i="3"/>
  <c r="C31" i="3"/>
  <c r="D31" i="3" s="1"/>
  <c r="H31" i="3" s="1"/>
  <c r="F34" i="3"/>
  <c r="E40" i="3"/>
  <c r="C46" i="3"/>
  <c r="B53" i="3"/>
  <c r="C59" i="3"/>
  <c r="F65" i="3"/>
  <c r="F76" i="3"/>
  <c r="E83" i="3"/>
  <c r="C89" i="3"/>
  <c r="B96" i="3"/>
  <c r="E101" i="3"/>
  <c r="C107" i="3"/>
  <c r="B114" i="3"/>
  <c r="E119" i="3"/>
  <c r="F131" i="3"/>
  <c r="F137" i="3"/>
  <c r="B144" i="3"/>
  <c r="E149" i="3"/>
  <c r="F156" i="3"/>
  <c r="E165" i="3"/>
  <c r="E177" i="3"/>
  <c r="B191" i="3"/>
  <c r="C203" i="3"/>
  <c r="B218" i="3"/>
  <c r="H218" i="3" s="1"/>
  <c r="E231" i="3"/>
  <c r="F245" i="3"/>
  <c r="C316" i="3"/>
  <c r="B388" i="3"/>
  <c r="C470" i="3"/>
  <c r="F3" i="3"/>
  <c r="C6" i="3"/>
  <c r="F8" i="3"/>
  <c r="G8" i="3" s="1"/>
  <c r="C11" i="3"/>
  <c r="E16" i="3"/>
  <c r="B19" i="3"/>
  <c r="C21" i="3"/>
  <c r="E26" i="3"/>
  <c r="H28" i="3"/>
  <c r="E31" i="3"/>
  <c r="B35" i="3"/>
  <c r="F47" i="3"/>
  <c r="C53" i="3"/>
  <c r="C71" i="3"/>
  <c r="F83" i="3"/>
  <c r="G83" i="3" s="1"/>
  <c r="C96" i="3"/>
  <c r="F108" i="3"/>
  <c r="C114" i="3"/>
  <c r="F119" i="3"/>
  <c r="E126" i="3"/>
  <c r="C132" i="3"/>
  <c r="B139" i="3"/>
  <c r="C144" i="3"/>
  <c r="F149" i="3"/>
  <c r="G149" i="3" s="1"/>
  <c r="B166" i="3"/>
  <c r="E180" i="3"/>
  <c r="C191" i="3"/>
  <c r="C218" i="3"/>
  <c r="C233" i="3"/>
  <c r="F248" i="3"/>
  <c r="B261" i="3"/>
  <c r="F286" i="3"/>
  <c r="F319" i="3"/>
  <c r="B354" i="3"/>
  <c r="E389" i="3"/>
  <c r="A2" i="3"/>
  <c r="B474" i="3"/>
  <c r="D474" i="3" s="1"/>
  <c r="B471" i="3"/>
  <c r="C468" i="3"/>
  <c r="E465" i="3"/>
  <c r="F462" i="3"/>
  <c r="C460" i="3"/>
  <c r="C457" i="3"/>
  <c r="E452" i="3"/>
  <c r="B450" i="3"/>
  <c r="F447" i="3"/>
  <c r="F445" i="3"/>
  <c r="C443" i="3"/>
  <c r="F440" i="3"/>
  <c r="B438" i="3"/>
  <c r="B436" i="3"/>
  <c r="F433" i="3"/>
  <c r="B431" i="3"/>
  <c r="F428" i="3"/>
  <c r="C426" i="3"/>
  <c r="F423" i="3"/>
  <c r="B421" i="3"/>
  <c r="E418" i="3"/>
  <c r="C416" i="3"/>
  <c r="E410" i="3"/>
  <c r="F407" i="3"/>
  <c r="B405" i="3"/>
  <c r="E402" i="3"/>
  <c r="B400" i="3"/>
  <c r="H400" i="3" s="1"/>
  <c r="C397" i="3"/>
  <c r="B395" i="3"/>
  <c r="H395" i="3" s="1"/>
  <c r="F392" i="3"/>
  <c r="B390" i="3"/>
  <c r="F387" i="3"/>
  <c r="C385" i="3"/>
  <c r="F382" i="3"/>
  <c r="F380" i="3"/>
  <c r="E376" i="3"/>
  <c r="F373" i="3"/>
  <c r="E371" i="3"/>
  <c r="B366" i="3"/>
  <c r="E363" i="3"/>
  <c r="C361" i="3"/>
  <c r="C356" i="3"/>
  <c r="E353" i="3"/>
  <c r="C351" i="3"/>
  <c r="C346" i="3"/>
  <c r="B344" i="3"/>
  <c r="H344" i="3" s="1"/>
  <c r="E341" i="3"/>
  <c r="F338" i="3"/>
  <c r="E336" i="3"/>
  <c r="E334" i="3"/>
  <c r="F331" i="3"/>
  <c r="F324" i="3"/>
  <c r="B322" i="3"/>
  <c r="E319" i="3"/>
  <c r="F316" i="3"/>
  <c r="F314" i="3"/>
  <c r="E312" i="3"/>
  <c r="B310" i="3"/>
  <c r="F307" i="3"/>
  <c r="F305" i="3"/>
  <c r="E303" i="3"/>
  <c r="B301" i="3"/>
  <c r="H301" i="3" s="1"/>
  <c r="C298" i="3"/>
  <c r="F295" i="3"/>
  <c r="C293" i="3"/>
  <c r="E290" i="3"/>
  <c r="E286" i="3"/>
  <c r="F283" i="3"/>
  <c r="F278" i="3"/>
  <c r="B276" i="3"/>
  <c r="H276" i="3" s="1"/>
  <c r="C273" i="3"/>
  <c r="E270" i="3"/>
  <c r="F472" i="3"/>
  <c r="B470" i="3"/>
  <c r="B467" i="3"/>
  <c r="H467" i="3" s="1"/>
  <c r="E464" i="3"/>
  <c r="F461" i="3"/>
  <c r="B459" i="3"/>
  <c r="C456" i="3"/>
  <c r="F451" i="3"/>
  <c r="C449" i="3"/>
  <c r="E444" i="3"/>
  <c r="B442" i="3"/>
  <c r="F439" i="3"/>
  <c r="C437" i="3"/>
  <c r="E432" i="3"/>
  <c r="C425" i="3"/>
  <c r="F422" i="3"/>
  <c r="C420" i="3"/>
  <c r="B415" i="3"/>
  <c r="C412" i="3"/>
  <c r="C409" i="3"/>
  <c r="E406" i="3"/>
  <c r="C404" i="3"/>
  <c r="F398" i="3"/>
  <c r="B394" i="3"/>
  <c r="E391" i="3"/>
  <c r="F386" i="3"/>
  <c r="C384" i="3"/>
  <c r="F381" i="3"/>
  <c r="F377" i="3"/>
  <c r="C375" i="3"/>
  <c r="E370" i="3"/>
  <c r="F367" i="3"/>
  <c r="B365" i="3"/>
  <c r="F362" i="3"/>
  <c r="C360" i="3"/>
  <c r="C355" i="3"/>
  <c r="F352" i="3"/>
  <c r="E350" i="3"/>
  <c r="B343" i="3"/>
  <c r="E340" i="3"/>
  <c r="F337" i="3"/>
  <c r="F335" i="3"/>
  <c r="C333" i="3"/>
  <c r="E330" i="3"/>
  <c r="C328" i="3"/>
  <c r="E323" i="3"/>
  <c r="C318" i="3"/>
  <c r="F313" i="3"/>
  <c r="E311" i="3"/>
  <c r="C309" i="3"/>
  <c r="F302" i="3"/>
  <c r="B300" i="3"/>
  <c r="E294" i="3"/>
  <c r="B292" i="3"/>
  <c r="E289" i="3"/>
  <c r="E287" i="3"/>
  <c r="C285" i="3"/>
  <c r="F282" i="3"/>
  <c r="C280" i="3"/>
  <c r="E277" i="3"/>
  <c r="C272" i="3"/>
  <c r="E472" i="3"/>
  <c r="F469" i="3"/>
  <c r="F466" i="3"/>
  <c r="C464" i="3"/>
  <c r="E461" i="3"/>
  <c r="G461" i="3" s="1"/>
  <c r="F458" i="3"/>
  <c r="B456" i="3"/>
  <c r="F453" i="3"/>
  <c r="E451" i="3"/>
  <c r="G451" i="3" s="1"/>
  <c r="B449" i="3"/>
  <c r="D449" i="3" s="1"/>
  <c r="H449" i="3" s="1"/>
  <c r="F446" i="3"/>
  <c r="C444" i="3"/>
  <c r="E439" i="3"/>
  <c r="G439" i="3" s="1"/>
  <c r="B437" i="3"/>
  <c r="D437" i="3" s="1"/>
  <c r="H437" i="3" s="1"/>
  <c r="C432" i="3"/>
  <c r="F427" i="3"/>
  <c r="B425" i="3"/>
  <c r="E422" i="3"/>
  <c r="B420" i="3"/>
  <c r="C417" i="3"/>
  <c r="F414" i="3"/>
  <c r="B412" i="3"/>
  <c r="B409" i="3"/>
  <c r="C406" i="3"/>
  <c r="B404" i="3"/>
  <c r="C401" i="3"/>
  <c r="E398" i="3"/>
  <c r="C396" i="3"/>
  <c r="F393" i="3"/>
  <c r="C391" i="3"/>
  <c r="C389" i="3"/>
  <c r="E386" i="3"/>
  <c r="B384" i="3"/>
  <c r="E381" i="3"/>
  <c r="G381" i="3" s="1"/>
  <c r="F379" i="3"/>
  <c r="E377" i="3"/>
  <c r="B375" i="3"/>
  <c r="H375" i="3" s="1"/>
  <c r="C370" i="3"/>
  <c r="E367" i="3"/>
  <c r="F364" i="3"/>
  <c r="E362" i="3"/>
  <c r="B360" i="3"/>
  <c r="F357" i="3"/>
  <c r="B355" i="3"/>
  <c r="D355" i="3" s="1"/>
  <c r="H355" i="3" s="1"/>
  <c r="E352" i="3"/>
  <c r="C350" i="3"/>
  <c r="F347" i="3"/>
  <c r="C345" i="3"/>
  <c r="F342" i="3"/>
  <c r="C340" i="3"/>
  <c r="E337" i="3"/>
  <c r="E335" i="3"/>
  <c r="B333" i="3"/>
  <c r="H333" i="3" s="1"/>
  <c r="C330" i="3"/>
  <c r="B328" i="3"/>
  <c r="F325" i="3"/>
  <c r="C323" i="3"/>
  <c r="F320" i="3"/>
  <c r="B318" i="3"/>
  <c r="E313" i="3"/>
  <c r="C311" i="3"/>
  <c r="B309" i="3"/>
  <c r="F306" i="3"/>
  <c r="F304" i="3"/>
  <c r="E302" i="3"/>
  <c r="F299" i="3"/>
  <c r="G299" i="3" s="1"/>
  <c r="C297" i="3"/>
  <c r="F291" i="3"/>
  <c r="B285" i="3"/>
  <c r="E282" i="3"/>
  <c r="B280" i="3"/>
  <c r="C277" i="3"/>
  <c r="F274" i="3"/>
  <c r="B272" i="3"/>
  <c r="C269" i="3"/>
  <c r="E266" i="3"/>
  <c r="C264" i="3"/>
  <c r="C472" i="3"/>
  <c r="E469" i="3"/>
  <c r="E466" i="3"/>
  <c r="B464" i="3"/>
  <c r="C461" i="3"/>
  <c r="E458" i="3"/>
  <c r="F455" i="3"/>
  <c r="E453" i="3"/>
  <c r="C451" i="3"/>
  <c r="F448" i="3"/>
  <c r="E446" i="3"/>
  <c r="B444" i="3"/>
  <c r="F441" i="3"/>
  <c r="C439" i="3"/>
  <c r="F434" i="3"/>
  <c r="B432" i="3"/>
  <c r="F429" i="3"/>
  <c r="E427" i="3"/>
  <c r="F424" i="3"/>
  <c r="C422" i="3"/>
  <c r="F419" i="3"/>
  <c r="B417" i="3"/>
  <c r="E414" i="3"/>
  <c r="F411" i="3"/>
  <c r="B406" i="3"/>
  <c r="F403" i="3"/>
  <c r="B401" i="3"/>
  <c r="B396" i="3"/>
  <c r="E393" i="3"/>
  <c r="B391" i="3"/>
  <c r="B389" i="3"/>
  <c r="C386" i="3"/>
  <c r="F383" i="3"/>
  <c r="E379" i="3"/>
  <c r="F372" i="3"/>
  <c r="B370" i="3"/>
  <c r="C367" i="3"/>
  <c r="E364" i="3"/>
  <c r="C362" i="3"/>
  <c r="E357" i="3"/>
  <c r="F354" i="3"/>
  <c r="C352" i="3"/>
  <c r="B350" i="3"/>
  <c r="H350" i="3" s="1"/>
  <c r="E347" i="3"/>
  <c r="B345" i="3"/>
  <c r="E342" i="3"/>
  <c r="B340" i="3"/>
  <c r="F332" i="3"/>
  <c r="B330" i="3"/>
  <c r="E325" i="3"/>
  <c r="B323" i="3"/>
  <c r="H323" i="3" s="1"/>
  <c r="E320" i="3"/>
  <c r="F317" i="3"/>
  <c r="F315" i="3"/>
  <c r="B311" i="3"/>
  <c r="H311" i="3" s="1"/>
  <c r="E306" i="3"/>
  <c r="E304" i="3"/>
  <c r="C302" i="3"/>
  <c r="E299" i="3"/>
  <c r="B297" i="3"/>
  <c r="H297" i="3" s="1"/>
  <c r="C294" i="3"/>
  <c r="E291" i="3"/>
  <c r="C289" i="3"/>
  <c r="D289" i="3" s="1"/>
  <c r="C287" i="3"/>
  <c r="F284" i="3"/>
  <c r="C282" i="3"/>
  <c r="F279" i="3"/>
  <c r="B277" i="3"/>
  <c r="E274" i="3"/>
  <c r="F271" i="3"/>
  <c r="B269" i="3"/>
  <c r="D269" i="3" s="1"/>
  <c r="H269" i="3" s="1"/>
  <c r="C266" i="3"/>
  <c r="B472" i="3"/>
  <c r="C469" i="3"/>
  <c r="C466" i="3"/>
  <c r="F463" i="3"/>
  <c r="B461" i="3"/>
  <c r="D461" i="3" s="1"/>
  <c r="H461" i="3" s="1"/>
  <c r="C458" i="3"/>
  <c r="E455" i="3"/>
  <c r="B451" i="3"/>
  <c r="H451" i="3" s="1"/>
  <c r="E448" i="3"/>
  <c r="E441" i="3"/>
  <c r="B439" i="3"/>
  <c r="F436" i="3"/>
  <c r="E434" i="3"/>
  <c r="F431" i="3"/>
  <c r="E429" i="3"/>
  <c r="C427" i="3"/>
  <c r="E424" i="3"/>
  <c r="B422" i="3"/>
  <c r="H422" i="3" s="1"/>
  <c r="E419" i="3"/>
  <c r="C414" i="3"/>
  <c r="E411" i="3"/>
  <c r="F408" i="3"/>
  <c r="F405" i="3"/>
  <c r="E403" i="3"/>
  <c r="C398" i="3"/>
  <c r="F395" i="3"/>
  <c r="F390" i="3"/>
  <c r="F388" i="3"/>
  <c r="B386" i="3"/>
  <c r="E383" i="3"/>
  <c r="C381" i="3"/>
  <c r="C379" i="3"/>
  <c r="C377" i="3"/>
  <c r="F374" i="3"/>
  <c r="E372" i="3"/>
  <c r="F369" i="3"/>
  <c r="B367" i="3"/>
  <c r="D367" i="3" s="1"/>
  <c r="B362" i="3"/>
  <c r="F359" i="3"/>
  <c r="C357" i="3"/>
  <c r="E354" i="3"/>
  <c r="B352" i="3"/>
  <c r="D352" i="3" s="1"/>
  <c r="F349" i="3"/>
  <c r="C347" i="3"/>
  <c r="C342" i="3"/>
  <c r="F339" i="3"/>
  <c r="C337" i="3"/>
  <c r="C335" i="3"/>
  <c r="E332" i="3"/>
  <c r="F327" i="3"/>
  <c r="C320" i="3"/>
  <c r="E317" i="3"/>
  <c r="E315" i="3"/>
  <c r="C313" i="3"/>
  <c r="F308" i="3"/>
  <c r="C304" i="3"/>
  <c r="B302" i="3"/>
  <c r="C299" i="3"/>
  <c r="F296" i="3"/>
  <c r="B294" i="3"/>
  <c r="C291" i="3"/>
  <c r="B289" i="3"/>
  <c r="B287" i="3"/>
  <c r="E284" i="3"/>
  <c r="B282" i="3"/>
  <c r="E279" i="3"/>
  <c r="C274" i="3"/>
  <c r="E271" i="3"/>
  <c r="F268" i="3"/>
  <c r="B266" i="3"/>
  <c r="F263" i="3"/>
  <c r="F474" i="3"/>
  <c r="F471" i="3"/>
  <c r="B469" i="3"/>
  <c r="D469" i="3" s="1"/>
  <c r="H469" i="3" s="1"/>
  <c r="B466" i="3"/>
  <c r="D466" i="3" s="1"/>
  <c r="E463" i="3"/>
  <c r="F460" i="3"/>
  <c r="B458" i="3"/>
  <c r="C453" i="3"/>
  <c r="F450" i="3"/>
  <c r="C446" i="3"/>
  <c r="F443" i="3"/>
  <c r="C441" i="3"/>
  <c r="F438" i="3"/>
  <c r="E436" i="3"/>
  <c r="E431" i="3"/>
  <c r="C429" i="3"/>
  <c r="B427" i="3"/>
  <c r="D424" i="3"/>
  <c r="H424" i="3" s="1"/>
  <c r="F421" i="3"/>
  <c r="C419" i="3"/>
  <c r="F416" i="3"/>
  <c r="B414" i="3"/>
  <c r="C411" i="3"/>
  <c r="E408" i="3"/>
  <c r="E405" i="3"/>
  <c r="C403" i="3"/>
  <c r="F400" i="3"/>
  <c r="B398" i="3"/>
  <c r="E395" i="3"/>
  <c r="C393" i="3"/>
  <c r="E390" i="3"/>
  <c r="E388" i="3"/>
  <c r="F385" i="3"/>
  <c r="B381" i="3"/>
  <c r="H381" i="3" s="1"/>
  <c r="B379" i="3"/>
  <c r="B377" i="3"/>
  <c r="E374" i="3"/>
  <c r="G374" i="3" s="1"/>
  <c r="C372" i="3"/>
  <c r="E369" i="3"/>
  <c r="F366" i="3"/>
  <c r="C364" i="3"/>
  <c r="F361" i="3"/>
  <c r="E359" i="3"/>
  <c r="B357" i="3"/>
  <c r="C354" i="3"/>
  <c r="D354" i="3" s="1"/>
  <c r="F351" i="3"/>
  <c r="E349" i="3"/>
  <c r="B347" i="3"/>
  <c r="F344" i="3"/>
  <c r="B342" i="3"/>
  <c r="E339" i="3"/>
  <c r="B337" i="3"/>
  <c r="B335" i="3"/>
  <c r="C332" i="3"/>
  <c r="E327" i="3"/>
  <c r="C325" i="3"/>
  <c r="F322" i="3"/>
  <c r="B320" i="3"/>
  <c r="C317" i="3"/>
  <c r="B313" i="3"/>
  <c r="H313" i="3" s="1"/>
  <c r="F310" i="3"/>
  <c r="E308" i="3"/>
  <c r="C306" i="3"/>
  <c r="D306" i="3" s="1"/>
  <c r="B304" i="3"/>
  <c r="H304" i="3" s="1"/>
  <c r="F301" i="3"/>
  <c r="B299" i="3"/>
  <c r="E296" i="3"/>
  <c r="B291" i="3"/>
  <c r="C284" i="3"/>
  <c r="C279" i="3"/>
  <c r="F276" i="3"/>
  <c r="B274" i="3"/>
  <c r="C271" i="3"/>
  <c r="E268" i="3"/>
  <c r="F473" i="3"/>
  <c r="B468" i="3"/>
  <c r="E462" i="3"/>
  <c r="G462" i="3" s="1"/>
  <c r="B457" i="3"/>
  <c r="H457" i="3" s="1"/>
  <c r="C452" i="3"/>
  <c r="E447" i="3"/>
  <c r="G447" i="3" s="1"/>
  <c r="B443" i="3"/>
  <c r="E433" i="3"/>
  <c r="E428" i="3"/>
  <c r="E423" i="3"/>
  <c r="C418" i="3"/>
  <c r="C413" i="3"/>
  <c r="E407" i="3"/>
  <c r="G407" i="3" s="1"/>
  <c r="C402" i="3"/>
  <c r="B397" i="3"/>
  <c r="E392" i="3"/>
  <c r="E387" i="3"/>
  <c r="E382" i="3"/>
  <c r="C378" i="3"/>
  <c r="E373" i="3"/>
  <c r="G373" i="3" s="1"/>
  <c r="F368" i="3"/>
  <c r="F358" i="3"/>
  <c r="F348" i="3"/>
  <c r="E338" i="3"/>
  <c r="G338" i="3" s="1"/>
  <c r="C334" i="3"/>
  <c r="C329" i="3"/>
  <c r="E324" i="3"/>
  <c r="G324" i="3" s="1"/>
  <c r="C319" i="3"/>
  <c r="E314" i="3"/>
  <c r="E305" i="3"/>
  <c r="G305" i="3" s="1"/>
  <c r="E295" i="3"/>
  <c r="C290" i="3"/>
  <c r="C286" i="3"/>
  <c r="C281" i="3"/>
  <c r="F275" i="3"/>
  <c r="C270" i="3"/>
  <c r="F265" i="3"/>
  <c r="C260" i="3"/>
  <c r="F257" i="3"/>
  <c r="E255" i="3"/>
  <c r="E250" i="3"/>
  <c r="B248" i="3"/>
  <c r="E245" i="3"/>
  <c r="E242" i="3"/>
  <c r="G242" i="3" s="1"/>
  <c r="B240" i="3"/>
  <c r="E237" i="3"/>
  <c r="C235" i="3"/>
  <c r="B233" i="3"/>
  <c r="D233" i="3" s="1"/>
  <c r="H233" i="3" s="1"/>
  <c r="E230" i="3"/>
  <c r="F227" i="3"/>
  <c r="B225" i="3"/>
  <c r="C222" i="3"/>
  <c r="C220" i="3"/>
  <c r="E217" i="3"/>
  <c r="B215" i="3"/>
  <c r="F212" i="3"/>
  <c r="C210" i="3"/>
  <c r="E205" i="3"/>
  <c r="B203" i="3"/>
  <c r="C200" i="3"/>
  <c r="F197" i="3"/>
  <c r="E190" i="3"/>
  <c r="C188" i="3"/>
  <c r="F185" i="3"/>
  <c r="B183" i="3"/>
  <c r="H183" i="3" s="1"/>
  <c r="B180" i="3"/>
  <c r="C177" i="3"/>
  <c r="F174" i="3"/>
  <c r="E172" i="3"/>
  <c r="F169" i="3"/>
  <c r="B167" i="3"/>
  <c r="F164" i="3"/>
  <c r="F161" i="3"/>
  <c r="E473" i="3"/>
  <c r="F467" i="3"/>
  <c r="B452" i="3"/>
  <c r="C447" i="3"/>
  <c r="F442" i="3"/>
  <c r="F437" i="3"/>
  <c r="C433" i="3"/>
  <c r="C428" i="3"/>
  <c r="C423" i="3"/>
  <c r="B418" i="3"/>
  <c r="D418" i="3" s="1"/>
  <c r="H418" i="3" s="1"/>
  <c r="B413" i="3"/>
  <c r="C407" i="3"/>
  <c r="B402" i="3"/>
  <c r="H402" i="3" s="1"/>
  <c r="C392" i="3"/>
  <c r="C387" i="3"/>
  <c r="C382" i="3"/>
  <c r="B378" i="3"/>
  <c r="E368" i="3"/>
  <c r="C363" i="3"/>
  <c r="E358" i="3"/>
  <c r="C353" i="3"/>
  <c r="E348" i="3"/>
  <c r="F343" i="3"/>
  <c r="B334" i="3"/>
  <c r="B329" i="3"/>
  <c r="C324" i="3"/>
  <c r="B319" i="3"/>
  <c r="C314" i="3"/>
  <c r="F300" i="3"/>
  <c r="C295" i="3"/>
  <c r="B290" i="3"/>
  <c r="D290" i="3" s="1"/>
  <c r="H290" i="3" s="1"/>
  <c r="B286" i="3"/>
  <c r="B281" i="3"/>
  <c r="H281" i="3" s="1"/>
  <c r="E275" i="3"/>
  <c r="B270" i="3"/>
  <c r="E265" i="3"/>
  <c r="F262" i="3"/>
  <c r="B260" i="3"/>
  <c r="H260" i="3" s="1"/>
  <c r="E257" i="3"/>
  <c r="F252" i="3"/>
  <c r="C250" i="3"/>
  <c r="F247" i="3"/>
  <c r="C245" i="3"/>
  <c r="F239" i="3"/>
  <c r="C237" i="3"/>
  <c r="B235" i="3"/>
  <c r="C230" i="3"/>
  <c r="E227" i="3"/>
  <c r="F224" i="3"/>
  <c r="B222" i="3"/>
  <c r="B220" i="3"/>
  <c r="C217" i="3"/>
  <c r="F214" i="3"/>
  <c r="E212" i="3"/>
  <c r="B210" i="3"/>
  <c r="F207" i="3"/>
  <c r="C205" i="3"/>
  <c r="F202" i="3"/>
  <c r="B200" i="3"/>
  <c r="E197" i="3"/>
  <c r="F194" i="3"/>
  <c r="C192" i="3"/>
  <c r="C190" i="3"/>
  <c r="B188" i="3"/>
  <c r="E185" i="3"/>
  <c r="F182" i="3"/>
  <c r="F179" i="3"/>
  <c r="B177" i="3"/>
  <c r="E174" i="3"/>
  <c r="E169" i="3"/>
  <c r="F166" i="3"/>
  <c r="E164" i="3"/>
  <c r="E161" i="3"/>
  <c r="C473" i="3"/>
  <c r="E467" i="3"/>
  <c r="C462" i="3"/>
  <c r="F456" i="3"/>
  <c r="B447" i="3"/>
  <c r="D447" i="3" s="1"/>
  <c r="E442" i="3"/>
  <c r="E437" i="3"/>
  <c r="B433" i="3"/>
  <c r="B428" i="3"/>
  <c r="H428" i="3" s="1"/>
  <c r="B423" i="3"/>
  <c r="F417" i="3"/>
  <c r="F412" i="3"/>
  <c r="B407" i="3"/>
  <c r="F401" i="3"/>
  <c r="F396" i="3"/>
  <c r="B392" i="3"/>
  <c r="B387" i="3"/>
  <c r="B382" i="3"/>
  <c r="C373" i="3"/>
  <c r="C368" i="3"/>
  <c r="B363" i="3"/>
  <c r="C358" i="3"/>
  <c r="B353" i="3"/>
  <c r="C348" i="3"/>
  <c r="E343" i="3"/>
  <c r="C338" i="3"/>
  <c r="F333" i="3"/>
  <c r="F328" i="3"/>
  <c r="B324" i="3"/>
  <c r="H324" i="3" s="1"/>
  <c r="F318" i="3"/>
  <c r="B314" i="3"/>
  <c r="F309" i="3"/>
  <c r="C305" i="3"/>
  <c r="E300" i="3"/>
  <c r="B295" i="3"/>
  <c r="F285" i="3"/>
  <c r="F280" i="3"/>
  <c r="C275" i="3"/>
  <c r="E262" i="3"/>
  <c r="F259" i="3"/>
  <c r="C255" i="3"/>
  <c r="E252" i="3"/>
  <c r="B250" i="3"/>
  <c r="E247" i="3"/>
  <c r="B245" i="3"/>
  <c r="C242" i="3"/>
  <c r="E239" i="3"/>
  <c r="B237" i="3"/>
  <c r="F234" i="3"/>
  <c r="F232" i="3"/>
  <c r="B230" i="3"/>
  <c r="C227" i="3"/>
  <c r="E224" i="3"/>
  <c r="F219" i="3"/>
  <c r="B217" i="3"/>
  <c r="E214" i="3"/>
  <c r="C212" i="3"/>
  <c r="F209" i="3"/>
  <c r="E207" i="3"/>
  <c r="B205" i="3"/>
  <c r="E202" i="3"/>
  <c r="F199" i="3"/>
  <c r="C197" i="3"/>
  <c r="E194" i="3"/>
  <c r="B192" i="3"/>
  <c r="B190" i="3"/>
  <c r="E182" i="3"/>
  <c r="E179" i="3"/>
  <c r="F176" i="3"/>
  <c r="C174" i="3"/>
  <c r="C172" i="3"/>
  <c r="C169" i="3"/>
  <c r="E166" i="3"/>
  <c r="C164" i="3"/>
  <c r="C161" i="3"/>
  <c r="B159" i="3"/>
  <c r="B473" i="3"/>
  <c r="C467" i="3"/>
  <c r="B462" i="3"/>
  <c r="H462" i="3" s="1"/>
  <c r="E456" i="3"/>
  <c r="C442" i="3"/>
  <c r="F432" i="3"/>
  <c r="E417" i="3"/>
  <c r="E412" i="3"/>
  <c r="F406" i="3"/>
  <c r="E401" i="3"/>
  <c r="G401" i="3" s="1"/>
  <c r="E396" i="3"/>
  <c r="F391" i="3"/>
  <c r="B373" i="3"/>
  <c r="B368" i="3"/>
  <c r="B358" i="3"/>
  <c r="B348" i="3"/>
  <c r="C343" i="3"/>
  <c r="B338" i="3"/>
  <c r="E333" i="3"/>
  <c r="E328" i="3"/>
  <c r="F323" i="3"/>
  <c r="E318" i="3"/>
  <c r="E309" i="3"/>
  <c r="B305" i="3"/>
  <c r="C300" i="3"/>
  <c r="D300" i="3" s="1"/>
  <c r="F294" i="3"/>
  <c r="F289" i="3"/>
  <c r="E285" i="3"/>
  <c r="E280" i="3"/>
  <c r="B275" i="3"/>
  <c r="F269" i="3"/>
  <c r="C265" i="3"/>
  <c r="C262" i="3"/>
  <c r="E259" i="3"/>
  <c r="C257" i="3"/>
  <c r="B255" i="3"/>
  <c r="C252" i="3"/>
  <c r="C247" i="3"/>
  <c r="F244" i="3"/>
  <c r="B242" i="3"/>
  <c r="E234" i="3"/>
  <c r="E232" i="3"/>
  <c r="F229" i="3"/>
  <c r="B227" i="3"/>
  <c r="C224" i="3"/>
  <c r="F221" i="3"/>
  <c r="E219" i="3"/>
  <c r="C214" i="3"/>
  <c r="B212" i="3"/>
  <c r="E209" i="3"/>
  <c r="F204" i="3"/>
  <c r="C202" i="3"/>
  <c r="E199" i="3"/>
  <c r="B197" i="3"/>
  <c r="F187" i="3"/>
  <c r="C185" i="3"/>
  <c r="C182" i="3"/>
  <c r="C179" i="3"/>
  <c r="E176" i="3"/>
  <c r="B174" i="3"/>
  <c r="H174" i="3" s="1"/>
  <c r="B172" i="3"/>
  <c r="B169" i="3"/>
  <c r="C166" i="3"/>
  <c r="D166" i="3" s="1"/>
  <c r="B164" i="3"/>
  <c r="B161" i="3"/>
  <c r="E471" i="3"/>
  <c r="E460" i="3"/>
  <c r="C455" i="3"/>
  <c r="E450" i="3"/>
  <c r="B446" i="3"/>
  <c r="B441" i="3"/>
  <c r="F426" i="3"/>
  <c r="E421" i="3"/>
  <c r="E416" i="3"/>
  <c r="B411" i="3"/>
  <c r="E400" i="3"/>
  <c r="E385" i="3"/>
  <c r="B372" i="3"/>
  <c r="E366" i="3"/>
  <c r="E361" i="3"/>
  <c r="F356" i="3"/>
  <c r="E351" i="3"/>
  <c r="F346" i="3"/>
  <c r="B332" i="3"/>
  <c r="C327" i="3"/>
  <c r="E322" i="3"/>
  <c r="B317" i="3"/>
  <c r="H317" i="3" s="1"/>
  <c r="C308" i="3"/>
  <c r="F298" i="3"/>
  <c r="F293" i="3"/>
  <c r="F288" i="3"/>
  <c r="B284" i="3"/>
  <c r="B279" i="3"/>
  <c r="F273" i="3"/>
  <c r="E269" i="3"/>
  <c r="B265" i="3"/>
  <c r="H265" i="3" s="1"/>
  <c r="B262" i="3"/>
  <c r="C259" i="3"/>
  <c r="B257" i="3"/>
  <c r="F254" i="3"/>
  <c r="B252" i="3"/>
  <c r="F249" i="3"/>
  <c r="B247" i="3"/>
  <c r="E244" i="3"/>
  <c r="F241" i="3"/>
  <c r="C239" i="3"/>
  <c r="F236" i="3"/>
  <c r="C232" i="3"/>
  <c r="E229" i="3"/>
  <c r="G229" i="3" s="1"/>
  <c r="B224" i="3"/>
  <c r="E221" i="3"/>
  <c r="C219" i="3"/>
  <c r="F216" i="3"/>
  <c r="B214" i="3"/>
  <c r="C207" i="3"/>
  <c r="E204" i="3"/>
  <c r="B202" i="3"/>
  <c r="C471" i="3"/>
  <c r="F465" i="3"/>
  <c r="B455" i="3"/>
  <c r="C450" i="3"/>
  <c r="C436" i="3"/>
  <c r="C431" i="3"/>
  <c r="E426" i="3"/>
  <c r="C421" i="3"/>
  <c r="F410" i="3"/>
  <c r="C405" i="3"/>
  <c r="D405" i="3" s="1"/>
  <c r="H405" i="3" s="1"/>
  <c r="C400" i="3"/>
  <c r="C395" i="3"/>
  <c r="C390" i="3"/>
  <c r="F376" i="3"/>
  <c r="F371" i="3"/>
  <c r="C366" i="3"/>
  <c r="E356" i="3"/>
  <c r="E346" i="3"/>
  <c r="F341" i="3"/>
  <c r="F336" i="3"/>
  <c r="B327" i="3"/>
  <c r="C322" i="3"/>
  <c r="F312" i="3"/>
  <c r="B308" i="3"/>
  <c r="F303" i="3"/>
  <c r="E298" i="3"/>
  <c r="E293" i="3"/>
  <c r="E288" i="3"/>
  <c r="E273" i="3"/>
  <c r="C268" i="3"/>
  <c r="F261" i="3"/>
  <c r="B259" i="3"/>
  <c r="E254" i="3"/>
  <c r="E249" i="3"/>
  <c r="C244" i="3"/>
  <c r="E241" i="3"/>
  <c r="B239" i="3"/>
  <c r="D239" i="3" s="1"/>
  <c r="H239" i="3" s="1"/>
  <c r="E236" i="3"/>
  <c r="C234" i="3"/>
  <c r="B232" i="3"/>
  <c r="C229" i="3"/>
  <c r="F226" i="3"/>
  <c r="F223" i="3"/>
  <c r="B219" i="3"/>
  <c r="E216" i="3"/>
  <c r="F211" i="3"/>
  <c r="C209" i="3"/>
  <c r="B207" i="3"/>
  <c r="C204" i="3"/>
  <c r="F201" i="3"/>
  <c r="B199" i="3"/>
  <c r="H199" i="3" s="1"/>
  <c r="E196" i="3"/>
  <c r="B194" i="3"/>
  <c r="F191" i="3"/>
  <c r="E189" i="3"/>
  <c r="F184" i="3"/>
  <c r="F181" i="3"/>
  <c r="B176" i="3"/>
  <c r="F173" i="3"/>
  <c r="E171" i="3"/>
  <c r="E168" i="3"/>
  <c r="E163" i="3"/>
  <c r="F160" i="3"/>
  <c r="E158" i="3"/>
  <c r="B460" i="3"/>
  <c r="F454" i="3"/>
  <c r="E445" i="3"/>
  <c r="G445" i="3" s="1"/>
  <c r="E440" i="3"/>
  <c r="G440" i="3" s="1"/>
  <c r="F435" i="3"/>
  <c r="F430" i="3"/>
  <c r="B426" i="3"/>
  <c r="B416" i="3"/>
  <c r="C410" i="3"/>
  <c r="D410" i="3" s="1"/>
  <c r="F399" i="3"/>
  <c r="B385" i="3"/>
  <c r="D385" i="3" s="1"/>
  <c r="E380" i="3"/>
  <c r="C376" i="3"/>
  <c r="C371" i="3"/>
  <c r="B361" i="3"/>
  <c r="D361" i="3" s="1"/>
  <c r="H361" i="3" s="1"/>
  <c r="B356" i="3"/>
  <c r="D356" i="3" s="1"/>
  <c r="H356" i="3" s="1"/>
  <c r="B351" i="3"/>
  <c r="B346" i="3"/>
  <c r="D346" i="3" s="1"/>
  <c r="E331" i="3"/>
  <c r="F326" i="3"/>
  <c r="F321" i="3"/>
  <c r="E316" i="3"/>
  <c r="C312" i="3"/>
  <c r="E307" i="3"/>
  <c r="B298" i="3"/>
  <c r="B293" i="3"/>
  <c r="C288" i="3"/>
  <c r="E283" i="3"/>
  <c r="G283" i="3" s="1"/>
  <c r="E278" i="3"/>
  <c r="B273" i="3"/>
  <c r="B268" i="3"/>
  <c r="F264" i="3"/>
  <c r="E261" i="3"/>
  <c r="F256" i="3"/>
  <c r="C254" i="3"/>
  <c r="F251" i="3"/>
  <c r="F246" i="3"/>
  <c r="B244" i="3"/>
  <c r="C241" i="3"/>
  <c r="B234" i="3"/>
  <c r="B229" i="3"/>
  <c r="E226" i="3"/>
  <c r="E223" i="3"/>
  <c r="C221" i="3"/>
  <c r="F218" i="3"/>
  <c r="C216" i="3"/>
  <c r="F213" i="3"/>
  <c r="G213" i="3" s="1"/>
  <c r="E211" i="3"/>
  <c r="B209" i="3"/>
  <c r="B204" i="3"/>
  <c r="E201" i="3"/>
  <c r="C196" i="3"/>
  <c r="F193" i="3"/>
  <c r="E191" i="3"/>
  <c r="C187" i="3"/>
  <c r="E184" i="3"/>
  <c r="E181" i="3"/>
  <c r="F178" i="3"/>
  <c r="E173" i="3"/>
  <c r="C171" i="3"/>
  <c r="C163" i="3"/>
  <c r="E160" i="3"/>
  <c r="C158" i="3"/>
  <c r="E470" i="3"/>
  <c r="B465" i="3"/>
  <c r="E459" i="3"/>
  <c r="C454" i="3"/>
  <c r="D454" i="3" s="1"/>
  <c r="H454" i="3" s="1"/>
  <c r="E449" i="3"/>
  <c r="B445" i="3"/>
  <c r="B440" i="3"/>
  <c r="C435" i="3"/>
  <c r="C430" i="3"/>
  <c r="E425" i="3"/>
  <c r="E420" i="3"/>
  <c r="C465" i="3"/>
  <c r="F449" i="3"/>
  <c r="E435" i="3"/>
  <c r="F420" i="3"/>
  <c r="C408" i="3"/>
  <c r="F394" i="3"/>
  <c r="E384" i="3"/>
  <c r="G384" i="3" s="1"/>
  <c r="B374" i="3"/>
  <c r="F360" i="3"/>
  <c r="C349" i="3"/>
  <c r="C336" i="3"/>
  <c r="B326" i="3"/>
  <c r="B315" i="3"/>
  <c r="H315" i="3" s="1"/>
  <c r="B303" i="3"/>
  <c r="C278" i="3"/>
  <c r="C267" i="3"/>
  <c r="E260" i="3"/>
  <c r="G260" i="3" s="1"/>
  <c r="F253" i="3"/>
  <c r="E248" i="3"/>
  <c r="B241" i="3"/>
  <c r="F230" i="3"/>
  <c r="B223" i="3"/>
  <c r="C206" i="3"/>
  <c r="E200" i="3"/>
  <c r="G200" i="3" s="1"/>
  <c r="B195" i="3"/>
  <c r="F190" i="3"/>
  <c r="B186" i="3"/>
  <c r="C180" i="3"/>
  <c r="B175" i="3"/>
  <c r="D175" i="3" s="1"/>
  <c r="H175" i="3" s="1"/>
  <c r="B170" i="3"/>
  <c r="B165" i="3"/>
  <c r="F159" i="3"/>
  <c r="E156" i="3"/>
  <c r="F153" i="3"/>
  <c r="B151" i="3"/>
  <c r="F148" i="3"/>
  <c r="B146" i="3"/>
  <c r="E143" i="3"/>
  <c r="G143" i="3" s="1"/>
  <c r="F138" i="3"/>
  <c r="E136" i="3"/>
  <c r="G136" i="3" s="1"/>
  <c r="B131" i="3"/>
  <c r="F128" i="3"/>
  <c r="C126" i="3"/>
  <c r="E123" i="3"/>
  <c r="F120" i="3"/>
  <c r="E118" i="3"/>
  <c r="G118" i="3" s="1"/>
  <c r="C116" i="3"/>
  <c r="E113" i="3"/>
  <c r="B111" i="3"/>
  <c r="E108" i="3"/>
  <c r="E103" i="3"/>
  <c r="B101" i="3"/>
  <c r="D101" i="3" s="1"/>
  <c r="E98" i="3"/>
  <c r="C93" i="3"/>
  <c r="F90" i="3"/>
  <c r="B88" i="3"/>
  <c r="D88" i="3" s="1"/>
  <c r="H88" i="3" s="1"/>
  <c r="E85" i="3"/>
  <c r="B83" i="3"/>
  <c r="B80" i="3"/>
  <c r="F77" i="3"/>
  <c r="E72" i="3"/>
  <c r="C70" i="3"/>
  <c r="F67" i="3"/>
  <c r="E65" i="3"/>
  <c r="C63" i="3"/>
  <c r="E60" i="3"/>
  <c r="B58" i="3"/>
  <c r="C55" i="3"/>
  <c r="F52" i="3"/>
  <c r="B50" i="3"/>
  <c r="E47" i="3"/>
  <c r="E42" i="3"/>
  <c r="B40" i="3"/>
  <c r="C37" i="3"/>
  <c r="E34" i="3"/>
  <c r="G34" i="3" s="1"/>
  <c r="C32" i="3"/>
  <c r="F464" i="3"/>
  <c r="B435" i="3"/>
  <c r="B408" i="3"/>
  <c r="E394" i="3"/>
  <c r="C383" i="3"/>
  <c r="B371" i="3"/>
  <c r="E360" i="3"/>
  <c r="B349" i="3"/>
  <c r="B336" i="3"/>
  <c r="H336" i="3" s="1"/>
  <c r="B325" i="3"/>
  <c r="B312" i="3"/>
  <c r="H312" i="3" s="1"/>
  <c r="F290" i="3"/>
  <c r="B278" i="3"/>
  <c r="B267" i="3"/>
  <c r="F258" i="3"/>
  <c r="E253" i="3"/>
  <c r="C248" i="3"/>
  <c r="D248" i="3" s="1"/>
  <c r="F240" i="3"/>
  <c r="F235" i="3"/>
  <c r="F217" i="3"/>
  <c r="C211" i="3"/>
  <c r="B206" i="3"/>
  <c r="C199" i="3"/>
  <c r="C194" i="3"/>
  <c r="F189" i="3"/>
  <c r="B185" i="3"/>
  <c r="B179" i="3"/>
  <c r="F168" i="3"/>
  <c r="F163" i="3"/>
  <c r="E159" i="3"/>
  <c r="C156" i="3"/>
  <c r="E153" i="3"/>
  <c r="F150" i="3"/>
  <c r="E148" i="3"/>
  <c r="F145" i="3"/>
  <c r="F140" i="3"/>
  <c r="E138" i="3"/>
  <c r="C136" i="3"/>
  <c r="F133" i="3"/>
  <c r="F130" i="3"/>
  <c r="E128" i="3"/>
  <c r="B126" i="3"/>
  <c r="C123" i="3"/>
  <c r="E120" i="3"/>
  <c r="C118" i="3"/>
  <c r="B116" i="3"/>
  <c r="F110" i="3"/>
  <c r="C108" i="3"/>
  <c r="F105" i="3"/>
  <c r="C103" i="3"/>
  <c r="C98" i="3"/>
  <c r="F95" i="3"/>
  <c r="B93" i="3"/>
  <c r="E90" i="3"/>
  <c r="F87" i="3"/>
  <c r="F82" i="3"/>
  <c r="E77" i="3"/>
  <c r="C75" i="3"/>
  <c r="B70" i="3"/>
  <c r="E67" i="3"/>
  <c r="B63" i="3"/>
  <c r="C60" i="3"/>
  <c r="F57" i="3"/>
  <c r="B55" i="3"/>
  <c r="D55" i="3" s="1"/>
  <c r="E52" i="3"/>
  <c r="C47" i="3"/>
  <c r="D47" i="3" s="1"/>
  <c r="F44" i="3"/>
  <c r="C42" i="3"/>
  <c r="F39" i="3"/>
  <c r="B37" i="3"/>
  <c r="C463" i="3"/>
  <c r="C448" i="3"/>
  <c r="C434" i="3"/>
  <c r="B419" i="3"/>
  <c r="F404" i="3"/>
  <c r="C394" i="3"/>
  <c r="B383" i="3"/>
  <c r="H383" i="3" s="1"/>
  <c r="C359" i="3"/>
  <c r="E301" i="3"/>
  <c r="B288" i="3"/>
  <c r="F277" i="3"/>
  <c r="F266" i="3"/>
  <c r="E258" i="3"/>
  <c r="C253" i="3"/>
  <c r="E246" i="3"/>
  <c r="E240" i="3"/>
  <c r="E235" i="3"/>
  <c r="F228" i="3"/>
  <c r="F222" i="3"/>
  <c r="B216" i="3"/>
  <c r="B211" i="3"/>
  <c r="F205" i="3"/>
  <c r="F198" i="3"/>
  <c r="E193" i="3"/>
  <c r="C189" i="3"/>
  <c r="C184" i="3"/>
  <c r="E178" i="3"/>
  <c r="C168" i="3"/>
  <c r="B163" i="3"/>
  <c r="C159" i="3"/>
  <c r="B156" i="3"/>
  <c r="E150" i="3"/>
  <c r="C148" i="3"/>
  <c r="E145" i="3"/>
  <c r="C143" i="3"/>
  <c r="E140" i="3"/>
  <c r="B136" i="3"/>
  <c r="E133" i="3"/>
  <c r="E130" i="3"/>
  <c r="C128" i="3"/>
  <c r="F125" i="3"/>
  <c r="B123" i="3"/>
  <c r="B118" i="3"/>
  <c r="F115" i="3"/>
  <c r="C113" i="3"/>
  <c r="E110" i="3"/>
  <c r="B108" i="3"/>
  <c r="E105" i="3"/>
  <c r="B103" i="3"/>
  <c r="F100" i="3"/>
  <c r="B98" i="3"/>
  <c r="E95" i="3"/>
  <c r="C90" i="3"/>
  <c r="E87" i="3"/>
  <c r="C85" i="3"/>
  <c r="E82" i="3"/>
  <c r="F79" i="3"/>
  <c r="B75" i="3"/>
  <c r="C72" i="3"/>
  <c r="F69" i="3"/>
  <c r="C65" i="3"/>
  <c r="F62" i="3"/>
  <c r="B60" i="3"/>
  <c r="E57" i="3"/>
  <c r="F49" i="3"/>
  <c r="B47" i="3"/>
  <c r="E44" i="3"/>
  <c r="B42" i="3"/>
  <c r="E39" i="3"/>
  <c r="F36" i="3"/>
  <c r="C34" i="3"/>
  <c r="B463" i="3"/>
  <c r="B448" i="3"/>
  <c r="B434" i="3"/>
  <c r="F418" i="3"/>
  <c r="E404" i="3"/>
  <c r="B393" i="3"/>
  <c r="F370" i="3"/>
  <c r="B359" i="3"/>
  <c r="F345" i="3"/>
  <c r="E321" i="3"/>
  <c r="F311" i="3"/>
  <c r="C301" i="3"/>
  <c r="E276" i="3"/>
  <c r="E264" i="3"/>
  <c r="B253" i="3"/>
  <c r="C246" i="3"/>
  <c r="E228" i="3"/>
  <c r="E222" i="3"/>
  <c r="F210" i="3"/>
  <c r="E198" i="3"/>
  <c r="C193" i="3"/>
  <c r="B189" i="3"/>
  <c r="B184" i="3"/>
  <c r="C178" i="3"/>
  <c r="C173" i="3"/>
  <c r="B168" i="3"/>
  <c r="F162" i="3"/>
  <c r="F155" i="3"/>
  <c r="C153" i="3"/>
  <c r="C150" i="3"/>
  <c r="B148" i="3"/>
  <c r="C145" i="3"/>
  <c r="B143" i="3"/>
  <c r="C138" i="3"/>
  <c r="F135" i="3"/>
  <c r="C133" i="3"/>
  <c r="C130" i="3"/>
  <c r="B128" i="3"/>
  <c r="E125" i="3"/>
  <c r="F122" i="3"/>
  <c r="C120" i="3"/>
  <c r="E115" i="3"/>
  <c r="B113" i="3"/>
  <c r="C110" i="3"/>
  <c r="C105" i="3"/>
  <c r="F102" i="3"/>
  <c r="E100" i="3"/>
  <c r="F97" i="3"/>
  <c r="C95" i="3"/>
  <c r="F92" i="3"/>
  <c r="B90" i="3"/>
  <c r="B85" i="3"/>
  <c r="C82" i="3"/>
  <c r="E79" i="3"/>
  <c r="C77" i="3"/>
  <c r="F74" i="3"/>
  <c r="B72" i="3"/>
  <c r="E69" i="3"/>
  <c r="C67" i="3"/>
  <c r="B65" i="3"/>
  <c r="E62" i="3"/>
  <c r="C57" i="3"/>
  <c r="F54" i="3"/>
  <c r="C52" i="3"/>
  <c r="E49" i="3"/>
  <c r="F46" i="3"/>
  <c r="F41" i="3"/>
  <c r="C39" i="3"/>
  <c r="E36" i="3"/>
  <c r="B34" i="3"/>
  <c r="F459" i="3"/>
  <c r="C445" i="3"/>
  <c r="E430" i="3"/>
  <c r="F415" i="3"/>
  <c r="C380" i="3"/>
  <c r="C369" i="3"/>
  <c r="F355" i="3"/>
  <c r="E345" i="3"/>
  <c r="F334" i="3"/>
  <c r="C321" i="3"/>
  <c r="E310" i="3"/>
  <c r="F287" i="3"/>
  <c r="C276" i="3"/>
  <c r="B264" i="3"/>
  <c r="C258" i="3"/>
  <c r="E251" i="3"/>
  <c r="B246" i="3"/>
  <c r="C240" i="3"/>
  <c r="F233" i="3"/>
  <c r="C228" i="3"/>
  <c r="B221" i="3"/>
  <c r="F215" i="3"/>
  <c r="E210" i="3"/>
  <c r="F203" i="3"/>
  <c r="B193" i="3"/>
  <c r="F183" i="3"/>
  <c r="B178" i="3"/>
  <c r="B173" i="3"/>
  <c r="F167" i="3"/>
  <c r="E162" i="3"/>
  <c r="F158" i="3"/>
  <c r="E155" i="3"/>
  <c r="B153" i="3"/>
  <c r="B150" i="3"/>
  <c r="B145" i="3"/>
  <c r="D145" i="3" s="1"/>
  <c r="H145" i="3" s="1"/>
  <c r="F142" i="3"/>
  <c r="C140" i="3"/>
  <c r="B138" i="3"/>
  <c r="E135" i="3"/>
  <c r="B133" i="3"/>
  <c r="B130" i="3"/>
  <c r="F127" i="3"/>
  <c r="E122" i="3"/>
  <c r="B120" i="3"/>
  <c r="C115" i="3"/>
  <c r="F112" i="3"/>
  <c r="B110" i="3"/>
  <c r="D110" i="3" s="1"/>
  <c r="H110" i="3" s="1"/>
  <c r="F107" i="3"/>
  <c r="B105" i="3"/>
  <c r="H105" i="3" s="1"/>
  <c r="E102" i="3"/>
  <c r="C100" i="3"/>
  <c r="E97" i="3"/>
  <c r="B95" i="3"/>
  <c r="E92" i="3"/>
  <c r="F89" i="3"/>
  <c r="C87" i="3"/>
  <c r="F84" i="3"/>
  <c r="B82" i="3"/>
  <c r="C79" i="3"/>
  <c r="B77" i="3"/>
  <c r="E74" i="3"/>
  <c r="C69" i="3"/>
  <c r="B67" i="3"/>
  <c r="C62" i="3"/>
  <c r="F59" i="3"/>
  <c r="B57" i="3"/>
  <c r="E54" i="3"/>
  <c r="B52" i="3"/>
  <c r="C49" i="3"/>
  <c r="E46" i="3"/>
  <c r="C44" i="3"/>
  <c r="E41" i="3"/>
  <c r="B39" i="3"/>
  <c r="C36" i="3"/>
  <c r="C459" i="3"/>
  <c r="F444" i="3"/>
  <c r="B430" i="3"/>
  <c r="E415" i="3"/>
  <c r="B403" i="3"/>
  <c r="B380" i="3"/>
  <c r="B369" i="3"/>
  <c r="E355" i="3"/>
  <c r="E344" i="3"/>
  <c r="C331" i="3"/>
  <c r="B321" i="3"/>
  <c r="C310" i="3"/>
  <c r="F297" i="3"/>
  <c r="E263" i="3"/>
  <c r="B258" i="3"/>
  <c r="C251" i="3"/>
  <c r="F238" i="3"/>
  <c r="E233" i="3"/>
  <c r="B228" i="3"/>
  <c r="E215" i="3"/>
  <c r="F208" i="3"/>
  <c r="E203" i="3"/>
  <c r="C198" i="3"/>
  <c r="F192" i="3"/>
  <c r="F188" i="3"/>
  <c r="G188" i="3" s="1"/>
  <c r="E183" i="3"/>
  <c r="F177" i="3"/>
  <c r="E167" i="3"/>
  <c r="C162" i="3"/>
  <c r="D162" i="3" s="1"/>
  <c r="B158" i="3"/>
  <c r="C155" i="3"/>
  <c r="F152" i="3"/>
  <c r="F147" i="3"/>
  <c r="G147" i="3" s="1"/>
  <c r="E142" i="3"/>
  <c r="B140" i="3"/>
  <c r="D140" i="3" s="1"/>
  <c r="H140" i="3" s="1"/>
  <c r="G137" i="3"/>
  <c r="C135" i="3"/>
  <c r="F132" i="3"/>
  <c r="E127" i="3"/>
  <c r="C125" i="3"/>
  <c r="C122" i="3"/>
  <c r="F117" i="3"/>
  <c r="G117" i="3" s="1"/>
  <c r="B115" i="3"/>
  <c r="E112" i="3"/>
  <c r="E107" i="3"/>
  <c r="C102" i="3"/>
  <c r="B100" i="3"/>
  <c r="C97" i="3"/>
  <c r="F94" i="3"/>
  <c r="C92" i="3"/>
  <c r="E89" i="3"/>
  <c r="B87" i="3"/>
  <c r="E84" i="3"/>
  <c r="F81" i="3"/>
  <c r="B79" i="3"/>
  <c r="C74" i="3"/>
  <c r="F71" i="3"/>
  <c r="B69" i="3"/>
  <c r="F66" i="3"/>
  <c r="F64" i="3"/>
  <c r="G64" i="3" s="1"/>
  <c r="B62" i="3"/>
  <c r="E59" i="3"/>
  <c r="C54" i="3"/>
  <c r="F51" i="3"/>
  <c r="B49" i="3"/>
  <c r="D46" i="3"/>
  <c r="B44" i="3"/>
  <c r="C41" i="3"/>
  <c r="F38" i="3"/>
  <c r="G38" i="3" s="1"/>
  <c r="B36" i="3"/>
  <c r="E33" i="3"/>
  <c r="G33" i="3" s="1"/>
  <c r="E474" i="3"/>
  <c r="F457" i="3"/>
  <c r="G457" i="3" s="1"/>
  <c r="E443" i="3"/>
  <c r="B429" i="3"/>
  <c r="C415" i="3"/>
  <c r="F402" i="3"/>
  <c r="F389" i="3"/>
  <c r="F378" i="3"/>
  <c r="G378" i="3" s="1"/>
  <c r="F365" i="3"/>
  <c r="C344" i="3"/>
  <c r="B331" i="3"/>
  <c r="E297" i="3"/>
  <c r="F470" i="3"/>
  <c r="E454" i="3"/>
  <c r="C440" i="3"/>
  <c r="F425" i="3"/>
  <c r="E413" i="3"/>
  <c r="G413" i="3" s="1"/>
  <c r="C399" i="3"/>
  <c r="C388" i="3"/>
  <c r="B376" i="3"/>
  <c r="C365" i="3"/>
  <c r="F353" i="3"/>
  <c r="B341" i="3"/>
  <c r="F329" i="3"/>
  <c r="B307" i="3"/>
  <c r="H307" i="3" s="1"/>
  <c r="B296" i="3"/>
  <c r="C283" i="3"/>
  <c r="B271" i="3"/>
  <c r="C261" i="3"/>
  <c r="C256" i="3"/>
  <c r="F250" i="3"/>
  <c r="E243" i="3"/>
  <c r="B238" i="3"/>
  <c r="F231" i="3"/>
  <c r="F225" i="3"/>
  <c r="D213" i="3"/>
  <c r="H213" i="3" s="1"/>
  <c r="B208" i="3"/>
  <c r="B196" i="3"/>
  <c r="D191" i="3"/>
  <c r="H191" i="3" s="1"/>
  <c r="B187" i="3"/>
  <c r="C181" i="3"/>
  <c r="F175" i="3"/>
  <c r="G175" i="3" s="1"/>
  <c r="B171" i="3"/>
  <c r="F165" i="3"/>
  <c r="C157" i="3"/>
  <c r="E154" i="3"/>
  <c r="G154" i="3" s="1"/>
  <c r="B152" i="3"/>
  <c r="B147" i="3"/>
  <c r="F141" i="3"/>
  <c r="G141" i="3" s="1"/>
  <c r="E139" i="3"/>
  <c r="D137" i="3"/>
  <c r="H137" i="3" s="1"/>
  <c r="F134" i="3"/>
  <c r="B132" i="3"/>
  <c r="H132" i="3" s="1"/>
  <c r="B127" i="3"/>
  <c r="E124" i="3"/>
  <c r="F121" i="3"/>
  <c r="C119" i="3"/>
  <c r="B117" i="3"/>
  <c r="H117" i="3" s="1"/>
  <c r="E114" i="3"/>
  <c r="F111" i="3"/>
  <c r="G111" i="3" s="1"/>
  <c r="F106" i="3"/>
  <c r="G106" i="3" s="1"/>
  <c r="C104" i="3"/>
  <c r="F101" i="3"/>
  <c r="E96" i="3"/>
  <c r="B94" i="3"/>
  <c r="D94" i="3" s="1"/>
  <c r="H94" i="3" s="1"/>
  <c r="E91" i="3"/>
  <c r="B89" i="3"/>
  <c r="C86" i="3"/>
  <c r="B81" i="3"/>
  <c r="D81" i="3" s="1"/>
  <c r="H81" i="3" s="1"/>
  <c r="E78" i="3"/>
  <c r="C76" i="3"/>
  <c r="E73" i="3"/>
  <c r="B71" i="3"/>
  <c r="E68" i="3"/>
  <c r="G68" i="3" s="1"/>
  <c r="C66" i="3"/>
  <c r="B64" i="3"/>
  <c r="D64" i="3" s="1"/>
  <c r="E61" i="3"/>
  <c r="B59" i="3"/>
  <c r="C56" i="3"/>
  <c r="E53" i="3"/>
  <c r="B51" i="3"/>
  <c r="C48" i="3"/>
  <c r="F45" i="3"/>
  <c r="E43" i="3"/>
  <c r="F40" i="3"/>
  <c r="B38" i="3"/>
  <c r="E35" i="3"/>
  <c r="B4" i="3"/>
  <c r="E6" i="3"/>
  <c r="E11" i="3"/>
  <c r="B14" i="3"/>
  <c r="F16" i="3"/>
  <c r="C19" i="3"/>
  <c r="E21" i="3"/>
  <c r="B24" i="3"/>
  <c r="F26" i="3"/>
  <c r="B29" i="3"/>
  <c r="F31" i="3"/>
  <c r="G31" i="3" s="1"/>
  <c r="C35" i="3"/>
  <c r="B41" i="3"/>
  <c r="F53" i="3"/>
  <c r="F60" i="3"/>
  <c r="B66" i="3"/>
  <c r="E71" i="3"/>
  <c r="B78" i="3"/>
  <c r="H78" i="3" s="1"/>
  <c r="B84" i="3"/>
  <c r="B102" i="3"/>
  <c r="B109" i="3"/>
  <c r="F114" i="3"/>
  <c r="B121" i="3"/>
  <c r="F126" i="3"/>
  <c r="E132" i="3"/>
  <c r="C139" i="3"/>
  <c r="D139" i="3" s="1"/>
  <c r="E144" i="3"/>
  <c r="C151" i="3"/>
  <c r="B157" i="3"/>
  <c r="C167" i="3"/>
  <c r="F180" i="3"/>
  <c r="G180" i="3" s="1"/>
  <c r="E206" i="3"/>
  <c r="E218" i="3"/>
  <c r="B249" i="3"/>
  <c r="B263" i="3"/>
  <c r="C292" i="3"/>
  <c r="C326" i="3"/>
  <c r="E397" i="3"/>
  <c r="C438" i="3"/>
  <c r="C4" i="3"/>
  <c r="F6" i="3"/>
  <c r="B9" i="3"/>
  <c r="F11" i="3"/>
  <c r="C14" i="3"/>
  <c r="E19" i="3"/>
  <c r="F21" i="3"/>
  <c r="C24" i="3"/>
  <c r="B27" i="3"/>
  <c r="C29" i="3"/>
  <c r="F35" i="3"/>
  <c r="F42" i="3"/>
  <c r="B48" i="3"/>
  <c r="B54" i="3"/>
  <c r="B61" i="3"/>
  <c r="H61" i="3" s="1"/>
  <c r="F72" i="3"/>
  <c r="C78" i="3"/>
  <c r="C84" i="3"/>
  <c r="B91" i="3"/>
  <c r="F96" i="3"/>
  <c r="F103" i="3"/>
  <c r="C109" i="3"/>
  <c r="C121" i="3"/>
  <c r="C127" i="3"/>
  <c r="B134" i="3"/>
  <c r="H134" i="3" s="1"/>
  <c r="F144" i="3"/>
  <c r="E151" i="3"/>
  <c r="E157" i="3"/>
  <c r="C170" i="3"/>
  <c r="B181" i="3"/>
  <c r="E192" i="3"/>
  <c r="F206" i="3"/>
  <c r="E220" i="3"/>
  <c r="B236" i="3"/>
  <c r="C249" i="3"/>
  <c r="C263" i="3"/>
  <c r="E292" i="3"/>
  <c r="E326" i="3"/>
  <c r="F363" i="3"/>
  <c r="G363" i="3" s="1"/>
  <c r="F397" i="3"/>
  <c r="E438" i="3"/>
  <c r="B7" i="3"/>
  <c r="C9" i="3"/>
  <c r="E14" i="3"/>
  <c r="B17" i="3"/>
  <c r="F19" i="3"/>
  <c r="B22" i="3"/>
  <c r="H22" i="3" s="1"/>
  <c r="E24" i="3"/>
  <c r="C27" i="3"/>
  <c r="E29" i="3"/>
  <c r="B32" i="3"/>
  <c r="B43" i="3"/>
  <c r="E48" i="3"/>
  <c r="E55" i="3"/>
  <c r="C61" i="3"/>
  <c r="E66" i="3"/>
  <c r="B73" i="3"/>
  <c r="F78" i="3"/>
  <c r="F85" i="3"/>
  <c r="C91" i="3"/>
  <c r="B97" i="3"/>
  <c r="E109" i="3"/>
  <c r="E116" i="3"/>
  <c r="E121" i="3"/>
  <c r="C134" i="3"/>
  <c r="F139" i="3"/>
  <c r="C146" i="3"/>
  <c r="F151" i="3"/>
  <c r="F157" i="3"/>
  <c r="E170" i="3"/>
  <c r="B182" i="3"/>
  <c r="C195" i="3"/>
  <c r="F220" i="3"/>
  <c r="C236" i="3"/>
  <c r="E267" i="3"/>
  <c r="F292" i="3"/>
  <c r="E329" i="3"/>
  <c r="B364" i="3"/>
  <c r="B399" i="3"/>
  <c r="E4" i="3"/>
  <c r="C7" i="3"/>
  <c r="E9" i="3"/>
  <c r="B12" i="3"/>
  <c r="F14" i="3"/>
  <c r="C17" i="3"/>
  <c r="C22" i="3"/>
  <c r="F24" i="3"/>
  <c r="E27" i="3"/>
  <c r="F29" i="3"/>
  <c r="E37" i="3"/>
  <c r="C43" i="3"/>
  <c r="F48" i="3"/>
  <c r="F55" i="3"/>
  <c r="F61" i="3"/>
  <c r="B68" i="3"/>
  <c r="C73" i="3"/>
  <c r="F91" i="3"/>
  <c r="F98" i="3"/>
  <c r="B104" i="3"/>
  <c r="H104" i="3" s="1"/>
  <c r="F109" i="3"/>
  <c r="F116" i="3"/>
  <c r="E134" i="3"/>
  <c r="E146" i="3"/>
  <c r="C152" i="3"/>
  <c r="F170" i="3"/>
  <c r="C183" i="3"/>
  <c r="E195" i="3"/>
  <c r="C208" i="3"/>
  <c r="C223" i="3"/>
  <c r="F237" i="3"/>
  <c r="B251" i="3"/>
  <c r="F267" i="3"/>
  <c r="C296" i="3"/>
  <c r="F330" i="3"/>
  <c r="E365" i="3"/>
  <c r="E399" i="3"/>
  <c r="F4" i="3"/>
  <c r="E7" i="3"/>
  <c r="F9" i="3"/>
  <c r="C12" i="3"/>
  <c r="B15" i="3"/>
  <c r="E17" i="3"/>
  <c r="B20" i="3"/>
  <c r="B25" i="3"/>
  <c r="F27" i="3"/>
  <c r="B30" i="3"/>
  <c r="E32" i="3"/>
  <c r="F37" i="3"/>
  <c r="F43" i="3"/>
  <c r="C50" i="3"/>
  <c r="B56" i="3"/>
  <c r="C68" i="3"/>
  <c r="F73" i="3"/>
  <c r="C80" i="3"/>
  <c r="B86" i="3"/>
  <c r="H86" i="3" s="1"/>
  <c r="B92" i="3"/>
  <c r="B99" i="3"/>
  <c r="E104" i="3"/>
  <c r="C111" i="3"/>
  <c r="B122" i="3"/>
  <c r="B129" i="3"/>
  <c r="B141" i="3"/>
  <c r="F146" i="3"/>
  <c r="E152" i="3"/>
  <c r="B160" i="3"/>
  <c r="F171" i="3"/>
  <c r="C186" i="3"/>
  <c r="F195" i="3"/>
  <c r="E208" i="3"/>
  <c r="C225" i="3"/>
  <c r="C238" i="3"/>
  <c r="B254" i="3"/>
  <c r="F270" i="3"/>
  <c r="G270" i="3" s="1"/>
  <c r="C303" i="3"/>
  <c r="B339" i="3"/>
  <c r="C374" i="3"/>
  <c r="E409" i="3"/>
  <c r="F452" i="3"/>
  <c r="F7" i="3"/>
  <c r="B10" i="3"/>
  <c r="E12" i="3"/>
  <c r="G12" i="3" s="1"/>
  <c r="C15" i="3"/>
  <c r="F17" i="3"/>
  <c r="C20" i="3"/>
  <c r="E22" i="3"/>
  <c r="G22" i="3" s="1"/>
  <c r="C25" i="3"/>
  <c r="C30" i="3"/>
  <c r="F32" i="3"/>
  <c r="E50" i="3"/>
  <c r="G50" i="3" s="1"/>
  <c r="E56" i="3"/>
  <c r="G56" i="3" s="1"/>
  <c r="E63" i="3"/>
  <c r="G63" i="3" s="1"/>
  <c r="B74" i="3"/>
  <c r="E80" i="3"/>
  <c r="G80" i="3" s="1"/>
  <c r="E86" i="3"/>
  <c r="G86" i="3" s="1"/>
  <c r="E93" i="3"/>
  <c r="G93" i="3" s="1"/>
  <c r="C99" i="3"/>
  <c r="F104" i="3"/>
  <c r="C117" i="3"/>
  <c r="F123" i="3"/>
  <c r="C129" i="3"/>
  <c r="B135" i="3"/>
  <c r="C141" i="3"/>
  <c r="C147" i="3"/>
  <c r="C160" i="3"/>
  <c r="F172" i="3"/>
  <c r="E186" i="3"/>
  <c r="F196" i="3"/>
  <c r="E225" i="3"/>
  <c r="E238" i="3"/>
  <c r="F255" i="3"/>
  <c r="E272" i="3"/>
  <c r="G272" i="3" s="1"/>
  <c r="C339" i="3"/>
  <c r="E375" i="3"/>
  <c r="G375" i="3" s="1"/>
  <c r="F409" i="3"/>
  <c r="B453" i="3"/>
  <c r="D33" i="3"/>
  <c r="H33" i="3" s="1"/>
  <c r="D45" i="3"/>
  <c r="H45" i="3" s="1"/>
  <c r="D11" i="3"/>
  <c r="H11" i="3" s="1"/>
  <c r="D23" i="3"/>
  <c r="H23" i="3" s="1"/>
  <c r="D124" i="3"/>
  <c r="H124" i="3" s="1"/>
  <c r="D154" i="3"/>
  <c r="H154" i="3"/>
  <c r="G250" i="3" l="1"/>
  <c r="D357" i="3"/>
  <c r="H357" i="3" s="1"/>
  <c r="G388" i="3"/>
  <c r="D327" i="3"/>
  <c r="H327" i="3" s="1"/>
  <c r="G303" i="3"/>
  <c r="G259" i="3"/>
  <c r="D183" i="3"/>
  <c r="D296" i="3"/>
  <c r="H296" i="3" s="1"/>
  <c r="G319" i="3"/>
  <c r="G119" i="3"/>
  <c r="D5" i="3"/>
  <c r="H5" i="3" s="1"/>
  <c r="D114" i="3"/>
  <c r="H114" i="3" s="1"/>
  <c r="D106" i="3"/>
  <c r="G330" i="3"/>
  <c r="D331" i="3"/>
  <c r="H331" i="3" s="1"/>
  <c r="D53" i="3"/>
  <c r="H53" i="3" s="1"/>
  <c r="G386" i="3"/>
  <c r="D384" i="3"/>
  <c r="H384" i="3" s="1"/>
  <c r="D17" i="3"/>
  <c r="H17" i="3" s="1"/>
  <c r="D234" i="3"/>
  <c r="H234" i="3" s="1"/>
  <c r="D252" i="3"/>
  <c r="H252" i="3" s="1"/>
  <c r="G385" i="3"/>
  <c r="D444" i="3"/>
  <c r="H444" i="3" s="1"/>
  <c r="G426" i="3"/>
  <c r="G368" i="3"/>
  <c r="D28" i="3"/>
  <c r="D396" i="3"/>
  <c r="D464" i="3"/>
  <c r="H464" i="3" s="1"/>
  <c r="D426" i="3"/>
  <c r="H426" i="3" s="1"/>
  <c r="D348" i="3"/>
  <c r="D322" i="3"/>
  <c r="G268" i="3"/>
  <c r="D83" i="3"/>
  <c r="H83" i="3" s="1"/>
  <c r="D149" i="3"/>
  <c r="H149" i="3" s="1"/>
  <c r="D8" i="3"/>
  <c r="H8" i="3" s="1"/>
  <c r="D201" i="3"/>
  <c r="H201" i="3" s="1"/>
  <c r="G353" i="3"/>
  <c r="D238" i="3"/>
  <c r="D150" i="3"/>
  <c r="H150" i="3" s="1"/>
  <c r="G360" i="3"/>
  <c r="D68" i="3"/>
  <c r="D48" i="3"/>
  <c r="H48" i="3" s="1"/>
  <c r="D142" i="3"/>
  <c r="H142" i="3" s="1"/>
  <c r="D408" i="3"/>
  <c r="H408" i="3" s="1"/>
  <c r="D90" i="3"/>
  <c r="H90" i="3" s="1"/>
  <c r="G133" i="3"/>
  <c r="D275" i="3"/>
  <c r="D338" i="3"/>
  <c r="H338" i="3" s="1"/>
  <c r="D62" i="3"/>
  <c r="H62" i="3" s="1"/>
  <c r="D95" i="3"/>
  <c r="G199" i="3"/>
  <c r="D442" i="3"/>
  <c r="H442" i="3" s="1"/>
  <c r="D111" i="3"/>
  <c r="H111" i="3" s="1"/>
  <c r="G341" i="3"/>
  <c r="D377" i="3"/>
  <c r="H377" i="3" s="1"/>
  <c r="D204" i="3"/>
  <c r="H204" i="3" s="1"/>
  <c r="D293" i="3"/>
  <c r="H293" i="3" s="1"/>
  <c r="D86" i="3"/>
  <c r="G165" i="3"/>
  <c r="G355" i="3"/>
  <c r="D85" i="3"/>
  <c r="H85" i="3" s="1"/>
  <c r="D450" i="3"/>
  <c r="H450" i="3" s="1"/>
  <c r="D262" i="3"/>
  <c r="D215" i="3"/>
  <c r="H215" i="3" s="1"/>
  <c r="D443" i="3"/>
  <c r="H443" i="3" s="1"/>
  <c r="D414" i="3"/>
  <c r="H414" i="3" s="1"/>
  <c r="D21" i="3"/>
  <c r="D141" i="3"/>
  <c r="H141" i="3" s="1"/>
  <c r="D50" i="3"/>
  <c r="H50" i="3" s="1"/>
  <c r="G11" i="3"/>
  <c r="D171" i="3"/>
  <c r="H171" i="3" s="1"/>
  <c r="D388" i="3"/>
  <c r="H388" i="3" s="1"/>
  <c r="D44" i="3"/>
  <c r="H44" i="3" s="1"/>
  <c r="D79" i="3"/>
  <c r="H79" i="3" s="1"/>
  <c r="D155" i="3"/>
  <c r="D369" i="3"/>
  <c r="H369" i="3" s="1"/>
  <c r="G84" i="3"/>
  <c r="G419" i="3"/>
  <c r="D236" i="3"/>
  <c r="H236" i="3" s="1"/>
  <c r="D127" i="3"/>
  <c r="G389" i="3"/>
  <c r="G233" i="3"/>
  <c r="G248" i="3"/>
  <c r="G383" i="3"/>
  <c r="D282" i="3"/>
  <c r="H282" i="3" s="1"/>
  <c r="G71" i="3"/>
  <c r="D222" i="3"/>
  <c r="H222" i="3" s="1"/>
  <c r="G257" i="3"/>
  <c r="G323" i="3"/>
  <c r="G361" i="3"/>
  <c r="G429" i="3"/>
  <c r="G434" i="3"/>
  <c r="D181" i="3"/>
  <c r="H181" i="3" s="1"/>
  <c r="G138" i="3"/>
  <c r="D465" i="3"/>
  <c r="H465" i="3" s="1"/>
  <c r="G325" i="3"/>
  <c r="G187" i="3"/>
  <c r="D415" i="3"/>
  <c r="H415" i="3" s="1"/>
  <c r="D152" i="3"/>
  <c r="H152" i="3" s="1"/>
  <c r="G100" i="3"/>
  <c r="D184" i="3"/>
  <c r="H184" i="3" s="1"/>
  <c r="D288" i="3"/>
  <c r="H288" i="3" s="1"/>
  <c r="G153" i="3"/>
  <c r="G191" i="3"/>
  <c r="G223" i="3"/>
  <c r="G326" i="3"/>
  <c r="G79" i="3"/>
  <c r="D148" i="3"/>
  <c r="H148" i="3" s="1"/>
  <c r="D123" i="3"/>
  <c r="H123" i="3" s="1"/>
  <c r="G47" i="3"/>
  <c r="G246" i="3"/>
  <c r="D298" i="3"/>
  <c r="D460" i="3"/>
  <c r="H460" i="3" s="1"/>
  <c r="G289" i="3"/>
  <c r="G428" i="3"/>
  <c r="G367" i="3"/>
  <c r="D323" i="3"/>
  <c r="G225" i="3"/>
  <c r="G19" i="3"/>
  <c r="D121" i="3"/>
  <c r="D429" i="3"/>
  <c r="G302" i="3"/>
  <c r="H354" i="3"/>
  <c r="G438" i="3"/>
  <c r="D78" i="3"/>
  <c r="G128" i="3"/>
  <c r="H378" i="3"/>
  <c r="D436" i="3"/>
  <c r="G290" i="3"/>
  <c r="D131" i="3"/>
  <c r="H131" i="3" s="1"/>
  <c r="D202" i="3"/>
  <c r="H202" i="3" s="1"/>
  <c r="G450" i="3"/>
  <c r="D230" i="3"/>
  <c r="G262" i="3"/>
  <c r="G359" i="3"/>
  <c r="D313" i="3"/>
  <c r="D15" i="3"/>
  <c r="D223" i="3"/>
  <c r="H223" i="3" s="1"/>
  <c r="G474" i="3"/>
  <c r="G264" i="3"/>
  <c r="D136" i="3"/>
  <c r="G258" i="3"/>
  <c r="D176" i="3"/>
  <c r="H176" i="3" s="1"/>
  <c r="D455" i="3"/>
  <c r="H455" i="3" s="1"/>
  <c r="D227" i="3"/>
  <c r="H227" i="3" s="1"/>
  <c r="G166" i="3"/>
  <c r="D220" i="3"/>
  <c r="H220" i="3" s="1"/>
  <c r="D393" i="3"/>
  <c r="G424" i="3"/>
  <c r="D412" i="3"/>
  <c r="G382" i="3"/>
  <c r="D401" i="3"/>
  <c r="H401" i="3" s="1"/>
  <c r="D117" i="3"/>
  <c r="D157" i="3"/>
  <c r="H157" i="3" s="1"/>
  <c r="G280" i="3"/>
  <c r="D362" i="3"/>
  <c r="H362" i="3" s="1"/>
  <c r="D260" i="3"/>
  <c r="D376" i="3"/>
  <c r="H376" i="3" s="1"/>
  <c r="G344" i="3"/>
  <c r="G42" i="3"/>
  <c r="G285" i="3"/>
  <c r="G343" i="3"/>
  <c r="D441" i="3"/>
  <c r="H441" i="3" s="1"/>
  <c r="G13" i="3"/>
  <c r="G144" i="3"/>
  <c r="D105" i="3"/>
  <c r="D167" i="3"/>
  <c r="H167" i="3" s="1"/>
  <c r="D73" i="3"/>
  <c r="H73" i="3" s="1"/>
  <c r="G220" i="3"/>
  <c r="D169" i="3"/>
  <c r="H169" i="3" s="1"/>
  <c r="D237" i="3"/>
  <c r="H237" i="3" s="1"/>
  <c r="G423" i="3"/>
  <c r="D261" i="3"/>
  <c r="H261" i="3" s="1"/>
  <c r="D120" i="3"/>
  <c r="H120" i="3" s="1"/>
  <c r="D212" i="3"/>
  <c r="H212" i="3" s="1"/>
  <c r="D467" i="3"/>
  <c r="D250" i="3"/>
  <c r="H250" i="3" s="1"/>
  <c r="G437" i="3"/>
  <c r="G358" i="3"/>
  <c r="D428" i="3"/>
  <c r="D240" i="3"/>
  <c r="H240" i="3" s="1"/>
  <c r="G342" i="3"/>
  <c r="G208" i="3"/>
  <c r="D271" i="3"/>
  <c r="H271" i="3" s="1"/>
  <c r="G425" i="3"/>
  <c r="G167" i="3"/>
  <c r="G158" i="3"/>
  <c r="G256" i="3"/>
  <c r="G219" i="3"/>
  <c r="G252" i="3"/>
  <c r="D382" i="3"/>
  <c r="G442" i="3"/>
  <c r="D363" i="3"/>
  <c r="H363" i="3" s="1"/>
  <c r="H445" i="3"/>
  <c r="D445" i="3"/>
  <c r="G121" i="3"/>
  <c r="H310" i="3"/>
  <c r="D310" i="3"/>
  <c r="H289" i="3"/>
  <c r="G205" i="3"/>
  <c r="D29" i="3"/>
  <c r="H29" i="3" s="1"/>
  <c r="G365" i="3"/>
  <c r="D433" i="3"/>
  <c r="H433" i="3" s="1"/>
  <c r="H314" i="3"/>
  <c r="D314" i="3"/>
  <c r="G20" i="3"/>
  <c r="G99" i="3"/>
  <c r="G327" i="3"/>
  <c r="D370" i="3"/>
  <c r="H370" i="3" s="1"/>
  <c r="D160" i="3"/>
  <c r="H160" i="3" s="1"/>
  <c r="G134" i="3"/>
  <c r="G449" i="3"/>
  <c r="G184" i="3"/>
  <c r="G168" i="3"/>
  <c r="D386" i="3"/>
  <c r="H386" i="3" s="1"/>
  <c r="G350" i="3"/>
  <c r="D470" i="3"/>
  <c r="H470" i="3" s="1"/>
  <c r="G402" i="3"/>
  <c r="D74" i="3"/>
  <c r="H74" i="3" s="1"/>
  <c r="G116" i="3"/>
  <c r="G206" i="3"/>
  <c r="G96" i="3"/>
  <c r="D41" i="3"/>
  <c r="H41" i="3" s="1"/>
  <c r="G61" i="3"/>
  <c r="D36" i="3"/>
  <c r="H36" i="3" s="1"/>
  <c r="D69" i="3"/>
  <c r="H69" i="3" s="1"/>
  <c r="D321" i="3"/>
  <c r="H321" i="3" s="1"/>
  <c r="D39" i="3"/>
  <c r="H39" i="3" s="1"/>
  <c r="G140" i="3"/>
  <c r="G193" i="3"/>
  <c r="D37" i="3"/>
  <c r="H37" i="3" s="1"/>
  <c r="G331" i="3"/>
  <c r="D416" i="3"/>
  <c r="H416" i="3" s="1"/>
  <c r="G456" i="3"/>
  <c r="D270" i="3"/>
  <c r="H270" i="3" s="1"/>
  <c r="D468" i="3"/>
  <c r="H468" i="3" s="1"/>
  <c r="D335" i="3"/>
  <c r="G311" i="3"/>
  <c r="G336" i="3"/>
  <c r="H136" i="3"/>
  <c r="G27" i="3"/>
  <c r="D9" i="3"/>
  <c r="H9" i="3" s="1"/>
  <c r="D91" i="3"/>
  <c r="H91" i="3" s="1"/>
  <c r="D263" i="3"/>
  <c r="H263" i="3" s="1"/>
  <c r="D4" i="3"/>
  <c r="H4" i="3" s="1"/>
  <c r="D77" i="3"/>
  <c r="H77" i="3" s="1"/>
  <c r="D34" i="3"/>
  <c r="H34" i="3" s="1"/>
  <c r="G198" i="3"/>
  <c r="G77" i="3"/>
  <c r="G150" i="3"/>
  <c r="D267" i="3"/>
  <c r="H267" i="3" s="1"/>
  <c r="D273" i="3"/>
  <c r="H273" i="3" s="1"/>
  <c r="G241" i="3"/>
  <c r="D471" i="3"/>
  <c r="H471" i="3" s="1"/>
  <c r="D305" i="3"/>
  <c r="H305" i="3" s="1"/>
  <c r="D200" i="3"/>
  <c r="H200" i="3" s="1"/>
  <c r="D398" i="3"/>
  <c r="H398" i="3" s="1"/>
  <c r="D409" i="3"/>
  <c r="H409" i="3" s="1"/>
  <c r="G446" i="3"/>
  <c r="D394" i="3"/>
  <c r="H394" i="3" s="1"/>
  <c r="G3" i="3"/>
  <c r="D144" i="3"/>
  <c r="G30" i="3"/>
  <c r="G312" i="3"/>
  <c r="G310" i="3"/>
  <c r="G172" i="3"/>
  <c r="D281" i="3"/>
  <c r="D339" i="3"/>
  <c r="H339" i="3" s="1"/>
  <c r="D56" i="3"/>
  <c r="H56" i="3" s="1"/>
  <c r="D87" i="3"/>
  <c r="H87" i="3" s="1"/>
  <c r="D156" i="3"/>
  <c r="H156" i="3" s="1"/>
  <c r="D80" i="3"/>
  <c r="H80" i="3" s="1"/>
  <c r="D244" i="3"/>
  <c r="H244" i="3" s="1"/>
  <c r="D315" i="3"/>
  <c r="D297" i="3"/>
  <c r="G357" i="3"/>
  <c r="D420" i="3"/>
  <c r="H420" i="3" s="1"/>
  <c r="G281" i="3"/>
  <c r="G58" i="3"/>
  <c r="G339" i="3"/>
  <c r="G370" i="3"/>
  <c r="G152" i="3"/>
  <c r="G318" i="3"/>
  <c r="D403" i="3"/>
  <c r="H403" i="3" s="1"/>
  <c r="G54" i="3"/>
  <c r="D228" i="3"/>
  <c r="H228" i="3" s="1"/>
  <c r="G454" i="3"/>
  <c r="G114" i="3"/>
  <c r="D316" i="3"/>
  <c r="H54" i="3"/>
  <c r="G92" i="3"/>
  <c r="G345" i="3"/>
  <c r="D179" i="3"/>
  <c r="H179" i="3" s="1"/>
  <c r="G307" i="3"/>
  <c r="D302" i="3"/>
  <c r="H302" i="3" s="1"/>
  <c r="D342" i="3"/>
  <c r="H342" i="3" s="1"/>
  <c r="G274" i="3"/>
  <c r="G414" i="3"/>
  <c r="G362" i="3"/>
  <c r="D459" i="3"/>
  <c r="H459" i="3" s="1"/>
  <c r="H3" i="3"/>
  <c r="D122" i="3"/>
  <c r="H122" i="3" s="1"/>
  <c r="G170" i="3"/>
  <c r="G297" i="3"/>
  <c r="G443" i="3"/>
  <c r="D258" i="3"/>
  <c r="H258" i="3" s="1"/>
  <c r="G162" i="3"/>
  <c r="G404" i="3"/>
  <c r="G95" i="3"/>
  <c r="D168" i="3"/>
  <c r="H168" i="3" s="1"/>
  <c r="G240" i="3"/>
  <c r="G123" i="3"/>
  <c r="G156" i="3"/>
  <c r="G380" i="3"/>
  <c r="G273" i="3"/>
  <c r="G221" i="3"/>
  <c r="D164" i="3"/>
  <c r="H164" i="3" s="1"/>
  <c r="D343" i="3"/>
  <c r="H343" i="3" s="1"/>
  <c r="D291" i="3"/>
  <c r="H291" i="3" s="1"/>
  <c r="D277" i="3"/>
  <c r="H277" i="3" s="1"/>
  <c r="G335" i="3"/>
  <c r="G294" i="3"/>
  <c r="G186" i="3"/>
  <c r="G35" i="3"/>
  <c r="G397" i="3"/>
  <c r="D66" i="3"/>
  <c r="H66" i="3" s="1"/>
  <c r="D14" i="3"/>
  <c r="H14" i="3" s="1"/>
  <c r="G231" i="3"/>
  <c r="D307" i="3"/>
  <c r="G263" i="3"/>
  <c r="D435" i="3"/>
  <c r="H435" i="3" s="1"/>
  <c r="D374" i="3"/>
  <c r="H374" i="3" s="1"/>
  <c r="H440" i="3"/>
  <c r="G178" i="3"/>
  <c r="G316" i="3"/>
  <c r="D411" i="3"/>
  <c r="H411" i="3" s="1"/>
  <c r="D192" i="3"/>
  <c r="H192" i="3" s="1"/>
  <c r="D462" i="3"/>
  <c r="G296" i="3"/>
  <c r="D453" i="3"/>
  <c r="H453" i="3" s="1"/>
  <c r="G337" i="3"/>
  <c r="D26" i="3"/>
  <c r="H26" i="3" s="1"/>
  <c r="D96" i="3"/>
  <c r="H96" i="3" s="1"/>
  <c r="D59" i="3"/>
  <c r="H59" i="3"/>
  <c r="D292" i="3"/>
  <c r="H292" i="3" s="1"/>
  <c r="D231" i="3"/>
  <c r="D129" i="3"/>
  <c r="D116" i="3"/>
  <c r="H116" i="3" s="1"/>
  <c r="D254" i="3"/>
  <c r="H254" i="3"/>
  <c r="D75" i="3"/>
  <c r="H75" i="3" s="1"/>
  <c r="G110" i="3"/>
  <c r="G145" i="3"/>
  <c r="G459" i="3"/>
  <c r="H447" i="3"/>
  <c r="H64" i="3"/>
  <c r="D82" i="3"/>
  <c r="H82" i="3" s="1"/>
  <c r="G301" i="3"/>
  <c r="G435" i="3"/>
  <c r="D336" i="3"/>
  <c r="H352" i="3"/>
  <c r="H298" i="3"/>
  <c r="D61" i="3"/>
  <c r="D380" i="3"/>
  <c r="H380" i="3"/>
  <c r="D52" i="3"/>
  <c r="H52" i="3" s="1"/>
  <c r="D143" i="3"/>
  <c r="H143" i="3" s="1"/>
  <c r="H47" i="3"/>
  <c r="D332" i="3"/>
  <c r="H332" i="3" s="1"/>
  <c r="G421" i="3"/>
  <c r="D328" i="3"/>
  <c r="H328" i="3" s="1"/>
  <c r="H95" i="3"/>
  <c r="G315" i="3"/>
  <c r="G251" i="3"/>
  <c r="D161" i="3"/>
  <c r="H161" i="3" s="1"/>
  <c r="D104" i="3"/>
  <c r="G277" i="3"/>
  <c r="D366" i="3"/>
  <c r="H366" i="3" s="1"/>
  <c r="H224" i="3"/>
  <c r="D224" i="3"/>
  <c r="H387" i="3"/>
  <c r="D387" i="3"/>
  <c r="D210" i="3"/>
  <c r="H210" i="3" s="1"/>
  <c r="D432" i="3"/>
  <c r="H432" i="3" s="1"/>
  <c r="D440" i="3"/>
  <c r="G103" i="3"/>
  <c r="H230" i="3"/>
  <c r="G416" i="3"/>
  <c r="G238" i="3"/>
  <c r="D221" i="3"/>
  <c r="G159" i="3"/>
  <c r="D308" i="3"/>
  <c r="H308" i="3"/>
  <c r="G269" i="3"/>
  <c r="G448" i="3"/>
  <c r="D299" i="3"/>
  <c r="H299" i="3" s="1"/>
  <c r="D35" i="3"/>
  <c r="H35" i="3" s="1"/>
  <c r="G53" i="3"/>
  <c r="D341" i="3"/>
  <c r="H341" i="3" s="1"/>
  <c r="D255" i="3"/>
  <c r="H255" i="3" s="1"/>
  <c r="G412" i="3"/>
  <c r="D112" i="3"/>
  <c r="H112" i="3" s="1"/>
  <c r="H109" i="3"/>
  <c r="D109" i="3"/>
  <c r="G309" i="3"/>
  <c r="G179" i="3"/>
  <c r="H274" i="3"/>
  <c r="D274" i="3"/>
  <c r="G379" i="3"/>
  <c r="G306" i="3"/>
  <c r="H198" i="3"/>
  <c r="D198" i="3"/>
  <c r="G169" i="3"/>
  <c r="D364" i="3"/>
  <c r="H364" i="3" s="1"/>
  <c r="D249" i="3"/>
  <c r="H249" i="3"/>
  <c r="H121" i="3"/>
  <c r="G135" i="3"/>
  <c r="D178" i="3"/>
  <c r="H178" i="3" s="1"/>
  <c r="D65" i="3"/>
  <c r="H65" i="3" s="1"/>
  <c r="D103" i="3"/>
  <c r="H103" i="3" s="1"/>
  <c r="D108" i="3"/>
  <c r="H108" i="3" s="1"/>
  <c r="G60" i="3"/>
  <c r="D165" i="3"/>
  <c r="H165" i="3"/>
  <c r="G181" i="3"/>
  <c r="H221" i="3"/>
  <c r="D203" i="3"/>
  <c r="H203" i="3" s="1"/>
  <c r="G465" i="3"/>
  <c r="D390" i="3"/>
  <c r="H390" i="3" s="1"/>
  <c r="G452" i="3"/>
  <c r="G444" i="3"/>
  <c r="G127" i="3"/>
  <c r="D42" i="3"/>
  <c r="H42" i="3" s="1"/>
  <c r="G82" i="3"/>
  <c r="G202" i="3"/>
  <c r="G212" i="3"/>
  <c r="D337" i="3"/>
  <c r="H337" i="3" s="1"/>
  <c r="G366" i="3"/>
  <c r="D389" i="3"/>
  <c r="H389" i="3" s="1"/>
  <c r="H144" i="3"/>
  <c r="G97" i="3"/>
  <c r="D130" i="3"/>
  <c r="H130" i="3" s="1"/>
  <c r="D113" i="3"/>
  <c r="H113" i="3" s="1"/>
  <c r="G210" i="3"/>
  <c r="D359" i="3"/>
  <c r="H359" i="3" s="1"/>
  <c r="G52" i="3"/>
  <c r="G90" i="3"/>
  <c r="D40" i="3"/>
  <c r="H40" i="3" s="1"/>
  <c r="G470" i="3"/>
  <c r="D194" i="3"/>
  <c r="H194" i="3" s="1"/>
  <c r="G261" i="3"/>
  <c r="G204" i="3"/>
  <c r="D279" i="3"/>
  <c r="H279" i="3" s="1"/>
  <c r="D368" i="3"/>
  <c r="H368" i="3" s="1"/>
  <c r="D172" i="3"/>
  <c r="H172" i="3" s="1"/>
  <c r="G234" i="3"/>
  <c r="G308" i="3"/>
  <c r="G320" i="3"/>
  <c r="G427" i="3"/>
  <c r="G422" i="3"/>
  <c r="G104" i="3"/>
  <c r="G9" i="3"/>
  <c r="D182" i="3"/>
  <c r="H182" i="3" s="1"/>
  <c r="G29" i="3"/>
  <c r="G157" i="3"/>
  <c r="D38" i="3"/>
  <c r="H38" i="3" s="1"/>
  <c r="G112" i="3"/>
  <c r="G222" i="3"/>
  <c r="D446" i="3"/>
  <c r="H446" i="3" s="1"/>
  <c r="D373" i="3"/>
  <c r="H373" i="3" s="1"/>
  <c r="D174" i="3"/>
  <c r="G207" i="3"/>
  <c r="G467" i="3"/>
  <c r="G195" i="3"/>
  <c r="G4" i="3"/>
  <c r="D24" i="3"/>
  <c r="H24" i="3" s="1"/>
  <c r="G43" i="3"/>
  <c r="G139" i="3"/>
  <c r="G81" i="3"/>
  <c r="D151" i="3"/>
  <c r="H151" i="3" s="1"/>
  <c r="D206" i="3"/>
  <c r="G278" i="3"/>
  <c r="G346" i="3"/>
  <c r="G216" i="3"/>
  <c r="G293" i="3"/>
  <c r="G371" i="3"/>
  <c r="D186" i="3"/>
  <c r="G215" i="3"/>
  <c r="D98" i="3"/>
  <c r="H98" i="3" s="1"/>
  <c r="D63" i="3"/>
  <c r="H63" i="3" s="1"/>
  <c r="D185" i="3"/>
  <c r="H185" i="3" s="1"/>
  <c r="G120" i="3"/>
  <c r="D430" i="3"/>
  <c r="H430" i="3" s="1"/>
  <c r="D317" i="3"/>
  <c r="D266" i="3"/>
  <c r="H266" i="3" s="1"/>
  <c r="G403" i="3"/>
  <c r="H436" i="3"/>
  <c r="G352" i="3"/>
  <c r="H410" i="3"/>
  <c r="H346" i="3"/>
  <c r="D135" i="3"/>
  <c r="H135" i="3" s="1"/>
  <c r="G267" i="3"/>
  <c r="G46" i="3"/>
  <c r="D276" i="3"/>
  <c r="G67" i="3"/>
  <c r="G288" i="3"/>
  <c r="G396" i="3"/>
  <c r="G247" i="3"/>
  <c r="G265" i="3"/>
  <c r="D320" i="3"/>
  <c r="H320" i="3" s="1"/>
  <c r="D381" i="3"/>
  <c r="G408" i="3"/>
  <c r="G441" i="3"/>
  <c r="D340" i="3"/>
  <c r="H340" i="3" s="1"/>
  <c r="G76" i="3"/>
  <c r="D6" i="3"/>
  <c r="H6" i="3" s="1"/>
  <c r="D153" i="3"/>
  <c r="H153" i="3" s="1"/>
  <c r="G49" i="3"/>
  <c r="G228" i="3"/>
  <c r="H55" i="3"/>
  <c r="D93" i="3"/>
  <c r="H93" i="3" s="1"/>
  <c r="G190" i="3"/>
  <c r="G226" i="3"/>
  <c r="G322" i="3"/>
  <c r="D295" i="3"/>
  <c r="H295" i="3" s="1"/>
  <c r="G161" i="3"/>
  <c r="G194" i="3"/>
  <c r="D452" i="3"/>
  <c r="H452" i="3" s="1"/>
  <c r="G295" i="3"/>
  <c r="D372" i="3"/>
  <c r="H372" i="3" s="1"/>
  <c r="G436" i="3"/>
  <c r="G332" i="3"/>
  <c r="D404" i="3"/>
  <c r="G472" i="3"/>
  <c r="G17" i="3"/>
  <c r="D251" i="3"/>
  <c r="H251" i="3" s="1"/>
  <c r="G37" i="3"/>
  <c r="D399" i="3"/>
  <c r="H399" i="3" s="1"/>
  <c r="D438" i="3"/>
  <c r="H438" i="3" s="1"/>
  <c r="G78" i="3"/>
  <c r="D49" i="3"/>
  <c r="H49" i="3" s="1"/>
  <c r="D163" i="3"/>
  <c r="H163" i="3" s="1"/>
  <c r="G235" i="3"/>
  <c r="G57" i="3"/>
  <c r="G253" i="3"/>
  <c r="G113" i="3"/>
  <c r="D146" i="3"/>
  <c r="H146" i="3" s="1"/>
  <c r="D196" i="3"/>
  <c r="H196" i="3" s="1"/>
  <c r="D395" i="3"/>
  <c r="D197" i="3"/>
  <c r="H197" i="3" s="1"/>
  <c r="G300" i="3"/>
  <c r="G164" i="3"/>
  <c r="G227" i="3"/>
  <c r="G276" i="3"/>
  <c r="G405" i="3"/>
  <c r="D472" i="3"/>
  <c r="H472" i="3" s="1"/>
  <c r="G393" i="3"/>
  <c r="D280" i="3"/>
  <c r="H280" i="3" s="1"/>
  <c r="G377" i="3"/>
  <c r="G340" i="3"/>
  <c r="G286" i="3"/>
  <c r="D283" i="3"/>
  <c r="H283" i="3" s="1"/>
  <c r="G468" i="3"/>
  <c r="G88" i="3"/>
  <c r="D18" i="3"/>
  <c r="H18" i="3" s="1"/>
  <c r="G28" i="3"/>
  <c r="G70" i="3"/>
  <c r="G469" i="3"/>
  <c r="D417" i="3"/>
  <c r="H417" i="3" s="1"/>
  <c r="G453" i="3"/>
  <c r="G108" i="3"/>
  <c r="D13" i="3"/>
  <c r="H13" i="3" s="1"/>
  <c r="G15" i="3"/>
  <c r="D245" i="3"/>
  <c r="H245" i="3" s="1"/>
  <c r="D99" i="3"/>
  <c r="H99" i="3"/>
  <c r="G236" i="3"/>
  <c r="D67" i="3"/>
  <c r="H67" i="3" s="1"/>
  <c r="D207" i="3"/>
  <c r="H207" i="3" s="1"/>
  <c r="H214" i="3"/>
  <c r="D214" i="3"/>
  <c r="D427" i="3"/>
  <c r="H427" i="3" s="1"/>
  <c r="D133" i="3"/>
  <c r="H133" i="3" s="1"/>
  <c r="G102" i="3"/>
  <c r="D173" i="3"/>
  <c r="H173" i="3" s="1"/>
  <c r="D58" i="3"/>
  <c r="H58" i="3" s="1"/>
  <c r="D265" i="3"/>
  <c r="D51" i="3"/>
  <c r="H51" i="3"/>
  <c r="G41" i="3"/>
  <c r="G74" i="3"/>
  <c r="D205" i="3"/>
  <c r="H205" i="3" s="1"/>
  <c r="D100" i="3"/>
  <c r="H100" i="3" s="1"/>
  <c r="D72" i="3"/>
  <c r="H72" i="3" s="1"/>
  <c r="D189" i="3"/>
  <c r="H189" i="3" s="1"/>
  <c r="G417" i="3"/>
  <c r="D421" i="3"/>
  <c r="H421" i="3" s="1"/>
  <c r="D247" i="3"/>
  <c r="H247" i="3" s="1"/>
  <c r="D84" i="3"/>
  <c r="H84" i="3" s="1"/>
  <c r="D70" i="3"/>
  <c r="H70" i="3"/>
  <c r="D311" i="3"/>
  <c r="H335" i="3"/>
  <c r="G148" i="3"/>
  <c r="H206" i="3"/>
  <c r="G399" i="3"/>
  <c r="D187" i="3"/>
  <c r="H187" i="3" s="1"/>
  <c r="H466" i="3"/>
  <c r="D272" i="3"/>
  <c r="H272" i="3" s="1"/>
  <c r="G55" i="3"/>
  <c r="D27" i="3"/>
  <c r="H27" i="3"/>
  <c r="D92" i="3"/>
  <c r="H92" i="3" s="1"/>
  <c r="D158" i="3"/>
  <c r="H158" i="3" s="1"/>
  <c r="G430" i="3"/>
  <c r="D170" i="3"/>
  <c r="H170" i="3" s="1"/>
  <c r="H209" i="3"/>
  <c r="D209" i="3"/>
  <c r="H238" i="3"/>
  <c r="D217" i="3"/>
  <c r="H217" i="3" s="1"/>
  <c r="H367" i="3"/>
  <c r="G395" i="3"/>
  <c r="D391" i="3"/>
  <c r="H391" i="3" s="1"/>
  <c r="G334" i="3"/>
  <c r="D333" i="3"/>
  <c r="D20" i="3"/>
  <c r="H20" i="3" s="1"/>
  <c r="H348" i="3"/>
  <c r="D235" i="3"/>
  <c r="H235" i="3" s="1"/>
  <c r="D334" i="3"/>
  <c r="H334" i="3" s="1"/>
  <c r="G73" i="3"/>
  <c r="G21" i="3"/>
  <c r="D278" i="3"/>
  <c r="H278" i="3" s="1"/>
  <c r="D457" i="3"/>
  <c r="D199" i="3"/>
  <c r="G203" i="3"/>
  <c r="D268" i="3"/>
  <c r="H268" i="3" s="1"/>
  <c r="H275" i="3"/>
  <c r="D125" i="3"/>
  <c r="H125" i="3" s="1"/>
  <c r="D319" i="3"/>
  <c r="H319" i="3" s="1"/>
  <c r="H382" i="3"/>
  <c r="D115" i="3"/>
  <c r="H115" i="3" s="1"/>
  <c r="G132" i="3"/>
  <c r="H129" i="3"/>
  <c r="H162" i="3"/>
  <c r="G211" i="3"/>
  <c r="G349" i="3"/>
  <c r="D379" i="3"/>
  <c r="H379" i="3" s="1"/>
  <c r="G372" i="3"/>
  <c r="D330" i="3"/>
  <c r="H330" i="3" s="1"/>
  <c r="G466" i="3"/>
  <c r="G406" i="3"/>
  <c r="D30" i="3"/>
  <c r="H30" i="3" s="1"/>
  <c r="D473" i="3"/>
  <c r="H473" i="3" s="1"/>
  <c r="D353" i="3"/>
  <c r="H353" i="3" s="1"/>
  <c r="D375" i="3"/>
  <c r="D32" i="3"/>
  <c r="H32" i="3" s="1"/>
  <c r="D344" i="3"/>
  <c r="H57" i="3"/>
  <c r="D57" i="3"/>
  <c r="D434" i="3"/>
  <c r="H434" i="3" s="1"/>
  <c r="D371" i="3"/>
  <c r="H371" i="3" s="1"/>
  <c r="D232" i="3"/>
  <c r="H232" i="3"/>
  <c r="H166" i="3"/>
  <c r="H159" i="3"/>
  <c r="D159" i="3"/>
  <c r="D190" i="3"/>
  <c r="H190" i="3" s="1"/>
  <c r="H423" i="3"/>
  <c r="D423" i="3"/>
  <c r="D285" i="3"/>
  <c r="H285" i="3" s="1"/>
  <c r="D97" i="3"/>
  <c r="H97" i="3" s="1"/>
  <c r="D256" i="3"/>
  <c r="H256" i="3" s="1"/>
  <c r="D60" i="3"/>
  <c r="H60" i="3"/>
  <c r="D195" i="3"/>
  <c r="H195" i="3" s="1"/>
  <c r="D312" i="3"/>
  <c r="D242" i="3"/>
  <c r="H242" i="3" s="1"/>
  <c r="D329" i="3"/>
  <c r="H329" i="3"/>
  <c r="H406" i="3"/>
  <c r="D406" i="3"/>
  <c r="D287" i="3"/>
  <c r="H287" i="3" s="1"/>
  <c r="D318" i="3"/>
  <c r="H318" i="3" s="1"/>
  <c r="G347" i="3"/>
  <c r="H393" i="3"/>
  <c r="D345" i="3"/>
  <c r="H345" i="3" s="1"/>
  <c r="D177" i="3"/>
  <c r="H177" i="3" s="1"/>
  <c r="D365" i="3"/>
  <c r="H365" i="3" s="1"/>
  <c r="H429" i="3"/>
  <c r="G398" i="3"/>
  <c r="G464" i="3"/>
  <c r="H139" i="3"/>
  <c r="G101" i="3"/>
  <c r="H15" i="3"/>
  <c r="D458" i="3"/>
  <c r="H458" i="3" s="1"/>
  <c r="G317" i="3"/>
  <c r="G109" i="3"/>
  <c r="G85" i="3"/>
  <c r="G24" i="3"/>
  <c r="G72" i="3"/>
  <c r="H138" i="3"/>
  <c r="D138" i="3"/>
  <c r="G87" i="3"/>
  <c r="D118" i="3"/>
  <c r="H118" i="3" s="1"/>
  <c r="D463" i="3"/>
  <c r="H463" i="3" s="1"/>
  <c r="D325" i="3"/>
  <c r="H325" i="3" s="1"/>
  <c r="D211" i="3"/>
  <c r="H211" i="3" s="1"/>
  <c r="D303" i="3"/>
  <c r="H303" i="3" s="1"/>
  <c r="D351" i="3"/>
  <c r="H351" i="3" s="1"/>
  <c r="G471" i="3"/>
  <c r="D358" i="3"/>
  <c r="H358" i="3" s="1"/>
  <c r="G224" i="3"/>
  <c r="D378" i="3"/>
  <c r="G369" i="3"/>
  <c r="G460" i="3"/>
  <c r="D218" i="3"/>
  <c r="G255" i="3"/>
  <c r="D225" i="3"/>
  <c r="H225" i="3" s="1"/>
  <c r="G7" i="3"/>
  <c r="G151" i="3"/>
  <c r="D147" i="3"/>
  <c r="H147" i="3" s="1"/>
  <c r="G115" i="3"/>
  <c r="D216" i="3"/>
  <c r="H216" i="3" s="1"/>
  <c r="G174" i="3"/>
  <c r="G400" i="3"/>
  <c r="G431" i="3"/>
  <c r="G463" i="3"/>
  <c r="H322" i="3"/>
  <c r="D402" i="3"/>
  <c r="D350" i="3"/>
  <c r="H300" i="3"/>
  <c r="D10" i="3"/>
  <c r="H10" i="3" s="1"/>
  <c r="G329" i="3"/>
  <c r="H89" i="3"/>
  <c r="D89" i="3"/>
  <c r="G107" i="3"/>
  <c r="D193" i="3"/>
  <c r="H193" i="3" s="1"/>
  <c r="G415" i="3"/>
  <c r="D448" i="3"/>
  <c r="H448" i="3" s="1"/>
  <c r="G130" i="3"/>
  <c r="G420" i="3"/>
  <c r="G163" i="3"/>
  <c r="G244" i="3"/>
  <c r="D324" i="3"/>
  <c r="G237" i="3"/>
  <c r="G392" i="3"/>
  <c r="D284" i="3"/>
  <c r="H284" i="3" s="1"/>
  <c r="G284" i="3"/>
  <c r="D347" i="3"/>
  <c r="H347" i="3" s="1"/>
  <c r="D439" i="3"/>
  <c r="H439" i="3" s="1"/>
  <c r="H404" i="3"/>
  <c r="G126" i="3"/>
  <c r="D397" i="3"/>
  <c r="H397" i="3" s="1"/>
  <c r="D431" i="3"/>
  <c r="H431" i="3" s="1"/>
  <c r="G65" i="3"/>
  <c r="G271" i="3"/>
  <c r="H425" i="3"/>
  <c r="D425" i="3"/>
  <c r="D456" i="3"/>
  <c r="H456" i="3" s="1"/>
  <c r="D102" i="3"/>
  <c r="H102" i="3"/>
  <c r="H127" i="3"/>
  <c r="G62" i="3"/>
  <c r="G125" i="3"/>
  <c r="D241" i="3"/>
  <c r="H241" i="3" s="1"/>
  <c r="D229" i="3"/>
  <c r="H229" i="3" s="1"/>
  <c r="D392" i="3"/>
  <c r="H392" i="3" s="1"/>
  <c r="G275" i="3"/>
  <c r="G351" i="3"/>
  <c r="D451" i="3"/>
  <c r="G304" i="3"/>
  <c r="G364" i="3"/>
  <c r="D309" i="3"/>
  <c r="H309" i="3"/>
  <c r="H396" i="3"/>
  <c r="G287" i="3"/>
  <c r="H68" i="3"/>
  <c r="G48" i="3"/>
  <c r="G122" i="3"/>
  <c r="D128" i="3"/>
  <c r="H128" i="3" s="1"/>
  <c r="G39" i="3"/>
  <c r="G69" i="3"/>
  <c r="G394" i="3"/>
  <c r="D180" i="3"/>
  <c r="H180" i="3" s="1"/>
  <c r="G201" i="3"/>
  <c r="G321" i="3"/>
  <c r="G254" i="3"/>
  <c r="G328" i="3"/>
  <c r="G391" i="3"/>
  <c r="G209" i="3"/>
  <c r="G239" i="3"/>
  <c r="D407" i="3"/>
  <c r="H407" i="3" s="1"/>
  <c r="D188" i="3"/>
  <c r="H188" i="3" s="1"/>
  <c r="G217" i="3"/>
  <c r="H248" i="3"/>
  <c r="D383" i="3"/>
  <c r="H294" i="3"/>
  <c r="D294" i="3"/>
  <c r="G458" i="3"/>
  <c r="D22" i="3"/>
  <c r="D12" i="3"/>
  <c r="H12" i="3" s="1"/>
  <c r="D43" i="3"/>
  <c r="H43" i="3" s="1"/>
  <c r="D7" i="3"/>
  <c r="H7" i="3" s="1"/>
  <c r="G192" i="3"/>
  <c r="D71" i="3"/>
  <c r="H71" i="3"/>
  <c r="D132" i="3"/>
  <c r="G59" i="3"/>
  <c r="G89" i="3"/>
  <c r="G155" i="3"/>
  <c r="G36" i="3"/>
  <c r="H186" i="3"/>
  <c r="G173" i="3"/>
  <c r="D400" i="3"/>
  <c r="D257" i="3"/>
  <c r="H257" i="3" s="1"/>
  <c r="G176" i="3"/>
  <c r="G333" i="3"/>
  <c r="G182" i="3"/>
  <c r="G185" i="3"/>
  <c r="G214" i="3"/>
  <c r="D286" i="3"/>
  <c r="H286" i="3" s="1"/>
  <c r="G348" i="3"/>
  <c r="D413" i="3"/>
  <c r="H413" i="3" s="1"/>
  <c r="G473" i="3"/>
  <c r="D422" i="3"/>
  <c r="G455" i="3"/>
  <c r="G279" i="3"/>
  <c r="G282" i="3"/>
  <c r="G313" i="3"/>
  <c r="G376" i="3"/>
  <c r="H19" i="3"/>
  <c r="D19" i="3"/>
  <c r="G245" i="3"/>
  <c r="D126" i="3"/>
  <c r="H126" i="3" s="1"/>
  <c r="G16" i="3"/>
  <c r="G40" i="3"/>
  <c r="G243" i="3"/>
  <c r="G131" i="3"/>
  <c r="G124" i="3"/>
  <c r="G51" i="3"/>
  <c r="G10" i="3"/>
  <c r="G45" i="3"/>
  <c r="D119" i="3"/>
  <c r="H119" i="3" s="1"/>
  <c r="H46" i="3"/>
  <c r="G5" i="3"/>
  <c r="H412" i="3"/>
  <c r="H474" i="3"/>
  <c r="H101" i="3"/>
  <c r="G177" i="3"/>
  <c r="D107" i="3"/>
  <c r="H107" i="3" s="1"/>
  <c r="G387" i="3"/>
  <c r="G418" i="3"/>
  <c r="G26" i="3"/>
  <c r="G94" i="3"/>
  <c r="G411" i="3"/>
  <c r="G291" i="3"/>
  <c r="H385" i="3"/>
  <c r="N2" i="3"/>
  <c r="F2" i="3"/>
  <c r="E2" i="3"/>
  <c r="C2" i="3"/>
  <c r="B2" i="3"/>
  <c r="D2" i="3" s="1"/>
  <c r="G196" i="3"/>
  <c r="G32" i="3"/>
  <c r="G171" i="3"/>
  <c r="G292" i="3"/>
  <c r="G66" i="3"/>
  <c r="D54" i="3"/>
  <c r="G218" i="3"/>
  <c r="G6" i="3"/>
  <c r="G91" i="3"/>
  <c r="D208" i="3"/>
  <c r="H208" i="3" s="1"/>
  <c r="G183" i="3"/>
  <c r="D246" i="3"/>
  <c r="H246" i="3" s="1"/>
  <c r="D349" i="3"/>
  <c r="H349" i="3" s="1"/>
  <c r="G98" i="3"/>
  <c r="D326" i="3"/>
  <c r="H326" i="3" s="1"/>
  <c r="G189" i="3"/>
  <c r="D219" i="3"/>
  <c r="H219" i="3" s="1"/>
  <c r="G249" i="3"/>
  <c r="G410" i="3"/>
  <c r="D259" i="3"/>
  <c r="H259" i="3" s="1"/>
  <c r="G432" i="3"/>
  <c r="G197" i="3"/>
  <c r="D419" i="3"/>
  <c r="H419" i="3" s="1"/>
  <c r="G354" i="3"/>
  <c r="D264" i="3"/>
  <c r="H264" i="3" s="1"/>
  <c r="D301" i="3"/>
  <c r="G409" i="3"/>
  <c r="D25" i="3"/>
  <c r="H25" i="3" s="1"/>
  <c r="G146" i="3"/>
  <c r="D134" i="3"/>
  <c r="G14" i="3"/>
  <c r="G142" i="3"/>
  <c r="D253" i="3"/>
  <c r="H253" i="3" s="1"/>
  <c r="G44" i="3"/>
  <c r="G105" i="3"/>
  <c r="G160" i="3"/>
  <c r="G298" i="3"/>
  <c r="G356" i="3"/>
  <c r="G232" i="3"/>
  <c r="H262" i="3"/>
  <c r="G230" i="3"/>
  <c r="G314" i="3"/>
  <c r="G433" i="3"/>
  <c r="D304" i="3"/>
  <c r="G390" i="3"/>
  <c r="G266" i="3"/>
  <c r="D360" i="3"/>
  <c r="H360" i="3" s="1"/>
  <c r="D76" i="3"/>
  <c r="H76" i="3" s="1"/>
  <c r="G18" i="3"/>
  <c r="D16" i="3"/>
  <c r="H16" i="3" s="1"/>
  <c r="G2" i="3" l="1"/>
  <c r="H2" i="3"/>
  <c r="N4" i="3"/>
  <c r="N6" i="3"/>
  <c r="N5" i="3"/>
  <c r="N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<sst xmlns="http://schemas.openxmlformats.org/spreadsheetml/2006/main" count="1650" uniqueCount="513">
  <si>
    <t>Item</t>
  </si>
  <si>
    <t>Current Stock</t>
  </si>
  <si>
    <t>Unit</t>
  </si>
  <si>
    <t>Average Purchase Price (Rs)</t>
  </si>
  <si>
    <t>Total (Rs)</t>
  </si>
  <si>
    <t>Last Stock Update</t>
  </si>
  <si>
    <t>3cp</t>
  </si>
  <si>
    <t>pcs</t>
  </si>
  <si>
    <t>2026-08-06</t>
  </si>
  <si>
    <t>5cp</t>
  </si>
  <si>
    <t>8cp</t>
  </si>
  <si>
    <t>Almond Syrup</t>
  </si>
  <si>
    <t>bottle</t>
  </si>
  <si>
    <t>2026-08-12</t>
  </si>
  <si>
    <t>Amchoor Powder</t>
  </si>
  <si>
    <t>kg</t>
  </si>
  <si>
    <t>Amchur Raw</t>
  </si>
  <si>
    <t>Anar</t>
  </si>
  <si>
    <t>2026-08-10</t>
  </si>
  <si>
    <t>Anti Flies Floor Cleaner</t>
  </si>
  <si>
    <t>L</t>
  </si>
  <si>
    <t>Apples</t>
  </si>
  <si>
    <t>Aratikayalu</t>
  </si>
  <si>
    <t>Aromatic Powder</t>
  </si>
  <si>
    <t>Atta</t>
  </si>
  <si>
    <t>Atukulu</t>
  </si>
  <si>
    <t>Baby Corn</t>
  </si>
  <si>
    <t>tin</t>
  </si>
  <si>
    <t>Badam</t>
  </si>
  <si>
    <t>Baking Powder</t>
  </si>
  <si>
    <t>Banana</t>
  </si>
  <si>
    <t>dozen</t>
  </si>
  <si>
    <t>2026-08-11</t>
  </si>
  <si>
    <t>Beans</t>
  </si>
  <si>
    <t>2026-08-13</t>
  </si>
  <si>
    <t>Bedsheet</t>
  </si>
  <si>
    <t>Beerakaya</t>
  </si>
  <si>
    <t>Beet Root</t>
  </si>
  <si>
    <t>Bendi</t>
  </si>
  <si>
    <t>Bharath Gas</t>
  </si>
  <si>
    <t>Biryani Leaf</t>
  </si>
  <si>
    <t>Biryani Rice</t>
  </si>
  <si>
    <t>Bis Coffe Biscuits</t>
  </si>
  <si>
    <t>pkt</t>
  </si>
  <si>
    <t>Bis Coffe Paste</t>
  </si>
  <si>
    <t>Black Grapes</t>
  </si>
  <si>
    <t>Black Olives</t>
  </si>
  <si>
    <t>Black Pepper</t>
  </si>
  <si>
    <t>Black Salt</t>
  </si>
  <si>
    <t>Black Urad Dal</t>
  </si>
  <si>
    <t>Blue Lagoon</t>
  </si>
  <si>
    <t>Bobberlu</t>
  </si>
  <si>
    <t>Boiled Rice</t>
  </si>
  <si>
    <t>Boost</t>
  </si>
  <si>
    <t>Bournvita</t>
  </si>
  <si>
    <t>Box Container 1000 Ml</t>
  </si>
  <si>
    <t>Box Container 1500ml</t>
  </si>
  <si>
    <t>Box Container 200 Ml</t>
  </si>
  <si>
    <t>Box Container 250ml</t>
  </si>
  <si>
    <t>Box Container 300 Ml</t>
  </si>
  <si>
    <t>Box Container 400ml</t>
  </si>
  <si>
    <t>Box Container 500 Ml</t>
  </si>
  <si>
    <t>Box Container 750ml</t>
  </si>
  <si>
    <t>Bread Crumbs</t>
  </si>
  <si>
    <t>Bread Pkt</t>
  </si>
  <si>
    <t>Brinjal</t>
  </si>
  <si>
    <t>Broken Rice</t>
  </si>
  <si>
    <t>Brown Onion</t>
  </si>
  <si>
    <t>Brownie</t>
  </si>
  <si>
    <t>Budamadosakaya</t>
  </si>
  <si>
    <t>Buffet Plates</t>
  </si>
  <si>
    <t>Burger Box</t>
  </si>
  <si>
    <t>Burger Bun</t>
  </si>
  <si>
    <t>Butter 500 Gm</t>
  </si>
  <si>
    <t>Butter Covers</t>
  </si>
  <si>
    <t>Butter Paper</t>
  </si>
  <si>
    <t>Butter Scotch Ice Cream</t>
  </si>
  <si>
    <t>bulk</t>
  </si>
  <si>
    <t>Butter Scotch Syrup</t>
  </si>
  <si>
    <t>Cabbage</t>
  </si>
  <si>
    <t>Caps</t>
  </si>
  <si>
    <t>Capsicum</t>
  </si>
  <si>
    <t>Caramil Syrup</t>
  </si>
  <si>
    <t>Carrot</t>
  </si>
  <si>
    <t>Carry Bags 20*24</t>
  </si>
  <si>
    <t>Cauliflower</t>
  </si>
  <si>
    <t>Channa Atta</t>
  </si>
  <si>
    <t>Channa Dal</t>
  </si>
  <si>
    <t>Chat Masala</t>
  </si>
  <si>
    <t>Cheese 500g</t>
  </si>
  <si>
    <t>Block</t>
  </si>
  <si>
    <t>Cheese Slice</t>
  </si>
  <si>
    <t>Cherries</t>
  </si>
  <si>
    <t>Chicken Big</t>
  </si>
  <si>
    <t>Chicken Small</t>
  </si>
  <si>
    <t>Chicken Staff</t>
  </si>
  <si>
    <t>Chikkudikaya</t>
  </si>
  <si>
    <t>Chilly Flakes Kg</t>
  </si>
  <si>
    <t>Chilly Flakes Sachets</t>
  </si>
  <si>
    <t>Chilly Powder</t>
  </si>
  <si>
    <t>Chinese Container 1000ml</t>
  </si>
  <si>
    <t>Chinese Container 500ml</t>
  </si>
  <si>
    <t>Chinese Container 750ml</t>
  </si>
  <si>
    <t>Chocolate Ice Cream</t>
  </si>
  <si>
    <t>Chocolate Sauce</t>
  </si>
  <si>
    <t>Chole Masala</t>
  </si>
  <si>
    <t>Chukkakura</t>
  </si>
  <si>
    <t>Cleaning Brush</t>
  </si>
  <si>
    <t>Cleaning Coth</t>
  </si>
  <si>
    <t>Cling Wrap</t>
  </si>
  <si>
    <t>Coal</t>
  </si>
  <si>
    <t>Coconut</t>
  </si>
  <si>
    <t>Coconut Brooms</t>
  </si>
  <si>
    <t>Coconut Oil</t>
  </si>
  <si>
    <t>Coconut Powder</t>
  </si>
  <si>
    <t>Coffee Nescafe</t>
  </si>
  <si>
    <t>Coffee Powder</t>
  </si>
  <si>
    <t>Coke</t>
  </si>
  <si>
    <t>Combs</t>
  </si>
  <si>
    <t>Compostable Grocery Bags 13*16</t>
  </si>
  <si>
    <t>Compostable Grocery Bags 16*20</t>
  </si>
  <si>
    <t>Corn Flakes</t>
  </si>
  <si>
    <t>Corn Flour</t>
  </si>
  <si>
    <t>Cream</t>
  </si>
  <si>
    <t>Cucumber</t>
  </si>
  <si>
    <t>Curd</t>
  </si>
  <si>
    <t>Curd Cups</t>
  </si>
  <si>
    <t>Custic Soda</t>
  </si>
  <si>
    <t>Custod Powder</t>
  </si>
  <si>
    <t>Dalchina</t>
  </si>
  <si>
    <t>Dalda</t>
  </si>
  <si>
    <t>Dark Choco Chips</t>
  </si>
  <si>
    <t>Delight Ice Cream</t>
  </si>
  <si>
    <t>Dental Kit</t>
  </si>
  <si>
    <t>Dhaniya</t>
  </si>
  <si>
    <t>Dhaniya Powder</t>
  </si>
  <si>
    <t>Dilpasand</t>
  </si>
  <si>
    <t>Dondakaya</t>
  </si>
  <si>
    <t>Dosa Box</t>
  </si>
  <si>
    <t>Dosa Broom</t>
  </si>
  <si>
    <t>Dosa Flour</t>
  </si>
  <si>
    <t>Dosa Rice</t>
  </si>
  <si>
    <t>Dr Ravva</t>
  </si>
  <si>
    <t>Dry Coconut</t>
  </si>
  <si>
    <t>Dry Yeast</t>
  </si>
  <si>
    <t>Dust Bin Covers</t>
  </si>
  <si>
    <t>Dust Pan</t>
  </si>
  <si>
    <t>Eating Soda</t>
  </si>
  <si>
    <t>Eggs</t>
  </si>
  <si>
    <t>Elaichi</t>
  </si>
  <si>
    <t>Faluda Glass</t>
  </si>
  <si>
    <t>Fish</t>
  </si>
  <si>
    <t>French Fries</t>
  </si>
  <si>
    <t>Frozen Green Peas</t>
  </si>
  <si>
    <t>Fruit Cocktail</t>
  </si>
  <si>
    <t>Fuel Tins</t>
  </si>
  <si>
    <t>Garam Masala</t>
  </si>
  <si>
    <t>Garbage Bags</t>
  </si>
  <si>
    <t>Garlic</t>
  </si>
  <si>
    <t>Garlic Bread</t>
  </si>
  <si>
    <t>Ghee</t>
  </si>
  <si>
    <t>Ginger</t>
  </si>
  <si>
    <t>Ginger Powder</t>
  </si>
  <si>
    <t>Ginger Syrup</t>
  </si>
  <si>
    <t>Gold Milk</t>
  </si>
  <si>
    <t>Gongura</t>
  </si>
  <si>
    <t>Good Night Machine</t>
  </si>
  <si>
    <t>Good Night Refill</t>
  </si>
  <si>
    <t>Green Batana Raw</t>
  </si>
  <si>
    <t>Green Chilly</t>
  </si>
  <si>
    <t>Green Chilly Sauce</t>
  </si>
  <si>
    <t>Green Mojito Mint</t>
  </si>
  <si>
    <t>Gulkanda</t>
  </si>
  <si>
    <t>Gummadikaya</t>
  </si>
  <si>
    <t>Hand Gloves</t>
  </si>
  <si>
    <t>Hand Wash</t>
  </si>
  <si>
    <t>Harpic</t>
  </si>
  <si>
    <t>Hezelnuts</t>
  </si>
  <si>
    <t>jar</t>
  </si>
  <si>
    <t>Hing</t>
  </si>
  <si>
    <t>Hmt Rice</t>
  </si>
  <si>
    <t>Homa</t>
  </si>
  <si>
    <t>Honey</t>
  </si>
  <si>
    <t>Horlicks</t>
  </si>
  <si>
    <t>Ice Cream Cone</t>
  </si>
  <si>
    <t>Ice Cream Cups</t>
  </si>
  <si>
    <t>Idly Box</t>
  </si>
  <si>
    <t>Idly Ravva</t>
  </si>
  <si>
    <t>Idly Rice</t>
  </si>
  <si>
    <t>Indian Gas</t>
  </si>
  <si>
    <t>Jaggery</t>
  </si>
  <si>
    <t>Jajikaya</t>
  </si>
  <si>
    <t>Jal Jeera</t>
  </si>
  <si>
    <t>Jalpan Carrybags 11*14</t>
  </si>
  <si>
    <t>Jalpeno</t>
  </si>
  <si>
    <t>Japathri</t>
  </si>
  <si>
    <t>Jeera</t>
  </si>
  <si>
    <t>Jeera Masala Syrup</t>
  </si>
  <si>
    <t>Jeera Powder</t>
  </si>
  <si>
    <t>Kabuli Channa</t>
  </si>
  <si>
    <t>Kaju 2 Pieces</t>
  </si>
  <si>
    <t>Kaju Nuka</t>
  </si>
  <si>
    <t>Kakarkaya</t>
  </si>
  <si>
    <t>Kala Khatta Syrup</t>
  </si>
  <si>
    <t>Kandagadda</t>
  </si>
  <si>
    <t>Karivepaku</t>
  </si>
  <si>
    <t>Kashmiri Mirchi Powder</t>
  </si>
  <si>
    <t>Kasturi Methi</t>
  </si>
  <si>
    <t>Kewara Water</t>
  </si>
  <si>
    <t>Khas Khas</t>
  </si>
  <si>
    <t>Kheera  Dosakaya</t>
  </si>
  <si>
    <t>King Wrap</t>
  </si>
  <si>
    <t>Kinley 1lit Water</t>
  </si>
  <si>
    <t>case</t>
  </si>
  <si>
    <t>Kismis</t>
  </si>
  <si>
    <t>Kissan Jam</t>
  </si>
  <si>
    <t>Kit Kat</t>
  </si>
  <si>
    <t>Kitchen King Masala</t>
  </si>
  <si>
    <t>Kiwi Crush</t>
  </si>
  <si>
    <t>Kothimeera</t>
  </si>
  <si>
    <t>Kothmir</t>
  </si>
  <si>
    <t>Kova</t>
  </si>
  <si>
    <t>Kunafa</t>
  </si>
  <si>
    <t>Kurbani</t>
  </si>
  <si>
    <t>Lamsa</t>
  </si>
  <si>
    <t>Lavang</t>
  </si>
  <si>
    <t>Lemon Salt</t>
  </si>
  <si>
    <t>Lemons</t>
  </si>
  <si>
    <t>Local Channa</t>
  </si>
  <si>
    <t>M.water 1l</t>
  </si>
  <si>
    <t>M.water 500ml</t>
  </si>
  <si>
    <t>M.watr 250 Ml</t>
  </si>
  <si>
    <t>Maida</t>
  </si>
  <si>
    <t>Makhan</t>
  </si>
  <si>
    <t>Makka Chudwa</t>
  </si>
  <si>
    <t>Mamidikaya</t>
  </si>
  <si>
    <t>Mango</t>
  </si>
  <si>
    <t>Kg</t>
  </si>
  <si>
    <t>Mango Crush</t>
  </si>
  <si>
    <t>Mango Ice Crem</t>
  </si>
  <si>
    <t>Mango Pickle</t>
  </si>
  <si>
    <t>Mangos</t>
  </si>
  <si>
    <t>Mask</t>
  </si>
  <si>
    <t>Masoor Dal</t>
  </si>
  <si>
    <t>Mayonnaise</t>
  </si>
  <si>
    <t>Meal Maker</t>
  </si>
  <si>
    <t>Meal Maker Keema</t>
  </si>
  <si>
    <t>Mentulu</t>
  </si>
  <si>
    <t>Methi</t>
  </si>
  <si>
    <t>Milk</t>
  </si>
  <si>
    <t>Milk Maid</t>
  </si>
  <si>
    <t>Moistirizer 20ml</t>
  </si>
  <si>
    <t>Moong Dal</t>
  </si>
  <si>
    <t>Mops</t>
  </si>
  <si>
    <t>Mosambi</t>
  </si>
  <si>
    <t>Mosquito Coil</t>
  </si>
  <si>
    <t>Mote</t>
  </si>
  <si>
    <t>Mozzarella Cheese</t>
  </si>
  <si>
    <t>Mtr Sambar Powder</t>
  </si>
  <si>
    <t>Munakkaya</t>
  </si>
  <si>
    <t>Murmura</t>
  </si>
  <si>
    <t>Mushroom</t>
  </si>
  <si>
    <t>Muskmelon</t>
  </si>
  <si>
    <t>Mustard Oil</t>
  </si>
  <si>
    <t>Mutton</t>
  </si>
  <si>
    <t>Mutton Keema</t>
  </si>
  <si>
    <t>Name Boards</t>
  </si>
  <si>
    <t>Napkins</t>
  </si>
  <si>
    <t>Noodles</t>
  </si>
  <si>
    <t>Nutella Chocolate</t>
  </si>
  <si>
    <t>Odonil</t>
  </si>
  <si>
    <t>Onion</t>
  </si>
  <si>
    <t>Orange</t>
  </si>
  <si>
    <t>Orange Syrup</t>
  </si>
  <si>
    <t>Oregano 500gm</t>
  </si>
  <si>
    <t>Oregano Sachet</t>
  </si>
  <si>
    <t>Oreo Biscuits</t>
  </si>
  <si>
    <t>Original Mint Mojitho</t>
  </si>
  <si>
    <t>Palak</t>
  </si>
  <si>
    <t>Pally Chutney</t>
  </si>
  <si>
    <t>Palm Oil</t>
  </si>
  <si>
    <t>Paneer</t>
  </si>
  <si>
    <t>Paneer Momos</t>
  </si>
  <si>
    <t>Papad</t>
  </si>
  <si>
    <t>Paper Rolls</t>
  </si>
  <si>
    <t>Parcel Covers 4*6</t>
  </si>
  <si>
    <t>Parcel Covers 5*8</t>
  </si>
  <si>
    <t>Parcel Covers 6*9</t>
  </si>
  <si>
    <t>Party Chicken</t>
  </si>
  <si>
    <t>Pasta</t>
  </si>
  <si>
    <t>Pather Pool</t>
  </si>
  <si>
    <t>Pav</t>
  </si>
  <si>
    <t>Pavbaji Masala</t>
  </si>
  <si>
    <t>Pepper</t>
  </si>
  <si>
    <t>Peri Peri</t>
  </si>
  <si>
    <t>Pesarlu</t>
  </si>
  <si>
    <t>Pillow Covers</t>
  </si>
  <si>
    <t>Pineapple</t>
  </si>
  <si>
    <t>Pineapple Syrup</t>
  </si>
  <si>
    <t>Pista</t>
  </si>
  <si>
    <t>Pista Ice Cream</t>
  </si>
  <si>
    <t>Pitambaram</t>
  </si>
  <si>
    <t>Pizza Box Big</t>
  </si>
  <si>
    <t>Pizza Box Small</t>
  </si>
  <si>
    <t>Pizza Sauce</t>
  </si>
  <si>
    <t>Potato</t>
  </si>
  <si>
    <t>Potlakaya</t>
  </si>
  <si>
    <t>Prawns</t>
  </si>
  <si>
    <t>Pudina</t>
  </si>
  <si>
    <t>Puff Roti</t>
  </si>
  <si>
    <t>Putani</t>
  </si>
  <si>
    <t>Raddish</t>
  </si>
  <si>
    <t>Ragi Flour</t>
  </si>
  <si>
    <t>Rai</t>
  </si>
  <si>
    <t>Rajma</t>
  </si>
  <si>
    <t>Ramjadu</t>
  </si>
  <si>
    <t>Rectrangle Box 500ml</t>
  </si>
  <si>
    <t>Red Chilly</t>
  </si>
  <si>
    <t>Red Chilly Sauce</t>
  </si>
  <si>
    <t>Rock Salt</t>
  </si>
  <si>
    <t>Room Freshner</t>
  </si>
  <si>
    <t>Rose Syrup</t>
  </si>
  <si>
    <t>Rose Water</t>
  </si>
  <si>
    <t>Round Containar750ml</t>
  </si>
  <si>
    <t>Round Pally</t>
  </si>
  <si>
    <t>Sabjee Binge</t>
  </si>
  <si>
    <t>Sabudana</t>
  </si>
  <si>
    <t>Saffron</t>
  </si>
  <si>
    <t>Sajeera</t>
  </si>
  <si>
    <t>Salt Big</t>
  </si>
  <si>
    <t>Sandwich Box</t>
  </si>
  <si>
    <t>Sandwich Bread</t>
  </si>
  <si>
    <t>Schezwan Chutney</t>
  </si>
  <si>
    <t>Schezwan Sauce</t>
  </si>
  <si>
    <t>Scrubber Ordinary</t>
  </si>
  <si>
    <t>Scrubber Plastic</t>
  </si>
  <si>
    <t>Scrubber Steel</t>
  </si>
  <si>
    <t>Semiya</t>
  </si>
  <si>
    <t>Shampoo</t>
  </si>
  <si>
    <t>Shampoo Gel</t>
  </si>
  <si>
    <t>Shower Gel</t>
  </si>
  <si>
    <t>Shyamagadda</t>
  </si>
  <si>
    <t>Silver Container Big</t>
  </si>
  <si>
    <t>Silver Foil</t>
  </si>
  <si>
    <t>Silver Pouch 5*7</t>
  </si>
  <si>
    <t>Silver Pouch 6*8</t>
  </si>
  <si>
    <t>Silver Pouch 7*9</t>
  </si>
  <si>
    <t>Silver Pouch 8*10</t>
  </si>
  <si>
    <t>Silver Pouch 9*12</t>
  </si>
  <si>
    <t>Small Onion</t>
  </si>
  <si>
    <t>Soap Oil</t>
  </si>
  <si>
    <t>Soaps</t>
  </si>
  <si>
    <t>Soda 750 Ml</t>
  </si>
  <si>
    <t>Softy Chocolate Milk</t>
  </si>
  <si>
    <t>Softy Vanilla Milk</t>
  </si>
  <si>
    <t>Somp</t>
  </si>
  <si>
    <t>Somp White</t>
  </si>
  <si>
    <t>Soya Sauce</t>
  </si>
  <si>
    <t>Sp.milk</t>
  </si>
  <si>
    <t>Sponge</t>
  </si>
  <si>
    <t>Spring Onion</t>
  </si>
  <si>
    <t>Spring Rolls</t>
  </si>
  <si>
    <t>SPRITE 250ml</t>
  </si>
  <si>
    <t>Sprite 750 Ml</t>
  </si>
  <si>
    <t>Star Pool</t>
  </si>
  <si>
    <t>Strawberry Crush</t>
  </si>
  <si>
    <t>Strawberry Ice Cream</t>
  </si>
  <si>
    <t>Straws Big</t>
  </si>
  <si>
    <t>Straws Small</t>
  </si>
  <si>
    <t>Sugar</t>
  </si>
  <si>
    <t>Sunflower Oil</t>
  </si>
  <si>
    <t>Surf</t>
  </si>
  <si>
    <t>Sweet Corn Makka</t>
  </si>
  <si>
    <t>Sweet Corn Momos</t>
  </si>
  <si>
    <t>Sweet Corn Pkt</t>
  </si>
  <si>
    <t>Sweetcorn Tin</t>
  </si>
  <si>
    <t>Tamarind</t>
  </si>
  <si>
    <t>Tamato</t>
  </si>
  <si>
    <t>Tang Rasna</t>
  </si>
  <si>
    <t>Tarbuj</t>
  </si>
  <si>
    <t>Tata Salt</t>
  </si>
  <si>
    <t>Tea Cups Big</t>
  </si>
  <si>
    <t>Tea Cups Small</t>
  </si>
  <si>
    <t>Tea Powder</t>
  </si>
  <si>
    <t>Thoka Miryal</t>
  </si>
  <si>
    <t>Thotakura</t>
  </si>
  <si>
    <t>THUMS UP 250ml</t>
  </si>
  <si>
    <t>Till</t>
  </si>
  <si>
    <t>Toilet Brush</t>
  </si>
  <si>
    <t>Tomato Ketchup</t>
  </si>
  <si>
    <t>Tomato Sauce</t>
  </si>
  <si>
    <t>Tooth Pick</t>
  </si>
  <si>
    <t>box</t>
  </si>
  <si>
    <t>Towels</t>
  </si>
  <si>
    <t>Tugar Dal</t>
  </si>
  <si>
    <t>Turmeric Powder</t>
  </si>
  <si>
    <t>Tuti Fruity</t>
  </si>
  <si>
    <t>Upma Ravva</t>
  </si>
  <si>
    <t>Urad Dal</t>
  </si>
  <si>
    <t>Vanila Spoung</t>
  </si>
  <si>
    <t>Vanilla Essence</t>
  </si>
  <si>
    <t>Vanilla Ice Cream</t>
  </si>
  <si>
    <t>Veg Momos</t>
  </si>
  <si>
    <t>Veg Oyster Sauce</t>
  </si>
  <si>
    <t>Vegetables</t>
  </si>
  <si>
    <t>Viniger</t>
  </si>
  <si>
    <t>Water Glass</t>
  </si>
  <si>
    <t>Water Melon Syrup</t>
  </si>
  <si>
    <t>Watermelon</t>
  </si>
  <si>
    <t>White Batana</t>
  </si>
  <si>
    <t>White Pepper</t>
  </si>
  <si>
    <t>White Tape</t>
  </si>
  <si>
    <t>Wiper</t>
  </si>
  <si>
    <t>Wooden Fork</t>
  </si>
  <si>
    <t>Wooden Icecream Spoon</t>
  </si>
  <si>
    <t>Wooden Spoons Big</t>
  </si>
  <si>
    <t>Wooden Spoons Small</t>
  </si>
  <si>
    <t>Average Purchase Price (₹)</t>
  </si>
  <si>
    <t>Total (₹)</t>
  </si>
  <si>
    <t>20-20</t>
  </si>
  <si>
    <t>Baking Soda</t>
  </si>
  <si>
    <t>Banana Leaf</t>
  </si>
  <si>
    <t>Bannana Life</t>
  </si>
  <si>
    <t>Bendakaya</t>
  </si>
  <si>
    <t>Brown Sugar</t>
  </si>
  <si>
    <t>Brownie Choclat</t>
  </si>
  <si>
    <t>Budimekaya</t>
  </si>
  <si>
    <t>Cabage</t>
  </si>
  <si>
    <t>Chako Lava Powdar</t>
  </si>
  <si>
    <t>Chicken Biryani</t>
  </si>
  <si>
    <t>Coco Powder</t>
  </si>
  <si>
    <t>Cocoa</t>
  </si>
  <si>
    <t>Coconet Oil</t>
  </si>
  <si>
    <t>Cookies Rec.box 750ml</t>
  </si>
  <si>
    <t>Dark Chocolate</t>
  </si>
  <si>
    <t>Dettol 1lit</t>
  </si>
  <si>
    <t>Dhaniya Papu</t>
  </si>
  <si>
    <t>Dorck Choclet</t>
  </si>
  <si>
    <t>Dry Coca</t>
  </si>
  <si>
    <t>Floor Cleaner</t>
  </si>
  <si>
    <t>Free Sugar</t>
  </si>
  <si>
    <t>Fruti Truti</t>
  </si>
  <si>
    <t>Gd Biscuit</t>
  </si>
  <si>
    <t>Goru Chikkudukaya</t>
  </si>
  <si>
    <t>Happy Biscuit</t>
  </si>
  <si>
    <t>Jaggery Powder</t>
  </si>
  <si>
    <t>Jagrry Powdar</t>
  </si>
  <si>
    <t>Kaddu</t>
  </si>
  <si>
    <t>Keera Dosakaya</t>
  </si>
  <si>
    <t>Kinley 500ml Water</t>
  </si>
  <si>
    <t>Kothimira</t>
  </si>
  <si>
    <t>Leaf Buffe Paltes</t>
  </si>
  <si>
    <t>Marodride</t>
  </si>
  <si>
    <t>Mental</t>
  </si>
  <si>
    <t>Milk Powder</t>
  </si>
  <si>
    <t>Munigekaya</t>
  </si>
  <si>
    <t>Muottn Keema</t>
  </si>
  <si>
    <t>Muttaon Botti</t>
  </si>
  <si>
    <t>Oreng</t>
  </si>
  <si>
    <t>Osmaniya Biscuts</t>
  </si>
  <si>
    <t>Pan Kesari</t>
  </si>
  <si>
    <t>Panipuri Covars</t>
  </si>
  <si>
    <t>Paper 1000ml Rect. Bowl</t>
  </si>
  <si>
    <t>Paper 1000ml Rect. Lid</t>
  </si>
  <si>
    <t>Paper 140ml Bowl</t>
  </si>
  <si>
    <t>Paper 140ml Lid</t>
  </si>
  <si>
    <t>Paper 350ml Bowl</t>
  </si>
  <si>
    <t>Paper 350ml Lid</t>
  </si>
  <si>
    <t>Paper 500ml Bowl</t>
  </si>
  <si>
    <t>Paper 500ml Lid</t>
  </si>
  <si>
    <t>Paper 750ml Rect. Bowl</t>
  </si>
  <si>
    <t>Paper 750ml Rect. Lid</t>
  </si>
  <si>
    <t>Paper Cover White</t>
  </si>
  <si>
    <t>Paper Covers Small</t>
  </si>
  <si>
    <t>Party Chiken</t>
  </si>
  <si>
    <t>Party Item Cook</t>
  </si>
  <si>
    <t>Pine Apple Big</t>
  </si>
  <si>
    <t>Pineapple Crush</t>
  </si>
  <si>
    <t>Pineapple Essence</t>
  </si>
  <si>
    <t>Pomegranate</t>
  </si>
  <si>
    <t>Pumpkin</t>
  </si>
  <si>
    <t>Scrubber Alum</t>
  </si>
  <si>
    <t>Senajal 1lit Water</t>
  </si>
  <si>
    <t>Senajal 250ml Water</t>
  </si>
  <si>
    <t>Senajal 500m.lit Water</t>
  </si>
  <si>
    <t>Shamagadda</t>
  </si>
  <si>
    <t>Small Biscuit Box</t>
  </si>
  <si>
    <t>Softy Chocolate Cone Powder</t>
  </si>
  <si>
    <t>Softy Vanilla Cone Powder</t>
  </si>
  <si>
    <t>Sora Kaya</t>
  </si>
  <si>
    <t>Swastik Chilly Powder</t>
  </si>
  <si>
    <t>Sweet Cone Momos</t>
  </si>
  <si>
    <t>Tableroll</t>
  </si>
  <si>
    <t>Tamalapakulu</t>
  </si>
  <si>
    <t>Tomato Sauce Glass</t>
  </si>
  <si>
    <t>Un Salt Butter</t>
  </si>
  <si>
    <t>Vankaya</t>
  </si>
  <si>
    <t>Walnut</t>
  </si>
  <si>
    <t>White Buffe Plates</t>
  </si>
  <si>
    <t>App Stock</t>
  </si>
  <si>
    <t>Hotel Stock</t>
  </si>
  <si>
    <t>Stock Diff (App-Hotel)</t>
  </si>
  <si>
    <t>App Total (₹)</t>
  </si>
  <si>
    <t>Hotel Total (₹)</t>
  </si>
  <si>
    <t>Value Diff (₹)</t>
  </si>
  <si>
    <t>Status</t>
  </si>
  <si>
    <t>Helper: combined item list (do not edit)</t>
  </si>
  <si>
    <t>Summary</t>
  </si>
  <si>
    <t>Total unique items</t>
  </si>
  <si>
    <t>Matches</t>
  </si>
  <si>
    <t>Stock discrepancies</t>
  </si>
  <si>
    <t>Missing in App</t>
  </si>
  <si>
    <t>Missing in Hotel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</si>
</sst>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s&quot;\ #,##0.00"/>
    <numFmt numFmtId="165" formatCode="#,##0.##"/>
    <numFmt numFmtId="166" formatCode="#,##0.00;\(#,##0.00\);&quot;-&quot;"/>
    <numFmt numFmtId="167" formatCode="\₹#,##0.00;\(\₹#,##0.00\);&quot;-&quot;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8080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B1113"/>
        <bgColor rgb="FF7B1113"/>
      </patternFill>
    </fill>
    <fill>
      <patternFill patternType="solid">
        <fgColor rgb="FFF2E7E7"/>
        <bgColor rgb="FFF2E7E7"/>
      </patternFill>
    </fill>
    <fill>
      <patternFill patternType="solid">
        <fgColor rgb="FF1F4E78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/>
    <xf numFmtId="0" fontId="1" fillId="3" borderId="1" xfId="0" applyFont="1" applyFill="1" applyBorder="1"/>
    <xf numFmtId="165" fontId="1" fillId="3" borderId="1" xfId="0" applyNumberFormat="1" applyFont="1" applyFill="1" applyBorder="1"/>
    <xf numFmtId="164" fontId="1" fillId="3" borderId="1" xfId="0" applyNumberFormat="1" applyFont="1" applyFill="1" applyBorder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6" fillId="4" borderId="0" xfId="0" applyFont="1" applyFill="1"/>
    <xf numFmtId="0" fontId="7" fillId="4" borderId="0" xfId="0" applyFont="1" applyFill="1"/>
    <xf numFmtId="0" fontId="3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0"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8696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E3BA8-3AF5-4051-81C4-D825D7438705}" name="Table1" displayName="Table1" ref="A1:D447" totalsRowShown="0" headerRowDxfId="9" headerRowBorderDxfId="8" tableBorderDxfId="7" totalsRowBorderDxfId="6">
  <autoFilter ref="A1:D447" xr:uid="{9CDE3BA8-3AF5-4051-81C4-D825D7438705}"/>
  <tableColumns count="4">
    <tableColumn id="1" xr3:uid="{B37C8422-3272-4612-B2F7-386C80CAE749}" name="Item" dataDxfId="5"/>
    <tableColumn id="2" xr3:uid="{64506652-222D-47FC-981E-B9174795590B}" name="Current Stock" dataDxfId="4"/>
    <tableColumn id="3" xr3:uid="{6BA597D0-113A-4D70-B8F9-D7268533657A}" name="Average Purchase Price (₹)" dataDxfId="3"/>
    <tableColumn id="4" xr3:uid="{9899D348-F735-4342-A5C1-92868AE8F443}" name="Total (₹)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F17B13-CBE9-4D85-8B02-E53C5CA206A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cfee276-f16c-46de-83ec-072c01ee734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4"/>
  <sheetViews>
    <sheetView workbookViewId="0">
      <pane ySplit="1" topLeftCell="A377" activePane="bottomLeft" state="frozen"/>
      <selection pane="bottomLeft" activeCell="A394" sqref="A394"/>
    </sheetView>
  </sheetViews>
  <sheetFormatPr defaultRowHeight="15" x14ac:dyDescent="0.25"/>
  <cols>
    <col min="1" max="1" width="30" customWidth="1"/>
    <col min="2" max="2" width="14" customWidth="1"/>
    <col min="3" max="3" width="10" customWidth="1"/>
    <col min="4" max="4" width="22" customWidth="1"/>
    <col min="5" max="5" width="16" customWidth="1"/>
    <col min="6" max="6" width="18" customWidth="1"/>
  </cols>
  <sheetData>
    <row r="1" spans="1:6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4">
        <v>675</v>
      </c>
      <c r="C2" s="1" t="s">
        <v>7</v>
      </c>
      <c r="D2" s="2">
        <v>8.18</v>
      </c>
      <c r="E2" s="2">
        <v>5522.48</v>
      </c>
      <c r="F2" s="1" t="s">
        <v>8</v>
      </c>
    </row>
    <row r="3" spans="1:6" x14ac:dyDescent="0.25">
      <c r="A3" s="5" t="s">
        <v>9</v>
      </c>
      <c r="B3" s="6">
        <v>248</v>
      </c>
      <c r="C3" s="5" t="s">
        <v>7</v>
      </c>
      <c r="D3" s="7">
        <v>12</v>
      </c>
      <c r="E3" s="7">
        <v>2976</v>
      </c>
      <c r="F3" s="5" t="s">
        <v>8</v>
      </c>
    </row>
    <row r="4" spans="1:6" x14ac:dyDescent="0.25">
      <c r="A4" s="1" t="s">
        <v>10</v>
      </c>
      <c r="B4" s="4">
        <v>274</v>
      </c>
      <c r="C4" s="1" t="s">
        <v>7</v>
      </c>
      <c r="D4" s="2">
        <v>16.579999999999998</v>
      </c>
      <c r="E4" s="2">
        <v>4543.41</v>
      </c>
      <c r="F4" s="1" t="s">
        <v>8</v>
      </c>
    </row>
    <row r="5" spans="1:6" x14ac:dyDescent="0.25">
      <c r="A5" s="5" t="s">
        <v>11</v>
      </c>
      <c r="B5" s="6">
        <v>3</v>
      </c>
      <c r="C5" s="5" t="s">
        <v>12</v>
      </c>
      <c r="D5" s="7">
        <v>370</v>
      </c>
      <c r="E5" s="7">
        <v>1110</v>
      </c>
      <c r="F5" s="5" t="s">
        <v>13</v>
      </c>
    </row>
    <row r="6" spans="1:6" x14ac:dyDescent="0.25">
      <c r="A6" s="1" t="s">
        <v>14</v>
      </c>
      <c r="B6" s="4">
        <v>0</v>
      </c>
      <c r="C6" s="1" t="s">
        <v>15</v>
      </c>
      <c r="D6" s="2">
        <v>556</v>
      </c>
      <c r="E6" s="2">
        <v>0</v>
      </c>
      <c r="F6" s="1" t="s">
        <v>8</v>
      </c>
    </row>
    <row r="7" spans="1:6" x14ac:dyDescent="0.25">
      <c r="A7" s="5" t="s">
        <v>16</v>
      </c>
      <c r="B7" s="6">
        <v>2</v>
      </c>
      <c r="C7" s="5" t="s">
        <v>15</v>
      </c>
      <c r="D7" s="7">
        <v>544</v>
      </c>
      <c r="E7" s="7">
        <v>1088</v>
      </c>
      <c r="F7" s="5" t="s">
        <v>8</v>
      </c>
    </row>
    <row r="8" spans="1:6" x14ac:dyDescent="0.25">
      <c r="A8" s="1" t="s">
        <v>17</v>
      </c>
      <c r="B8" s="4">
        <v>0</v>
      </c>
      <c r="C8" s="1" t="s">
        <v>15</v>
      </c>
      <c r="D8" s="2">
        <v>220</v>
      </c>
      <c r="E8" s="2">
        <v>0</v>
      </c>
      <c r="F8" s="1" t="s">
        <v>18</v>
      </c>
    </row>
    <row r="9" spans="1:6" x14ac:dyDescent="0.25">
      <c r="A9" s="5" t="s">
        <v>19</v>
      </c>
      <c r="B9" s="6">
        <v>5</v>
      </c>
      <c r="C9" s="5" t="s">
        <v>20</v>
      </c>
      <c r="D9" s="7">
        <v>165</v>
      </c>
      <c r="E9" s="7">
        <v>825</v>
      </c>
      <c r="F9" s="5" t="s">
        <v>13</v>
      </c>
    </row>
    <row r="10" spans="1:6" x14ac:dyDescent="0.25">
      <c r="A10" s="1" t="s">
        <v>21</v>
      </c>
      <c r="B10" s="4">
        <v>0</v>
      </c>
      <c r="C10" s="1" t="s">
        <v>15</v>
      </c>
      <c r="D10" s="2">
        <v>236.81</v>
      </c>
      <c r="E10" s="2">
        <v>0</v>
      </c>
      <c r="F10" s="1" t="s">
        <v>18</v>
      </c>
    </row>
    <row r="11" spans="1:6" x14ac:dyDescent="0.25">
      <c r="A11" s="5" t="s">
        <v>22</v>
      </c>
      <c r="B11" s="6">
        <v>0</v>
      </c>
      <c r="C11" s="5" t="s">
        <v>15</v>
      </c>
      <c r="D11" s="7">
        <v>50</v>
      </c>
      <c r="E11" s="7">
        <v>0</v>
      </c>
      <c r="F11" s="5" t="s">
        <v>8</v>
      </c>
    </row>
    <row r="12" spans="1:6" x14ac:dyDescent="0.25">
      <c r="A12" s="1" t="s">
        <v>23</v>
      </c>
      <c r="B12" s="4">
        <v>4.0999999999999996</v>
      </c>
      <c r="C12" s="1" t="s">
        <v>15</v>
      </c>
      <c r="D12" s="2">
        <v>356.45</v>
      </c>
      <c r="E12" s="2">
        <v>1461.43</v>
      </c>
      <c r="F12" s="1" t="s">
        <v>13</v>
      </c>
    </row>
    <row r="13" spans="1:6" x14ac:dyDescent="0.25">
      <c r="A13" s="5" t="s">
        <v>24</v>
      </c>
      <c r="B13" s="6">
        <v>186.5</v>
      </c>
      <c r="C13" s="5" t="s">
        <v>15</v>
      </c>
      <c r="D13" s="7">
        <v>38.65</v>
      </c>
      <c r="E13" s="7">
        <v>7208.15</v>
      </c>
      <c r="F13" s="5" t="s">
        <v>13</v>
      </c>
    </row>
    <row r="14" spans="1:6" x14ac:dyDescent="0.25">
      <c r="A14" s="1" t="s">
        <v>25</v>
      </c>
      <c r="B14" s="4">
        <v>19.459</v>
      </c>
      <c r="C14" s="1" t="s">
        <v>15</v>
      </c>
      <c r="D14" s="2">
        <v>49.5</v>
      </c>
      <c r="E14" s="2">
        <v>963.22</v>
      </c>
      <c r="F14" s="1" t="s">
        <v>8</v>
      </c>
    </row>
    <row r="15" spans="1:6" x14ac:dyDescent="0.25">
      <c r="A15" s="5" t="s">
        <v>26</v>
      </c>
      <c r="B15" s="6">
        <v>5</v>
      </c>
      <c r="C15" s="5" t="s">
        <v>27</v>
      </c>
      <c r="D15" s="7">
        <v>120</v>
      </c>
      <c r="E15" s="7">
        <v>600</v>
      </c>
      <c r="F15" s="5" t="s">
        <v>8</v>
      </c>
    </row>
    <row r="16" spans="1:6" x14ac:dyDescent="0.25">
      <c r="A16" s="1" t="s">
        <v>28</v>
      </c>
      <c r="B16" s="4">
        <v>2.1800000000000002</v>
      </c>
      <c r="C16" s="1" t="s">
        <v>15</v>
      </c>
      <c r="D16" s="2">
        <v>985</v>
      </c>
      <c r="E16" s="2">
        <v>2147.3000000000002</v>
      </c>
      <c r="F16" s="1" t="s">
        <v>8</v>
      </c>
    </row>
    <row r="17" spans="1:6" x14ac:dyDescent="0.25">
      <c r="A17" s="5" t="s">
        <v>29</v>
      </c>
      <c r="B17" s="6">
        <v>11</v>
      </c>
      <c r="C17" s="5" t="s">
        <v>7</v>
      </c>
      <c r="D17" s="7">
        <v>36.08</v>
      </c>
      <c r="E17" s="7">
        <v>396.86</v>
      </c>
      <c r="F17" s="5" t="s">
        <v>8</v>
      </c>
    </row>
    <row r="18" spans="1:6" x14ac:dyDescent="0.25">
      <c r="A18" s="1" t="s">
        <v>30</v>
      </c>
      <c r="B18" s="4">
        <v>0</v>
      </c>
      <c r="C18" s="1" t="s">
        <v>31</v>
      </c>
      <c r="D18" s="2">
        <v>55.88</v>
      </c>
      <c r="E18" s="2">
        <v>0</v>
      </c>
      <c r="F18" s="1" t="s">
        <v>32</v>
      </c>
    </row>
    <row r="19" spans="1:6" x14ac:dyDescent="0.25">
      <c r="A19" s="5" t="s">
        <v>33</v>
      </c>
      <c r="B19" s="6">
        <v>5.5</v>
      </c>
      <c r="C19" s="5" t="s">
        <v>15</v>
      </c>
      <c r="D19" s="7">
        <v>127.78</v>
      </c>
      <c r="E19" s="7">
        <v>702.78</v>
      </c>
      <c r="F19" s="5" t="s">
        <v>34</v>
      </c>
    </row>
    <row r="20" spans="1:6" x14ac:dyDescent="0.25">
      <c r="A20" s="1" t="s">
        <v>35</v>
      </c>
      <c r="B20" s="4">
        <v>40</v>
      </c>
      <c r="C20" s="1" t="s">
        <v>7</v>
      </c>
      <c r="D20" s="2">
        <v>160</v>
      </c>
      <c r="E20" s="2">
        <v>6400</v>
      </c>
      <c r="F20" s="1" t="s">
        <v>8</v>
      </c>
    </row>
    <row r="21" spans="1:6" x14ac:dyDescent="0.25">
      <c r="A21" s="5" t="s">
        <v>36</v>
      </c>
      <c r="B21" s="6">
        <v>8</v>
      </c>
      <c r="C21" s="5" t="s">
        <v>15</v>
      </c>
      <c r="D21" s="7">
        <v>40.67</v>
      </c>
      <c r="E21" s="7">
        <v>325.33</v>
      </c>
      <c r="F21" s="5" t="s">
        <v>34</v>
      </c>
    </row>
    <row r="22" spans="1:6" x14ac:dyDescent="0.25">
      <c r="A22" s="1" t="s">
        <v>37</v>
      </c>
      <c r="B22" s="4">
        <v>0.5</v>
      </c>
      <c r="C22" s="1" t="s">
        <v>15</v>
      </c>
      <c r="D22" s="2">
        <v>40.909999999999997</v>
      </c>
      <c r="E22" s="2">
        <v>20.45</v>
      </c>
      <c r="F22" s="1" t="s">
        <v>8</v>
      </c>
    </row>
    <row r="23" spans="1:6" x14ac:dyDescent="0.25">
      <c r="A23" s="5" t="s">
        <v>38</v>
      </c>
      <c r="B23" s="6">
        <v>23</v>
      </c>
      <c r="C23" s="5" t="s">
        <v>15</v>
      </c>
      <c r="D23" s="7">
        <v>30</v>
      </c>
      <c r="E23" s="7">
        <v>690</v>
      </c>
      <c r="F23" s="5" t="s">
        <v>18</v>
      </c>
    </row>
    <row r="24" spans="1:6" x14ac:dyDescent="0.25">
      <c r="A24" s="1" t="s">
        <v>39</v>
      </c>
      <c r="B24" s="4">
        <v>8</v>
      </c>
      <c r="C24" s="1" t="s">
        <v>7</v>
      </c>
      <c r="D24" s="2">
        <v>3245.83</v>
      </c>
      <c r="E24" s="2">
        <v>25966.6</v>
      </c>
      <c r="F24" s="1" t="s">
        <v>8</v>
      </c>
    </row>
    <row r="25" spans="1:6" x14ac:dyDescent="0.25">
      <c r="A25" s="5" t="s">
        <v>40</v>
      </c>
      <c r="B25" s="6">
        <v>1.05</v>
      </c>
      <c r="C25" s="5" t="s">
        <v>15</v>
      </c>
      <c r="D25" s="7">
        <v>265</v>
      </c>
      <c r="E25" s="7">
        <v>278.25</v>
      </c>
      <c r="F25" s="5" t="s">
        <v>8</v>
      </c>
    </row>
    <row r="26" spans="1:6" x14ac:dyDescent="0.25">
      <c r="A26" s="1" t="s">
        <v>41</v>
      </c>
      <c r="B26" s="4">
        <v>355</v>
      </c>
      <c r="C26" s="1" t="s">
        <v>15</v>
      </c>
      <c r="D26" s="2">
        <v>116.4</v>
      </c>
      <c r="E26" s="2">
        <v>41321.599999999999</v>
      </c>
      <c r="F26" s="1" t="s">
        <v>8</v>
      </c>
    </row>
    <row r="27" spans="1:6" x14ac:dyDescent="0.25">
      <c r="A27" s="5" t="s">
        <v>42</v>
      </c>
      <c r="B27" s="6">
        <v>4</v>
      </c>
      <c r="C27" s="5" t="s">
        <v>43</v>
      </c>
      <c r="D27" s="7">
        <v>68.67</v>
      </c>
      <c r="E27" s="7">
        <v>274.67</v>
      </c>
      <c r="F27" s="5" t="s">
        <v>8</v>
      </c>
    </row>
    <row r="28" spans="1:6" x14ac:dyDescent="0.25">
      <c r="A28" s="1" t="s">
        <v>44</v>
      </c>
      <c r="B28" s="4">
        <v>1</v>
      </c>
      <c r="C28" s="1" t="s">
        <v>12</v>
      </c>
      <c r="D28" s="2">
        <v>514.47</v>
      </c>
      <c r="E28" s="2">
        <v>514.47</v>
      </c>
      <c r="F28" s="1" t="s">
        <v>8</v>
      </c>
    </row>
    <row r="29" spans="1:6" x14ac:dyDescent="0.25">
      <c r="A29" s="5" t="s">
        <v>45</v>
      </c>
      <c r="B29" s="6">
        <v>0</v>
      </c>
      <c r="C29" s="5" t="s">
        <v>15</v>
      </c>
      <c r="D29" s="7">
        <v>153.62</v>
      </c>
      <c r="E29" s="7">
        <v>0</v>
      </c>
      <c r="F29" s="5" t="s">
        <v>34</v>
      </c>
    </row>
    <row r="30" spans="1:6" x14ac:dyDescent="0.25">
      <c r="A30" s="1" t="s">
        <v>46</v>
      </c>
      <c r="B30" s="4">
        <v>4</v>
      </c>
      <c r="C30" s="1" t="s">
        <v>12</v>
      </c>
      <c r="D30" s="2">
        <v>210.63</v>
      </c>
      <c r="E30" s="2">
        <v>842.5</v>
      </c>
      <c r="F30" s="1" t="s">
        <v>8</v>
      </c>
    </row>
    <row r="31" spans="1:6" x14ac:dyDescent="0.25">
      <c r="A31" s="5" t="s">
        <v>47</v>
      </c>
      <c r="B31" s="6">
        <v>6.3</v>
      </c>
      <c r="C31" s="5" t="s">
        <v>15</v>
      </c>
      <c r="D31" s="7">
        <v>962.63</v>
      </c>
      <c r="E31" s="7">
        <v>6064.55</v>
      </c>
      <c r="F31" s="5" t="s">
        <v>13</v>
      </c>
    </row>
    <row r="32" spans="1:6" x14ac:dyDescent="0.25">
      <c r="A32" s="1" t="s">
        <v>48</v>
      </c>
      <c r="B32" s="4">
        <v>4</v>
      </c>
      <c r="C32" s="1" t="s">
        <v>15</v>
      </c>
      <c r="D32" s="2">
        <v>65.239999999999995</v>
      </c>
      <c r="E32" s="2">
        <v>260.95</v>
      </c>
      <c r="F32" s="1" t="s">
        <v>8</v>
      </c>
    </row>
    <row r="33" spans="1:6" x14ac:dyDescent="0.25">
      <c r="A33" s="5" t="s">
        <v>49</v>
      </c>
      <c r="B33" s="6">
        <v>0</v>
      </c>
      <c r="C33" s="5" t="s">
        <v>15</v>
      </c>
      <c r="D33" s="7">
        <v>138</v>
      </c>
      <c r="E33" s="7">
        <v>0</v>
      </c>
      <c r="F33" s="5" t="s">
        <v>8</v>
      </c>
    </row>
    <row r="34" spans="1:6" x14ac:dyDescent="0.25">
      <c r="A34" s="1" t="s">
        <v>50</v>
      </c>
      <c r="B34" s="4">
        <v>1</v>
      </c>
      <c r="C34" s="1" t="s">
        <v>12</v>
      </c>
      <c r="D34" s="2">
        <v>279.08999999999997</v>
      </c>
      <c r="E34" s="2">
        <v>279.08999999999997</v>
      </c>
      <c r="F34" s="1" t="s">
        <v>8</v>
      </c>
    </row>
    <row r="35" spans="1:6" x14ac:dyDescent="0.25">
      <c r="A35" s="5" t="s">
        <v>51</v>
      </c>
      <c r="B35" s="6">
        <v>5</v>
      </c>
      <c r="C35" s="5" t="s">
        <v>15</v>
      </c>
      <c r="D35" s="7">
        <v>100.55</v>
      </c>
      <c r="E35" s="7">
        <v>502.73</v>
      </c>
      <c r="F35" s="5" t="s">
        <v>13</v>
      </c>
    </row>
    <row r="36" spans="1:6" x14ac:dyDescent="0.25">
      <c r="A36" s="1" t="s">
        <v>52</v>
      </c>
      <c r="B36" s="4">
        <v>21.55</v>
      </c>
      <c r="C36" s="1" t="s">
        <v>15</v>
      </c>
      <c r="D36" s="2">
        <v>45.5</v>
      </c>
      <c r="E36" s="2">
        <v>980.53</v>
      </c>
      <c r="F36" s="1" t="s">
        <v>8</v>
      </c>
    </row>
    <row r="37" spans="1:6" x14ac:dyDescent="0.25">
      <c r="A37" s="5" t="s">
        <v>53</v>
      </c>
      <c r="B37" s="6">
        <v>2</v>
      </c>
      <c r="C37" s="5" t="s">
        <v>43</v>
      </c>
      <c r="D37" s="7">
        <v>5.03</v>
      </c>
      <c r="E37" s="7">
        <v>10.050000000000001</v>
      </c>
      <c r="F37" s="5" t="s">
        <v>8</v>
      </c>
    </row>
    <row r="38" spans="1:6" x14ac:dyDescent="0.25">
      <c r="A38" s="1" t="s">
        <v>54</v>
      </c>
      <c r="B38" s="4">
        <v>0.5</v>
      </c>
      <c r="C38" s="1" t="s">
        <v>15</v>
      </c>
      <c r="D38" s="2">
        <v>242.67</v>
      </c>
      <c r="E38" s="2">
        <v>121.33</v>
      </c>
      <c r="F38" s="1" t="s">
        <v>8</v>
      </c>
    </row>
    <row r="39" spans="1:6" x14ac:dyDescent="0.25">
      <c r="A39" s="5" t="s">
        <v>55</v>
      </c>
      <c r="B39" s="6">
        <v>0</v>
      </c>
      <c r="C39" s="5" t="s">
        <v>7</v>
      </c>
      <c r="D39" s="7">
        <v>8</v>
      </c>
      <c r="E39" s="7">
        <v>0</v>
      </c>
      <c r="F39" s="5" t="s">
        <v>8</v>
      </c>
    </row>
    <row r="40" spans="1:6" x14ac:dyDescent="0.25">
      <c r="A40" s="1" t="s">
        <v>56</v>
      </c>
      <c r="B40" s="4">
        <v>280</v>
      </c>
      <c r="C40" s="1" t="s">
        <v>7</v>
      </c>
      <c r="D40" s="2">
        <v>10.89</v>
      </c>
      <c r="E40" s="2">
        <v>3049.59</v>
      </c>
      <c r="F40" s="1" t="s">
        <v>8</v>
      </c>
    </row>
    <row r="41" spans="1:6" x14ac:dyDescent="0.25">
      <c r="A41" s="5" t="s">
        <v>57</v>
      </c>
      <c r="B41" s="6">
        <v>100</v>
      </c>
      <c r="C41" s="5" t="s">
        <v>7</v>
      </c>
      <c r="D41" s="7">
        <v>3.2</v>
      </c>
      <c r="E41" s="7">
        <v>320</v>
      </c>
      <c r="F41" s="5" t="s">
        <v>8</v>
      </c>
    </row>
    <row r="42" spans="1:6" x14ac:dyDescent="0.25">
      <c r="A42" s="1" t="s">
        <v>58</v>
      </c>
      <c r="B42" s="4">
        <v>0</v>
      </c>
      <c r="C42" s="1" t="s">
        <v>7</v>
      </c>
      <c r="D42" s="2">
        <v>3.88</v>
      </c>
      <c r="E42" s="2">
        <v>0</v>
      </c>
      <c r="F42" s="1" t="s">
        <v>8</v>
      </c>
    </row>
    <row r="43" spans="1:6" x14ac:dyDescent="0.25">
      <c r="A43" s="5" t="s">
        <v>59</v>
      </c>
      <c r="B43" s="6">
        <v>232</v>
      </c>
      <c r="C43" s="5" t="s">
        <v>7</v>
      </c>
      <c r="D43" s="7">
        <v>4.5</v>
      </c>
      <c r="E43" s="7">
        <v>1044</v>
      </c>
      <c r="F43" s="5" t="s">
        <v>8</v>
      </c>
    </row>
    <row r="44" spans="1:6" x14ac:dyDescent="0.25">
      <c r="A44" s="1" t="s">
        <v>60</v>
      </c>
      <c r="B44" s="4">
        <v>300</v>
      </c>
      <c r="C44" s="1" t="s">
        <v>7</v>
      </c>
      <c r="D44" s="2">
        <v>4</v>
      </c>
      <c r="E44" s="2">
        <v>1200</v>
      </c>
      <c r="F44" s="1" t="s">
        <v>8</v>
      </c>
    </row>
    <row r="45" spans="1:6" x14ac:dyDescent="0.25">
      <c r="A45" s="5" t="s">
        <v>61</v>
      </c>
      <c r="B45" s="6">
        <v>0</v>
      </c>
      <c r="C45" s="5" t="s">
        <v>7</v>
      </c>
      <c r="D45" s="7">
        <v>4.9000000000000004</v>
      </c>
      <c r="E45" s="7">
        <v>0</v>
      </c>
      <c r="F45" s="5" t="s">
        <v>8</v>
      </c>
    </row>
    <row r="46" spans="1:6" x14ac:dyDescent="0.25">
      <c r="A46" s="1" t="s">
        <v>62</v>
      </c>
      <c r="B46" s="4">
        <v>500</v>
      </c>
      <c r="C46" s="1" t="s">
        <v>7</v>
      </c>
      <c r="D46" s="2">
        <v>3.2</v>
      </c>
      <c r="E46" s="2">
        <v>1600</v>
      </c>
      <c r="F46" s="1" t="s">
        <v>8</v>
      </c>
    </row>
    <row r="47" spans="1:6" x14ac:dyDescent="0.25">
      <c r="A47" s="5" t="s">
        <v>63</v>
      </c>
      <c r="B47" s="6">
        <v>4</v>
      </c>
      <c r="C47" s="5" t="s">
        <v>43</v>
      </c>
      <c r="D47" s="7">
        <v>187.9</v>
      </c>
      <c r="E47" s="7">
        <v>751.58</v>
      </c>
      <c r="F47" s="5" t="s">
        <v>8</v>
      </c>
    </row>
    <row r="48" spans="1:6" x14ac:dyDescent="0.25">
      <c r="A48" s="1" t="s">
        <v>64</v>
      </c>
      <c r="B48" s="4">
        <v>2</v>
      </c>
      <c r="C48" s="1" t="s">
        <v>43</v>
      </c>
      <c r="D48" s="2">
        <v>46.67</v>
      </c>
      <c r="E48" s="2">
        <v>93.35</v>
      </c>
      <c r="F48" s="1" t="s">
        <v>8</v>
      </c>
    </row>
    <row r="49" spans="1:6" x14ac:dyDescent="0.25">
      <c r="A49" s="5" t="s">
        <v>65</v>
      </c>
      <c r="B49" s="6">
        <v>40</v>
      </c>
      <c r="C49" s="5" t="s">
        <v>15</v>
      </c>
      <c r="D49" s="7">
        <v>40</v>
      </c>
      <c r="E49" s="7">
        <v>1600</v>
      </c>
      <c r="F49" s="5" t="s">
        <v>13</v>
      </c>
    </row>
    <row r="50" spans="1:6" x14ac:dyDescent="0.25">
      <c r="A50" s="1" t="s">
        <v>66</v>
      </c>
      <c r="B50" s="4">
        <v>53.5</v>
      </c>
      <c r="C50" s="1" t="s">
        <v>15</v>
      </c>
      <c r="D50" s="2">
        <v>28.14</v>
      </c>
      <c r="E50" s="2">
        <v>1505.65</v>
      </c>
      <c r="F50" s="1" t="s">
        <v>8</v>
      </c>
    </row>
    <row r="51" spans="1:6" x14ac:dyDescent="0.25">
      <c r="A51" s="5" t="s">
        <v>67</v>
      </c>
      <c r="B51" s="6">
        <v>38.5</v>
      </c>
      <c r="C51" s="5" t="s">
        <v>15</v>
      </c>
      <c r="D51" s="7">
        <v>341.8</v>
      </c>
      <c r="E51" s="7">
        <v>13159.4</v>
      </c>
      <c r="F51" s="5" t="s">
        <v>18</v>
      </c>
    </row>
    <row r="52" spans="1:6" x14ac:dyDescent="0.25">
      <c r="A52" s="1" t="s">
        <v>68</v>
      </c>
      <c r="B52" s="4">
        <v>2.35</v>
      </c>
      <c r="C52" s="1" t="s">
        <v>15</v>
      </c>
      <c r="D52" s="2">
        <v>459.5</v>
      </c>
      <c r="E52" s="2">
        <v>1079.83</v>
      </c>
      <c r="F52" s="1" t="s">
        <v>13</v>
      </c>
    </row>
    <row r="53" spans="1:6" x14ac:dyDescent="0.25">
      <c r="A53" s="5" t="s">
        <v>69</v>
      </c>
      <c r="B53" s="6">
        <v>2</v>
      </c>
      <c r="C53" s="5" t="s">
        <v>15</v>
      </c>
      <c r="D53" s="7">
        <v>0</v>
      </c>
      <c r="E53" s="7">
        <v>0</v>
      </c>
      <c r="F53" s="5" t="s">
        <v>8</v>
      </c>
    </row>
    <row r="54" spans="1:6" x14ac:dyDescent="0.25">
      <c r="A54" s="1" t="s">
        <v>70</v>
      </c>
      <c r="B54" s="4">
        <v>12</v>
      </c>
      <c r="C54" s="1" t="s">
        <v>43</v>
      </c>
      <c r="D54" s="2">
        <v>280</v>
      </c>
      <c r="E54" s="2">
        <v>3360</v>
      </c>
      <c r="F54" s="1" t="s">
        <v>8</v>
      </c>
    </row>
    <row r="55" spans="1:6" x14ac:dyDescent="0.25">
      <c r="A55" s="5" t="s">
        <v>71</v>
      </c>
      <c r="B55" s="6">
        <v>0</v>
      </c>
      <c r="C55" s="5" t="s">
        <v>7</v>
      </c>
      <c r="D55" s="7">
        <v>12.54</v>
      </c>
      <c r="E55" s="7">
        <v>0</v>
      </c>
      <c r="F55" s="5" t="s">
        <v>8</v>
      </c>
    </row>
    <row r="56" spans="1:6" x14ac:dyDescent="0.25">
      <c r="A56" s="1" t="s">
        <v>72</v>
      </c>
      <c r="B56" s="4">
        <v>0</v>
      </c>
      <c r="C56" s="1" t="s">
        <v>7</v>
      </c>
      <c r="D56" s="2">
        <v>16.14</v>
      </c>
      <c r="E56" s="2">
        <v>0</v>
      </c>
      <c r="F56" s="1" t="s">
        <v>13</v>
      </c>
    </row>
    <row r="57" spans="1:6" x14ac:dyDescent="0.25">
      <c r="A57" s="5" t="s">
        <v>73</v>
      </c>
      <c r="B57" s="6">
        <v>58</v>
      </c>
      <c r="C57" s="5" t="s">
        <v>7</v>
      </c>
      <c r="D57" s="7">
        <v>286.7</v>
      </c>
      <c r="E57" s="7">
        <v>16628.5</v>
      </c>
      <c r="F57" s="5" t="s">
        <v>32</v>
      </c>
    </row>
    <row r="58" spans="1:6" x14ac:dyDescent="0.25">
      <c r="A58" s="1" t="s">
        <v>74</v>
      </c>
      <c r="B58" s="4">
        <v>17</v>
      </c>
      <c r="C58" s="1" t="s">
        <v>7</v>
      </c>
      <c r="D58" s="2">
        <v>320</v>
      </c>
      <c r="E58" s="2">
        <v>5440</v>
      </c>
      <c r="F58" s="1" t="s">
        <v>8</v>
      </c>
    </row>
    <row r="59" spans="1:6" x14ac:dyDescent="0.25">
      <c r="A59" s="5" t="s">
        <v>75</v>
      </c>
      <c r="B59" s="6">
        <v>1</v>
      </c>
      <c r="C59" s="5" t="s">
        <v>43</v>
      </c>
      <c r="D59" s="7">
        <v>95.71</v>
      </c>
      <c r="E59" s="7">
        <v>95.71</v>
      </c>
      <c r="F59" s="5" t="s">
        <v>8</v>
      </c>
    </row>
    <row r="60" spans="1:6" x14ac:dyDescent="0.25">
      <c r="A60" s="1" t="s">
        <v>76</v>
      </c>
      <c r="B60" s="4">
        <v>1</v>
      </c>
      <c r="C60" s="1" t="s">
        <v>77</v>
      </c>
      <c r="D60" s="2">
        <v>563.71</v>
      </c>
      <c r="E60" s="2">
        <v>563.71</v>
      </c>
      <c r="F60" s="1" t="s">
        <v>13</v>
      </c>
    </row>
    <row r="61" spans="1:6" x14ac:dyDescent="0.25">
      <c r="A61" s="5" t="s">
        <v>78</v>
      </c>
      <c r="B61" s="6">
        <v>0</v>
      </c>
      <c r="C61" s="5" t="s">
        <v>12</v>
      </c>
      <c r="D61" s="7">
        <v>190</v>
      </c>
      <c r="E61" s="7">
        <v>0</v>
      </c>
      <c r="F61" s="5" t="s">
        <v>8</v>
      </c>
    </row>
    <row r="62" spans="1:6" x14ac:dyDescent="0.25">
      <c r="A62" s="1" t="s">
        <v>79</v>
      </c>
      <c r="B62" s="4">
        <v>109</v>
      </c>
      <c r="C62" s="1" t="s">
        <v>15</v>
      </c>
      <c r="D62" s="2">
        <v>35</v>
      </c>
      <c r="E62" s="2">
        <v>3815</v>
      </c>
      <c r="F62" s="1" t="s">
        <v>34</v>
      </c>
    </row>
    <row r="63" spans="1:6" x14ac:dyDescent="0.25">
      <c r="A63" s="5" t="s">
        <v>80</v>
      </c>
      <c r="B63" s="6">
        <v>62</v>
      </c>
      <c r="C63" s="5" t="s">
        <v>43</v>
      </c>
      <c r="D63" s="7">
        <v>79.78</v>
      </c>
      <c r="E63" s="7">
        <v>4946.3</v>
      </c>
      <c r="F63" s="5" t="s">
        <v>18</v>
      </c>
    </row>
    <row r="64" spans="1:6" x14ac:dyDescent="0.25">
      <c r="A64" s="1" t="s">
        <v>81</v>
      </c>
      <c r="B64" s="4">
        <v>9.1</v>
      </c>
      <c r="C64" s="1" t="s">
        <v>15</v>
      </c>
      <c r="D64" s="2">
        <v>42.5</v>
      </c>
      <c r="E64" s="2">
        <v>386.75</v>
      </c>
      <c r="F64" s="1" t="s">
        <v>34</v>
      </c>
    </row>
    <row r="65" spans="1:6" x14ac:dyDescent="0.25">
      <c r="A65" s="5" t="s">
        <v>82</v>
      </c>
      <c r="B65" s="6">
        <v>0</v>
      </c>
      <c r="C65" s="5" t="s">
        <v>12</v>
      </c>
      <c r="D65" s="7">
        <v>288</v>
      </c>
      <c r="E65" s="7">
        <v>0</v>
      </c>
      <c r="F65" s="5" t="s">
        <v>8</v>
      </c>
    </row>
    <row r="66" spans="1:6" x14ac:dyDescent="0.25">
      <c r="A66" s="1" t="s">
        <v>83</v>
      </c>
      <c r="B66" s="4">
        <v>18.350000000000001</v>
      </c>
      <c r="C66" s="1" t="s">
        <v>15</v>
      </c>
      <c r="D66" s="2">
        <v>48.24</v>
      </c>
      <c r="E66" s="2">
        <v>885.19</v>
      </c>
      <c r="F66" s="1" t="s">
        <v>34</v>
      </c>
    </row>
    <row r="67" spans="1:6" x14ac:dyDescent="0.25">
      <c r="A67" s="5" t="s">
        <v>84</v>
      </c>
      <c r="B67" s="6">
        <v>11</v>
      </c>
      <c r="C67" s="5" t="s">
        <v>15</v>
      </c>
      <c r="D67" s="7">
        <v>621.76</v>
      </c>
      <c r="E67" s="7">
        <v>6839.32</v>
      </c>
      <c r="F67" s="5" t="s">
        <v>8</v>
      </c>
    </row>
    <row r="68" spans="1:6" x14ac:dyDescent="0.25">
      <c r="A68" s="1" t="s">
        <v>85</v>
      </c>
      <c r="B68" s="4">
        <v>6.75</v>
      </c>
      <c r="C68" s="1" t="s">
        <v>15</v>
      </c>
      <c r="D68" s="2">
        <v>58.51</v>
      </c>
      <c r="E68" s="2">
        <v>394.96</v>
      </c>
      <c r="F68" s="1" t="s">
        <v>34</v>
      </c>
    </row>
    <row r="69" spans="1:6" x14ac:dyDescent="0.25">
      <c r="A69" s="5" t="s">
        <v>86</v>
      </c>
      <c r="B69" s="6">
        <v>30.1</v>
      </c>
      <c r="C69" s="5" t="s">
        <v>15</v>
      </c>
      <c r="D69" s="7">
        <v>85.5</v>
      </c>
      <c r="E69" s="7">
        <v>2573.5500000000002</v>
      </c>
      <c r="F69" s="5" t="s">
        <v>13</v>
      </c>
    </row>
    <row r="70" spans="1:6" x14ac:dyDescent="0.25">
      <c r="A70" s="1" t="s">
        <v>87</v>
      </c>
      <c r="B70" s="4">
        <v>24.39</v>
      </c>
      <c r="C70" s="1" t="s">
        <v>15</v>
      </c>
      <c r="D70" s="2">
        <v>74</v>
      </c>
      <c r="E70" s="2">
        <v>1804.86</v>
      </c>
      <c r="F70" s="1" t="s">
        <v>8</v>
      </c>
    </row>
    <row r="71" spans="1:6" x14ac:dyDescent="0.25">
      <c r="A71" s="5" t="s">
        <v>88</v>
      </c>
      <c r="B71" s="6">
        <v>3.7</v>
      </c>
      <c r="C71" s="5" t="s">
        <v>15</v>
      </c>
      <c r="D71" s="7">
        <v>604.29</v>
      </c>
      <c r="E71" s="7">
        <v>2235.86</v>
      </c>
      <c r="F71" s="5" t="s">
        <v>8</v>
      </c>
    </row>
    <row r="72" spans="1:6" x14ac:dyDescent="0.25">
      <c r="A72" s="1" t="s">
        <v>89</v>
      </c>
      <c r="B72" s="4">
        <v>4</v>
      </c>
      <c r="C72" s="1" t="s">
        <v>90</v>
      </c>
      <c r="D72" s="2">
        <v>276.16000000000003</v>
      </c>
      <c r="E72" s="2">
        <v>1104.6199999999999</v>
      </c>
      <c r="F72" s="1" t="s">
        <v>8</v>
      </c>
    </row>
    <row r="73" spans="1:6" x14ac:dyDescent="0.25">
      <c r="A73" s="5" t="s">
        <v>91</v>
      </c>
      <c r="B73" s="6">
        <v>3</v>
      </c>
      <c r="C73" s="5" t="s">
        <v>43</v>
      </c>
      <c r="D73" s="7">
        <v>403.97</v>
      </c>
      <c r="E73" s="7">
        <v>1211.92</v>
      </c>
      <c r="F73" s="5" t="s">
        <v>8</v>
      </c>
    </row>
    <row r="74" spans="1:6" x14ac:dyDescent="0.25">
      <c r="A74" s="1" t="s">
        <v>92</v>
      </c>
      <c r="B74" s="4">
        <v>0</v>
      </c>
      <c r="C74" s="1" t="s">
        <v>15</v>
      </c>
      <c r="D74" s="2">
        <v>113.5</v>
      </c>
      <c r="E74" s="2">
        <v>0</v>
      </c>
      <c r="F74" s="1" t="s">
        <v>34</v>
      </c>
    </row>
    <row r="75" spans="1:6" x14ac:dyDescent="0.25">
      <c r="A75" s="5" t="s">
        <v>93</v>
      </c>
      <c r="B75" s="6">
        <v>0</v>
      </c>
      <c r="C75" s="5" t="s">
        <v>15</v>
      </c>
      <c r="D75" s="7">
        <v>238.82</v>
      </c>
      <c r="E75" s="7">
        <v>0</v>
      </c>
      <c r="F75" s="5" t="s">
        <v>8</v>
      </c>
    </row>
    <row r="76" spans="1:6" x14ac:dyDescent="0.25">
      <c r="A76" s="1" t="s">
        <v>94</v>
      </c>
      <c r="B76" s="4">
        <v>0</v>
      </c>
      <c r="C76" s="1" t="s">
        <v>15</v>
      </c>
      <c r="D76" s="2">
        <v>238.3</v>
      </c>
      <c r="E76" s="2">
        <v>0</v>
      </c>
      <c r="F76" s="1" t="s">
        <v>8</v>
      </c>
    </row>
    <row r="77" spans="1:6" x14ac:dyDescent="0.25">
      <c r="A77" s="5" t="s">
        <v>95</v>
      </c>
      <c r="B77" s="6">
        <v>12.2</v>
      </c>
      <c r="C77" s="5" t="s">
        <v>15</v>
      </c>
      <c r="D77" s="7">
        <v>230.77</v>
      </c>
      <c r="E77" s="7">
        <v>2815.37</v>
      </c>
      <c r="F77" s="5" t="s">
        <v>8</v>
      </c>
    </row>
    <row r="78" spans="1:6" x14ac:dyDescent="0.25">
      <c r="A78" s="1" t="s">
        <v>96</v>
      </c>
      <c r="B78" s="4">
        <v>0</v>
      </c>
      <c r="C78" s="1" t="s">
        <v>15</v>
      </c>
      <c r="D78" s="2">
        <v>50</v>
      </c>
      <c r="E78" s="2">
        <v>0</v>
      </c>
      <c r="F78" s="1" t="s">
        <v>18</v>
      </c>
    </row>
    <row r="79" spans="1:6" x14ac:dyDescent="0.25">
      <c r="A79" s="5" t="s">
        <v>97</v>
      </c>
      <c r="B79" s="6">
        <v>3</v>
      </c>
      <c r="C79" s="5" t="s">
        <v>15</v>
      </c>
      <c r="D79" s="7">
        <v>408.57</v>
      </c>
      <c r="E79" s="7">
        <v>1225.71</v>
      </c>
      <c r="F79" s="5" t="s">
        <v>8</v>
      </c>
    </row>
    <row r="80" spans="1:6" x14ac:dyDescent="0.25">
      <c r="A80" s="1" t="s">
        <v>98</v>
      </c>
      <c r="B80" s="4">
        <v>100</v>
      </c>
      <c r="C80" s="1" t="s">
        <v>43</v>
      </c>
      <c r="D80" s="2">
        <v>1.6</v>
      </c>
      <c r="E80" s="2">
        <v>160</v>
      </c>
      <c r="F80" s="1" t="s">
        <v>8</v>
      </c>
    </row>
    <row r="81" spans="1:6" x14ac:dyDescent="0.25">
      <c r="A81" s="5" t="s">
        <v>99</v>
      </c>
      <c r="B81" s="6">
        <v>249.84</v>
      </c>
      <c r="C81" s="5" t="s">
        <v>15</v>
      </c>
      <c r="D81" s="7">
        <v>260</v>
      </c>
      <c r="E81" s="7">
        <v>64958.400000000001</v>
      </c>
      <c r="F81" s="5" t="s">
        <v>13</v>
      </c>
    </row>
    <row r="82" spans="1:6" x14ac:dyDescent="0.25">
      <c r="A82" s="1" t="s">
        <v>100</v>
      </c>
      <c r="B82" s="4">
        <v>3600</v>
      </c>
      <c r="C82" s="1" t="s">
        <v>7</v>
      </c>
      <c r="D82" s="2">
        <v>6.6</v>
      </c>
      <c r="E82" s="2">
        <v>23760</v>
      </c>
      <c r="F82" s="1" t="s">
        <v>8</v>
      </c>
    </row>
    <row r="83" spans="1:6" x14ac:dyDescent="0.25">
      <c r="A83" s="5" t="s">
        <v>101</v>
      </c>
      <c r="B83" s="6">
        <v>2146</v>
      </c>
      <c r="C83" s="5" t="s">
        <v>7</v>
      </c>
      <c r="D83" s="7">
        <v>4</v>
      </c>
      <c r="E83" s="7">
        <v>8584</v>
      </c>
      <c r="F83" s="5" t="s">
        <v>8</v>
      </c>
    </row>
    <row r="84" spans="1:6" x14ac:dyDescent="0.25">
      <c r="A84" s="1" t="s">
        <v>102</v>
      </c>
      <c r="B84" s="4">
        <v>200</v>
      </c>
      <c r="C84" s="1" t="s">
        <v>7</v>
      </c>
      <c r="D84" s="2">
        <v>12.43</v>
      </c>
      <c r="E84" s="2">
        <v>2485.2399999999998</v>
      </c>
      <c r="F84" s="1" t="s">
        <v>8</v>
      </c>
    </row>
    <row r="85" spans="1:6" x14ac:dyDescent="0.25">
      <c r="A85" s="5" t="s">
        <v>103</v>
      </c>
      <c r="B85" s="6">
        <v>0</v>
      </c>
      <c r="C85" s="5" t="s">
        <v>77</v>
      </c>
      <c r="D85" s="7">
        <v>609.20000000000005</v>
      </c>
      <c r="E85" s="7">
        <v>0</v>
      </c>
      <c r="F85" s="5" t="s">
        <v>8</v>
      </c>
    </row>
    <row r="86" spans="1:6" x14ac:dyDescent="0.25">
      <c r="A86" s="1" t="s">
        <v>104</v>
      </c>
      <c r="B86" s="4">
        <v>3</v>
      </c>
      <c r="C86" s="1" t="s">
        <v>12</v>
      </c>
      <c r="D86" s="2">
        <v>252.67</v>
      </c>
      <c r="E86" s="2">
        <v>758</v>
      </c>
      <c r="F86" s="1" t="s">
        <v>8</v>
      </c>
    </row>
    <row r="87" spans="1:6" x14ac:dyDescent="0.25">
      <c r="A87" s="5" t="s">
        <v>105</v>
      </c>
      <c r="B87" s="6">
        <v>3.4</v>
      </c>
      <c r="C87" s="5" t="s">
        <v>15</v>
      </c>
      <c r="D87" s="7">
        <v>626.66999999999996</v>
      </c>
      <c r="E87" s="7">
        <v>2130.67</v>
      </c>
      <c r="F87" s="5" t="s">
        <v>8</v>
      </c>
    </row>
    <row r="88" spans="1:6" x14ac:dyDescent="0.25">
      <c r="A88" s="1" t="s">
        <v>106</v>
      </c>
      <c r="B88" s="4">
        <v>0</v>
      </c>
      <c r="C88" s="1" t="s">
        <v>15</v>
      </c>
      <c r="D88" s="2">
        <v>0</v>
      </c>
      <c r="E88" s="2">
        <v>0</v>
      </c>
      <c r="F88" s="1" t="s">
        <v>8</v>
      </c>
    </row>
    <row r="89" spans="1:6" x14ac:dyDescent="0.25">
      <c r="A89" s="5" t="s">
        <v>107</v>
      </c>
      <c r="B89" s="6">
        <v>6</v>
      </c>
      <c r="C89" s="5" t="s">
        <v>7</v>
      </c>
      <c r="D89" s="7">
        <v>130</v>
      </c>
      <c r="E89" s="7">
        <v>780</v>
      </c>
      <c r="F89" s="5" t="s">
        <v>8</v>
      </c>
    </row>
    <row r="90" spans="1:6" x14ac:dyDescent="0.25">
      <c r="A90" s="1" t="s">
        <v>108</v>
      </c>
      <c r="B90" s="4">
        <v>27</v>
      </c>
      <c r="C90" s="1" t="s">
        <v>7</v>
      </c>
      <c r="D90" s="2">
        <v>30</v>
      </c>
      <c r="E90" s="2">
        <v>810</v>
      </c>
      <c r="F90" s="1" t="s">
        <v>8</v>
      </c>
    </row>
    <row r="91" spans="1:6" x14ac:dyDescent="0.25">
      <c r="A91" s="5" t="s">
        <v>109</v>
      </c>
      <c r="B91" s="6">
        <v>4</v>
      </c>
      <c r="C91" s="5" t="s">
        <v>7</v>
      </c>
      <c r="D91" s="7">
        <v>0</v>
      </c>
      <c r="E91" s="7">
        <v>0</v>
      </c>
      <c r="F91" s="5" t="s">
        <v>8</v>
      </c>
    </row>
    <row r="92" spans="1:6" x14ac:dyDescent="0.25">
      <c r="A92" s="1" t="s">
        <v>110</v>
      </c>
      <c r="B92" s="4">
        <v>320</v>
      </c>
      <c r="C92" s="1" t="s">
        <v>15</v>
      </c>
      <c r="D92" s="2">
        <v>40</v>
      </c>
      <c r="E92" s="2">
        <v>12800</v>
      </c>
      <c r="F92" s="1" t="s">
        <v>8</v>
      </c>
    </row>
    <row r="93" spans="1:6" x14ac:dyDescent="0.25">
      <c r="A93" s="5" t="s">
        <v>111</v>
      </c>
      <c r="B93" s="6">
        <v>24</v>
      </c>
      <c r="C93" s="5" t="s">
        <v>7</v>
      </c>
      <c r="D93" s="7">
        <v>34.200000000000003</v>
      </c>
      <c r="E93" s="7">
        <v>820.8</v>
      </c>
      <c r="F93" s="5" t="s">
        <v>18</v>
      </c>
    </row>
    <row r="94" spans="1:6" x14ac:dyDescent="0.25">
      <c r="A94" s="1" t="s">
        <v>112</v>
      </c>
      <c r="B94" s="4">
        <v>7</v>
      </c>
      <c r="C94" s="1" t="s">
        <v>7</v>
      </c>
      <c r="D94" s="2">
        <v>48.33</v>
      </c>
      <c r="E94" s="2">
        <v>338.33</v>
      </c>
      <c r="F94" s="1" t="s">
        <v>8</v>
      </c>
    </row>
    <row r="95" spans="1:6" x14ac:dyDescent="0.25">
      <c r="A95" s="5" t="s">
        <v>113</v>
      </c>
      <c r="B95" s="6">
        <v>18</v>
      </c>
      <c r="C95" s="5" t="s">
        <v>20</v>
      </c>
      <c r="D95" s="7">
        <v>840</v>
      </c>
      <c r="E95" s="7">
        <v>15120</v>
      </c>
      <c r="F95" s="5" t="s">
        <v>18</v>
      </c>
    </row>
    <row r="96" spans="1:6" x14ac:dyDescent="0.25">
      <c r="A96" s="1" t="s">
        <v>114</v>
      </c>
      <c r="B96" s="4">
        <v>6.6</v>
      </c>
      <c r="C96" s="1" t="s">
        <v>15</v>
      </c>
      <c r="D96" s="2">
        <v>325.22000000000003</v>
      </c>
      <c r="E96" s="2">
        <v>2146.4699999999998</v>
      </c>
      <c r="F96" s="1" t="s">
        <v>8</v>
      </c>
    </row>
    <row r="97" spans="1:6" x14ac:dyDescent="0.25">
      <c r="A97" s="5" t="s">
        <v>115</v>
      </c>
      <c r="B97" s="6">
        <v>11</v>
      </c>
      <c r="C97" s="5" t="s">
        <v>43</v>
      </c>
      <c r="D97" s="7">
        <v>77.56</v>
      </c>
      <c r="E97" s="7">
        <v>853.14</v>
      </c>
      <c r="F97" s="5" t="s">
        <v>8</v>
      </c>
    </row>
    <row r="98" spans="1:6" x14ac:dyDescent="0.25">
      <c r="A98" s="1" t="s">
        <v>116</v>
      </c>
      <c r="B98" s="4">
        <v>19</v>
      </c>
      <c r="C98" s="1" t="s">
        <v>15</v>
      </c>
      <c r="D98" s="2">
        <v>837.33</v>
      </c>
      <c r="E98" s="2">
        <v>15909.3</v>
      </c>
      <c r="F98" s="1" t="s">
        <v>8</v>
      </c>
    </row>
    <row r="99" spans="1:6" x14ac:dyDescent="0.25">
      <c r="A99" s="5" t="s">
        <v>117</v>
      </c>
      <c r="B99" s="6">
        <v>220</v>
      </c>
      <c r="C99" s="5" t="s">
        <v>12</v>
      </c>
      <c r="D99" s="7">
        <v>18.170000000000002</v>
      </c>
      <c r="E99" s="7">
        <v>3997.73</v>
      </c>
      <c r="F99" s="5" t="s">
        <v>8</v>
      </c>
    </row>
    <row r="100" spans="1:6" x14ac:dyDescent="0.25">
      <c r="A100" s="1" t="s">
        <v>118</v>
      </c>
      <c r="B100" s="4">
        <v>1377</v>
      </c>
      <c r="C100" s="1" t="s">
        <v>7</v>
      </c>
      <c r="D100" s="2">
        <v>0</v>
      </c>
      <c r="E100" s="2">
        <v>0</v>
      </c>
      <c r="F100" s="1" t="s">
        <v>8</v>
      </c>
    </row>
    <row r="101" spans="1:6" x14ac:dyDescent="0.25">
      <c r="A101" s="5" t="s">
        <v>119</v>
      </c>
      <c r="B101" s="6">
        <v>58</v>
      </c>
      <c r="C101" s="5" t="s">
        <v>15</v>
      </c>
      <c r="D101" s="7">
        <v>333.29</v>
      </c>
      <c r="E101" s="7">
        <v>19331.099999999999</v>
      </c>
      <c r="F101" s="5" t="s">
        <v>8</v>
      </c>
    </row>
    <row r="102" spans="1:6" x14ac:dyDescent="0.25">
      <c r="A102" s="1" t="s">
        <v>120</v>
      </c>
      <c r="B102" s="4">
        <v>10</v>
      </c>
      <c r="C102" s="1" t="s">
        <v>15</v>
      </c>
      <c r="D102" s="2">
        <v>932.26</v>
      </c>
      <c r="E102" s="2">
        <v>9322.5499999999993</v>
      </c>
      <c r="F102" s="1" t="s">
        <v>8</v>
      </c>
    </row>
    <row r="103" spans="1:6" x14ac:dyDescent="0.25">
      <c r="A103" s="5" t="s">
        <v>121</v>
      </c>
      <c r="B103" s="6">
        <v>1</v>
      </c>
      <c r="C103" s="5" t="s">
        <v>15</v>
      </c>
      <c r="D103" s="7">
        <v>350</v>
      </c>
      <c r="E103" s="7">
        <v>350</v>
      </c>
      <c r="F103" s="5" t="s">
        <v>8</v>
      </c>
    </row>
    <row r="104" spans="1:6" x14ac:dyDescent="0.25">
      <c r="A104" s="1" t="s">
        <v>122</v>
      </c>
      <c r="B104" s="4">
        <v>0.8</v>
      </c>
      <c r="C104" s="1" t="s">
        <v>15</v>
      </c>
      <c r="D104" s="2">
        <v>32.200000000000003</v>
      </c>
      <c r="E104" s="2">
        <v>25.76</v>
      </c>
      <c r="F104" s="1" t="s">
        <v>8</v>
      </c>
    </row>
    <row r="105" spans="1:6" x14ac:dyDescent="0.25">
      <c r="A105" s="5" t="s">
        <v>123</v>
      </c>
      <c r="B105" s="6">
        <v>10</v>
      </c>
      <c r="C105" s="5" t="s">
        <v>7</v>
      </c>
      <c r="D105" s="7">
        <v>170.63</v>
      </c>
      <c r="E105" s="7">
        <v>1706.25</v>
      </c>
      <c r="F105" s="5" t="s">
        <v>8</v>
      </c>
    </row>
    <row r="106" spans="1:6" x14ac:dyDescent="0.25">
      <c r="A106" s="1" t="s">
        <v>124</v>
      </c>
      <c r="B106" s="4">
        <v>0</v>
      </c>
      <c r="C106" s="1" t="s">
        <v>15</v>
      </c>
      <c r="D106" s="2">
        <v>0</v>
      </c>
      <c r="E106" s="2">
        <v>0</v>
      </c>
      <c r="F106" s="1" t="s">
        <v>8</v>
      </c>
    </row>
    <row r="107" spans="1:6" x14ac:dyDescent="0.25">
      <c r="A107" s="5" t="s">
        <v>125</v>
      </c>
      <c r="B107" s="6">
        <v>5</v>
      </c>
      <c r="C107" s="5" t="s">
        <v>15</v>
      </c>
      <c r="D107" s="7">
        <v>68</v>
      </c>
      <c r="E107" s="7">
        <v>340</v>
      </c>
      <c r="F107" s="5" t="s">
        <v>34</v>
      </c>
    </row>
    <row r="108" spans="1:6" x14ac:dyDescent="0.25">
      <c r="A108" s="1" t="s">
        <v>126</v>
      </c>
      <c r="B108" s="4">
        <v>324</v>
      </c>
      <c r="C108" s="1" t="s">
        <v>7</v>
      </c>
      <c r="D108" s="2">
        <v>10.98</v>
      </c>
      <c r="E108" s="2">
        <v>3558.17</v>
      </c>
      <c r="F108" s="1" t="s">
        <v>34</v>
      </c>
    </row>
    <row r="109" spans="1:6" x14ac:dyDescent="0.25">
      <c r="A109" s="5" t="s">
        <v>127</v>
      </c>
      <c r="B109" s="6">
        <v>2</v>
      </c>
      <c r="C109" s="5" t="s">
        <v>15</v>
      </c>
      <c r="D109" s="7">
        <v>125</v>
      </c>
      <c r="E109" s="7">
        <v>250</v>
      </c>
      <c r="F109" s="5" t="s">
        <v>13</v>
      </c>
    </row>
    <row r="110" spans="1:6" x14ac:dyDescent="0.25">
      <c r="A110" s="1" t="s">
        <v>128</v>
      </c>
      <c r="B110" s="4">
        <v>2.0249999999999999</v>
      </c>
      <c r="C110" s="1" t="s">
        <v>15</v>
      </c>
      <c r="D110" s="2">
        <v>143.33000000000001</v>
      </c>
      <c r="E110" s="2">
        <v>290.25</v>
      </c>
      <c r="F110" s="1" t="s">
        <v>8</v>
      </c>
    </row>
    <row r="111" spans="1:6" x14ac:dyDescent="0.25">
      <c r="A111" s="5" t="s">
        <v>129</v>
      </c>
      <c r="B111" s="6">
        <v>3.76</v>
      </c>
      <c r="C111" s="5" t="s">
        <v>15</v>
      </c>
      <c r="D111" s="7">
        <v>324.83</v>
      </c>
      <c r="E111" s="7">
        <v>1221.3699999999999</v>
      </c>
      <c r="F111" s="5" t="s">
        <v>13</v>
      </c>
    </row>
    <row r="112" spans="1:6" x14ac:dyDescent="0.25">
      <c r="A112" s="1" t="s">
        <v>130</v>
      </c>
      <c r="B112" s="4">
        <v>2.5</v>
      </c>
      <c r="C112" s="1" t="s">
        <v>15</v>
      </c>
      <c r="D112" s="2">
        <v>193.2</v>
      </c>
      <c r="E112" s="2">
        <v>483</v>
      </c>
      <c r="F112" s="1" t="s">
        <v>8</v>
      </c>
    </row>
    <row r="113" spans="1:6" x14ac:dyDescent="0.25">
      <c r="A113" s="5" t="s">
        <v>131</v>
      </c>
      <c r="B113" s="6">
        <v>1</v>
      </c>
      <c r="C113" s="5" t="s">
        <v>15</v>
      </c>
      <c r="D113" s="7">
        <v>280</v>
      </c>
      <c r="E113" s="7">
        <v>280</v>
      </c>
      <c r="F113" s="5" t="s">
        <v>8</v>
      </c>
    </row>
    <row r="114" spans="1:6" x14ac:dyDescent="0.25">
      <c r="A114" s="1" t="s">
        <v>132</v>
      </c>
      <c r="B114" s="4">
        <v>0</v>
      </c>
      <c r="C114" s="1" t="s">
        <v>77</v>
      </c>
      <c r="D114" s="2">
        <v>904.29</v>
      </c>
      <c r="E114" s="2">
        <v>0</v>
      </c>
      <c r="F114" s="1" t="s">
        <v>8</v>
      </c>
    </row>
    <row r="115" spans="1:6" x14ac:dyDescent="0.25">
      <c r="A115" s="5" t="s">
        <v>133</v>
      </c>
      <c r="B115" s="6">
        <v>1387</v>
      </c>
      <c r="C115" s="5" t="s">
        <v>7</v>
      </c>
      <c r="D115" s="7">
        <v>12.5</v>
      </c>
      <c r="E115" s="7">
        <v>17337.5</v>
      </c>
      <c r="F115" s="5" t="s">
        <v>8</v>
      </c>
    </row>
    <row r="116" spans="1:6" x14ac:dyDescent="0.25">
      <c r="A116" s="1" t="s">
        <v>134</v>
      </c>
      <c r="B116" s="4">
        <v>12.28</v>
      </c>
      <c r="C116" s="1" t="s">
        <v>15</v>
      </c>
      <c r="D116" s="2">
        <v>169.2</v>
      </c>
      <c r="E116" s="2">
        <v>2077.7800000000002</v>
      </c>
      <c r="F116" s="1" t="s">
        <v>8</v>
      </c>
    </row>
    <row r="117" spans="1:6" x14ac:dyDescent="0.25">
      <c r="A117" s="5" t="s">
        <v>135</v>
      </c>
      <c r="B117" s="6">
        <v>45.65</v>
      </c>
      <c r="C117" s="5" t="s">
        <v>15</v>
      </c>
      <c r="D117" s="7">
        <v>172.03</v>
      </c>
      <c r="E117" s="7">
        <v>7853.03</v>
      </c>
      <c r="F117" s="5" t="s">
        <v>13</v>
      </c>
    </row>
    <row r="118" spans="1:6" x14ac:dyDescent="0.25">
      <c r="A118" s="1" t="s">
        <v>136</v>
      </c>
      <c r="B118" s="4">
        <v>0</v>
      </c>
      <c r="C118" s="1" t="s">
        <v>15</v>
      </c>
      <c r="D118" s="2">
        <v>0</v>
      </c>
      <c r="E118" s="2">
        <v>0</v>
      </c>
      <c r="F118" s="1" t="s">
        <v>8</v>
      </c>
    </row>
    <row r="119" spans="1:6" x14ac:dyDescent="0.25">
      <c r="A119" s="5" t="s">
        <v>137</v>
      </c>
      <c r="B119" s="6">
        <v>1</v>
      </c>
      <c r="C119" s="5" t="s">
        <v>15</v>
      </c>
      <c r="D119" s="7">
        <v>35</v>
      </c>
      <c r="E119" s="7">
        <v>35</v>
      </c>
      <c r="F119" s="5" t="s">
        <v>13</v>
      </c>
    </row>
    <row r="120" spans="1:6" x14ac:dyDescent="0.25">
      <c r="A120" s="1" t="s">
        <v>138</v>
      </c>
      <c r="B120" s="4">
        <v>1030</v>
      </c>
      <c r="C120" s="1" t="s">
        <v>7</v>
      </c>
      <c r="D120" s="2">
        <v>5.94</v>
      </c>
      <c r="E120" s="2">
        <v>6116.87</v>
      </c>
      <c r="F120" s="1" t="s">
        <v>8</v>
      </c>
    </row>
    <row r="121" spans="1:6" x14ac:dyDescent="0.25">
      <c r="A121" s="5" t="s">
        <v>139</v>
      </c>
      <c r="B121" s="6">
        <v>0</v>
      </c>
      <c r="C121" s="5" t="s">
        <v>7</v>
      </c>
      <c r="D121" s="7">
        <v>60</v>
      </c>
      <c r="E121" s="7">
        <v>0</v>
      </c>
      <c r="F121" s="5" t="s">
        <v>8</v>
      </c>
    </row>
    <row r="122" spans="1:6" x14ac:dyDescent="0.25">
      <c r="A122" s="1" t="s">
        <v>140</v>
      </c>
      <c r="B122" s="4">
        <v>48.38</v>
      </c>
      <c r="C122" s="1" t="s">
        <v>15</v>
      </c>
      <c r="D122" s="2">
        <v>35.4</v>
      </c>
      <c r="E122" s="2">
        <v>1712.84</v>
      </c>
      <c r="F122" s="1" t="s">
        <v>8</v>
      </c>
    </row>
    <row r="123" spans="1:6" x14ac:dyDescent="0.25">
      <c r="A123" s="5" t="s">
        <v>141</v>
      </c>
      <c r="B123" s="6">
        <v>106.5</v>
      </c>
      <c r="C123" s="5" t="s">
        <v>15</v>
      </c>
      <c r="D123" s="7">
        <v>28.57</v>
      </c>
      <c r="E123" s="7">
        <v>3042.78</v>
      </c>
      <c r="F123" s="5" t="s">
        <v>8</v>
      </c>
    </row>
    <row r="124" spans="1:6" x14ac:dyDescent="0.25">
      <c r="A124" s="1" t="s">
        <v>142</v>
      </c>
      <c r="B124" s="4">
        <v>3</v>
      </c>
      <c r="C124" s="1" t="s">
        <v>15</v>
      </c>
      <c r="D124" s="2">
        <v>45.75</v>
      </c>
      <c r="E124" s="2">
        <v>137.25</v>
      </c>
      <c r="F124" s="1" t="s">
        <v>8</v>
      </c>
    </row>
    <row r="125" spans="1:6" x14ac:dyDescent="0.25">
      <c r="A125" s="5" t="s">
        <v>143</v>
      </c>
      <c r="B125" s="6">
        <v>14.5</v>
      </c>
      <c r="C125" s="5" t="s">
        <v>15</v>
      </c>
      <c r="D125" s="7">
        <v>332</v>
      </c>
      <c r="E125" s="7">
        <v>4814</v>
      </c>
      <c r="F125" s="5" t="s">
        <v>13</v>
      </c>
    </row>
    <row r="126" spans="1:6" x14ac:dyDescent="0.25">
      <c r="A126" s="1" t="s">
        <v>144</v>
      </c>
      <c r="B126" s="4">
        <v>0</v>
      </c>
      <c r="C126" s="1" t="s">
        <v>43</v>
      </c>
      <c r="D126" s="2">
        <v>360</v>
      </c>
      <c r="E126" s="2">
        <v>0</v>
      </c>
      <c r="F126" s="1" t="s">
        <v>8</v>
      </c>
    </row>
    <row r="127" spans="1:6" x14ac:dyDescent="0.25">
      <c r="A127" s="5" t="s">
        <v>145</v>
      </c>
      <c r="B127" s="6">
        <v>39</v>
      </c>
      <c r="C127" s="5" t="s">
        <v>43</v>
      </c>
      <c r="D127" s="7">
        <v>56.67</v>
      </c>
      <c r="E127" s="7">
        <v>2210</v>
      </c>
      <c r="F127" s="5" t="s">
        <v>8</v>
      </c>
    </row>
    <row r="128" spans="1:6" x14ac:dyDescent="0.25">
      <c r="A128" s="1" t="s">
        <v>146</v>
      </c>
      <c r="B128" s="4">
        <v>7</v>
      </c>
      <c r="C128" s="1" t="s">
        <v>7</v>
      </c>
      <c r="D128" s="2">
        <v>60</v>
      </c>
      <c r="E128" s="2">
        <v>420</v>
      </c>
      <c r="F128" s="1" t="s">
        <v>8</v>
      </c>
    </row>
    <row r="129" spans="1:6" x14ac:dyDescent="0.25">
      <c r="A129" s="5" t="s">
        <v>147</v>
      </c>
      <c r="B129" s="6">
        <v>0</v>
      </c>
      <c r="C129" s="5" t="s">
        <v>15</v>
      </c>
      <c r="D129" s="7">
        <v>80</v>
      </c>
      <c r="E129" s="7">
        <v>0</v>
      </c>
      <c r="F129" s="5" t="s">
        <v>8</v>
      </c>
    </row>
    <row r="130" spans="1:6" x14ac:dyDescent="0.25">
      <c r="A130" s="1" t="s">
        <v>148</v>
      </c>
      <c r="B130" s="4">
        <v>90</v>
      </c>
      <c r="C130" s="1" t="s">
        <v>7</v>
      </c>
      <c r="D130" s="2">
        <v>6.18</v>
      </c>
      <c r="E130" s="2">
        <v>556.6</v>
      </c>
      <c r="F130" s="1" t="s">
        <v>13</v>
      </c>
    </row>
    <row r="131" spans="1:6" x14ac:dyDescent="0.25">
      <c r="A131" s="5" t="s">
        <v>149</v>
      </c>
      <c r="B131" s="6">
        <v>3.3050000000000002</v>
      </c>
      <c r="C131" s="5" t="s">
        <v>15</v>
      </c>
      <c r="D131" s="7">
        <v>3540.23</v>
      </c>
      <c r="E131" s="7">
        <v>11700.5</v>
      </c>
      <c r="F131" s="5" t="s">
        <v>13</v>
      </c>
    </row>
    <row r="132" spans="1:6" x14ac:dyDescent="0.25">
      <c r="A132" s="1" t="s">
        <v>150</v>
      </c>
      <c r="B132" s="4">
        <v>349</v>
      </c>
      <c r="C132" s="1" t="s">
        <v>43</v>
      </c>
      <c r="D132" s="2">
        <v>2.85</v>
      </c>
      <c r="E132" s="2">
        <v>994.65</v>
      </c>
      <c r="F132" s="1" t="s">
        <v>8</v>
      </c>
    </row>
    <row r="133" spans="1:6" x14ac:dyDescent="0.25">
      <c r="A133" s="5" t="s">
        <v>151</v>
      </c>
      <c r="B133" s="6">
        <v>0</v>
      </c>
      <c r="C133" s="5" t="s">
        <v>15</v>
      </c>
      <c r="D133" s="7">
        <v>350</v>
      </c>
      <c r="E133" s="7">
        <v>0</v>
      </c>
      <c r="F133" s="5" t="s">
        <v>13</v>
      </c>
    </row>
    <row r="134" spans="1:6" x14ac:dyDescent="0.25">
      <c r="A134" s="1" t="s">
        <v>152</v>
      </c>
      <c r="B134" s="4">
        <v>3</v>
      </c>
      <c r="C134" s="1" t="s">
        <v>43</v>
      </c>
      <c r="D134" s="2">
        <v>271.62</v>
      </c>
      <c r="E134" s="2">
        <v>814.85</v>
      </c>
      <c r="F134" s="1" t="s">
        <v>32</v>
      </c>
    </row>
    <row r="135" spans="1:6" x14ac:dyDescent="0.25">
      <c r="A135" s="5" t="s">
        <v>153</v>
      </c>
      <c r="B135" s="6">
        <v>4</v>
      </c>
      <c r="C135" s="5" t="s">
        <v>15</v>
      </c>
      <c r="D135" s="7">
        <v>105</v>
      </c>
      <c r="E135" s="7">
        <v>420</v>
      </c>
      <c r="F135" s="5" t="s">
        <v>8</v>
      </c>
    </row>
    <row r="136" spans="1:6" x14ac:dyDescent="0.25">
      <c r="A136" s="1" t="s">
        <v>154</v>
      </c>
      <c r="B136" s="4">
        <v>0</v>
      </c>
      <c r="C136" s="1" t="s">
        <v>27</v>
      </c>
      <c r="D136" s="2">
        <v>240</v>
      </c>
      <c r="E136" s="2">
        <v>0</v>
      </c>
      <c r="F136" s="1" t="s">
        <v>8</v>
      </c>
    </row>
    <row r="137" spans="1:6" x14ac:dyDescent="0.25">
      <c r="A137" s="5" t="s">
        <v>155</v>
      </c>
      <c r="B137" s="6">
        <v>4</v>
      </c>
      <c r="C137" s="5" t="s">
        <v>7</v>
      </c>
      <c r="D137" s="7">
        <v>20</v>
      </c>
      <c r="E137" s="7">
        <v>80</v>
      </c>
      <c r="F137" s="5" t="s">
        <v>8</v>
      </c>
    </row>
    <row r="138" spans="1:6" x14ac:dyDescent="0.25">
      <c r="A138" s="1" t="s">
        <v>156</v>
      </c>
      <c r="B138" s="4">
        <v>2.5</v>
      </c>
      <c r="C138" s="1" t="s">
        <v>43</v>
      </c>
      <c r="D138" s="2">
        <v>478.75</v>
      </c>
      <c r="E138" s="2">
        <v>1196.8800000000001</v>
      </c>
      <c r="F138" s="1" t="s">
        <v>8</v>
      </c>
    </row>
    <row r="139" spans="1:6" x14ac:dyDescent="0.25">
      <c r="A139" s="5" t="s">
        <v>157</v>
      </c>
      <c r="B139" s="6">
        <v>65.44</v>
      </c>
      <c r="C139" s="5" t="s">
        <v>15</v>
      </c>
      <c r="D139" s="7">
        <v>75</v>
      </c>
      <c r="E139" s="7">
        <v>4908</v>
      </c>
      <c r="F139" s="5" t="s">
        <v>8</v>
      </c>
    </row>
    <row r="140" spans="1:6" x14ac:dyDescent="0.25">
      <c r="A140" s="1" t="s">
        <v>158</v>
      </c>
      <c r="B140" s="4">
        <v>29.5</v>
      </c>
      <c r="C140" s="1" t="s">
        <v>15</v>
      </c>
      <c r="D140" s="2">
        <v>176.59</v>
      </c>
      <c r="E140" s="2">
        <v>5209.43</v>
      </c>
      <c r="F140" s="1" t="s">
        <v>13</v>
      </c>
    </row>
    <row r="141" spans="1:6" x14ac:dyDescent="0.25">
      <c r="A141" s="5" t="s">
        <v>159</v>
      </c>
      <c r="B141" s="6">
        <v>19</v>
      </c>
      <c r="C141" s="5" t="s">
        <v>7</v>
      </c>
      <c r="D141" s="7">
        <v>41.94</v>
      </c>
      <c r="E141" s="7">
        <v>796.85</v>
      </c>
      <c r="F141" s="5" t="s">
        <v>13</v>
      </c>
    </row>
    <row r="142" spans="1:6" x14ac:dyDescent="0.25">
      <c r="A142" s="1" t="s">
        <v>160</v>
      </c>
      <c r="B142" s="4">
        <v>43.5</v>
      </c>
      <c r="C142" s="1" t="s">
        <v>15</v>
      </c>
      <c r="D142" s="2">
        <v>355.23</v>
      </c>
      <c r="E142" s="2">
        <v>15452.3</v>
      </c>
      <c r="F142" s="1" t="s">
        <v>32</v>
      </c>
    </row>
    <row r="143" spans="1:6" x14ac:dyDescent="0.25">
      <c r="A143" s="5" t="s">
        <v>161</v>
      </c>
      <c r="B143" s="6">
        <v>5.4</v>
      </c>
      <c r="C143" s="5" t="s">
        <v>15</v>
      </c>
      <c r="D143" s="7">
        <v>113.79</v>
      </c>
      <c r="E143" s="7">
        <v>614.44000000000005</v>
      </c>
      <c r="F143" s="5" t="s">
        <v>13</v>
      </c>
    </row>
    <row r="144" spans="1:6" x14ac:dyDescent="0.25">
      <c r="A144" s="1" t="s">
        <v>162</v>
      </c>
      <c r="B144" s="4">
        <v>2</v>
      </c>
      <c r="C144" s="1" t="s">
        <v>15</v>
      </c>
      <c r="D144" s="2">
        <v>415</v>
      </c>
      <c r="E144" s="2">
        <v>830</v>
      </c>
      <c r="F144" s="1" t="s">
        <v>8</v>
      </c>
    </row>
    <row r="145" spans="1:6" x14ac:dyDescent="0.25">
      <c r="A145" s="5" t="s">
        <v>163</v>
      </c>
      <c r="B145" s="6">
        <v>1</v>
      </c>
      <c r="C145" s="5" t="s">
        <v>12</v>
      </c>
      <c r="D145" s="7">
        <v>210</v>
      </c>
      <c r="E145" s="7">
        <v>210</v>
      </c>
      <c r="F145" s="5" t="s">
        <v>13</v>
      </c>
    </row>
    <row r="146" spans="1:6" x14ac:dyDescent="0.25">
      <c r="A146" s="1" t="s">
        <v>164</v>
      </c>
      <c r="B146" s="4">
        <v>0</v>
      </c>
      <c r="C146" s="1" t="s">
        <v>20</v>
      </c>
      <c r="D146" s="2">
        <v>73.78</v>
      </c>
      <c r="E146" s="2">
        <v>0</v>
      </c>
      <c r="F146" s="1" t="s">
        <v>34</v>
      </c>
    </row>
    <row r="147" spans="1:6" x14ac:dyDescent="0.25">
      <c r="A147" s="5" t="s">
        <v>165</v>
      </c>
      <c r="B147" s="6">
        <v>2</v>
      </c>
      <c r="C147" s="5" t="s">
        <v>15</v>
      </c>
      <c r="D147" s="7">
        <v>30</v>
      </c>
      <c r="E147" s="7">
        <v>60</v>
      </c>
      <c r="F147" s="5" t="s">
        <v>34</v>
      </c>
    </row>
    <row r="148" spans="1:6" x14ac:dyDescent="0.25">
      <c r="A148" s="1" t="s">
        <v>166</v>
      </c>
      <c r="B148" s="4">
        <v>17</v>
      </c>
      <c r="C148" s="1" t="s">
        <v>7</v>
      </c>
      <c r="D148" s="2">
        <v>110.29</v>
      </c>
      <c r="E148" s="2">
        <v>1874.86</v>
      </c>
      <c r="F148" s="1" t="s">
        <v>8</v>
      </c>
    </row>
    <row r="149" spans="1:6" x14ac:dyDescent="0.25">
      <c r="A149" s="5" t="s">
        <v>167</v>
      </c>
      <c r="B149" s="6">
        <v>15</v>
      </c>
      <c r="C149" s="5" t="s">
        <v>7</v>
      </c>
      <c r="D149" s="7">
        <v>76.19</v>
      </c>
      <c r="E149" s="7">
        <v>1142.92</v>
      </c>
      <c r="F149" s="5" t="s">
        <v>8</v>
      </c>
    </row>
    <row r="150" spans="1:6" x14ac:dyDescent="0.25">
      <c r="A150" s="1" t="s">
        <v>168</v>
      </c>
      <c r="B150" s="4">
        <v>34.5</v>
      </c>
      <c r="C150" s="1" t="s">
        <v>15</v>
      </c>
      <c r="D150" s="2">
        <v>61</v>
      </c>
      <c r="E150" s="2">
        <v>2104.5</v>
      </c>
      <c r="F150" s="1" t="s">
        <v>8</v>
      </c>
    </row>
    <row r="151" spans="1:6" x14ac:dyDescent="0.25">
      <c r="A151" s="5" t="s">
        <v>169</v>
      </c>
      <c r="B151" s="6">
        <v>37.5</v>
      </c>
      <c r="C151" s="5" t="s">
        <v>15</v>
      </c>
      <c r="D151" s="7">
        <v>57.02</v>
      </c>
      <c r="E151" s="7">
        <v>2138.1</v>
      </c>
      <c r="F151" s="5" t="s">
        <v>34</v>
      </c>
    </row>
    <row r="152" spans="1:6" x14ac:dyDescent="0.25">
      <c r="A152" s="1" t="s">
        <v>170</v>
      </c>
      <c r="B152" s="4">
        <v>21</v>
      </c>
      <c r="C152" s="1" t="s">
        <v>12</v>
      </c>
      <c r="D152" s="2">
        <v>37.17</v>
      </c>
      <c r="E152" s="2">
        <v>780.56</v>
      </c>
      <c r="F152" s="1" t="s">
        <v>13</v>
      </c>
    </row>
    <row r="153" spans="1:6" x14ac:dyDescent="0.25">
      <c r="A153" s="5" t="s">
        <v>171</v>
      </c>
      <c r="B153" s="6">
        <v>2</v>
      </c>
      <c r="C153" s="5" t="s">
        <v>12</v>
      </c>
      <c r="D153" s="7">
        <v>277.19</v>
      </c>
      <c r="E153" s="7">
        <v>554.38</v>
      </c>
      <c r="F153" s="5" t="s">
        <v>8</v>
      </c>
    </row>
    <row r="154" spans="1:6" x14ac:dyDescent="0.25">
      <c r="A154" s="1" t="s">
        <v>172</v>
      </c>
      <c r="B154" s="4">
        <v>0</v>
      </c>
      <c r="C154" s="1" t="s">
        <v>15</v>
      </c>
      <c r="D154" s="2">
        <v>148</v>
      </c>
      <c r="E154" s="2">
        <v>0</v>
      </c>
      <c r="F154" s="1" t="s">
        <v>13</v>
      </c>
    </row>
    <row r="155" spans="1:6" x14ac:dyDescent="0.25">
      <c r="A155" s="5" t="s">
        <v>173</v>
      </c>
      <c r="B155" s="6">
        <v>0</v>
      </c>
      <c r="C155" s="5" t="s">
        <v>15</v>
      </c>
      <c r="D155" s="7">
        <v>31.82</v>
      </c>
      <c r="E155" s="7">
        <v>0</v>
      </c>
      <c r="F155" s="5" t="s">
        <v>34</v>
      </c>
    </row>
    <row r="156" spans="1:6" x14ac:dyDescent="0.25">
      <c r="A156" s="1" t="s">
        <v>174</v>
      </c>
      <c r="B156" s="4">
        <v>10</v>
      </c>
      <c r="C156" s="1" t="s">
        <v>43</v>
      </c>
      <c r="D156" s="2">
        <v>50</v>
      </c>
      <c r="E156" s="2">
        <v>500</v>
      </c>
      <c r="F156" s="1" t="s">
        <v>8</v>
      </c>
    </row>
    <row r="157" spans="1:6" x14ac:dyDescent="0.25">
      <c r="A157" s="5" t="s">
        <v>175</v>
      </c>
      <c r="B157" s="6">
        <v>38.9</v>
      </c>
      <c r="C157" s="5" t="s">
        <v>20</v>
      </c>
      <c r="D157" s="7">
        <v>60</v>
      </c>
      <c r="E157" s="7">
        <v>2334</v>
      </c>
      <c r="F157" s="5" t="s">
        <v>8</v>
      </c>
    </row>
    <row r="158" spans="1:6" x14ac:dyDescent="0.25">
      <c r="A158" s="1" t="s">
        <v>176</v>
      </c>
      <c r="B158" s="4">
        <v>62.8</v>
      </c>
      <c r="C158" s="1" t="s">
        <v>20</v>
      </c>
      <c r="D158" s="2">
        <v>40</v>
      </c>
      <c r="E158" s="2">
        <v>2512</v>
      </c>
      <c r="F158" s="1" t="s">
        <v>8</v>
      </c>
    </row>
    <row r="159" spans="1:6" x14ac:dyDescent="0.25">
      <c r="A159" s="5" t="s">
        <v>177</v>
      </c>
      <c r="B159" s="6">
        <v>1</v>
      </c>
      <c r="C159" s="5" t="s">
        <v>178</v>
      </c>
      <c r="D159" s="7">
        <v>526.66999999999996</v>
      </c>
      <c r="E159" s="7">
        <v>526.66999999999996</v>
      </c>
      <c r="F159" s="5" t="s">
        <v>8</v>
      </c>
    </row>
    <row r="160" spans="1:6" x14ac:dyDescent="0.25">
      <c r="A160" s="1" t="s">
        <v>179</v>
      </c>
      <c r="B160" s="4">
        <v>126</v>
      </c>
      <c r="C160" s="1" t="s">
        <v>7</v>
      </c>
      <c r="D160" s="2">
        <v>98.35</v>
      </c>
      <c r="E160" s="2">
        <v>12391.8</v>
      </c>
      <c r="F160" s="1" t="s">
        <v>8</v>
      </c>
    </row>
    <row r="161" spans="1:6" x14ac:dyDescent="0.25">
      <c r="A161" s="5" t="s">
        <v>180</v>
      </c>
      <c r="B161" s="6">
        <v>264</v>
      </c>
      <c r="C161" s="5" t="s">
        <v>15</v>
      </c>
      <c r="D161" s="7">
        <v>59.37</v>
      </c>
      <c r="E161" s="7">
        <v>15673.5</v>
      </c>
      <c r="F161" s="5" t="s">
        <v>8</v>
      </c>
    </row>
    <row r="162" spans="1:6" x14ac:dyDescent="0.25">
      <c r="A162" s="1" t="s">
        <v>181</v>
      </c>
      <c r="B162" s="4">
        <v>2</v>
      </c>
      <c r="C162" s="1" t="s">
        <v>15</v>
      </c>
      <c r="D162" s="2">
        <v>310</v>
      </c>
      <c r="E162" s="2">
        <v>620</v>
      </c>
      <c r="F162" s="1" t="s">
        <v>8</v>
      </c>
    </row>
    <row r="163" spans="1:6" x14ac:dyDescent="0.25">
      <c r="A163" s="5" t="s">
        <v>182</v>
      </c>
      <c r="B163" s="6">
        <v>2</v>
      </c>
      <c r="C163" s="5" t="s">
        <v>15</v>
      </c>
      <c r="D163" s="7">
        <v>200.69</v>
      </c>
      <c r="E163" s="7">
        <v>401.38</v>
      </c>
      <c r="F163" s="5" t="s">
        <v>8</v>
      </c>
    </row>
    <row r="164" spans="1:6" x14ac:dyDescent="0.25">
      <c r="A164" s="1" t="s">
        <v>183</v>
      </c>
      <c r="B164" s="4">
        <v>36</v>
      </c>
      <c r="C164" s="1" t="s">
        <v>43</v>
      </c>
      <c r="D164" s="2">
        <v>5.69</v>
      </c>
      <c r="E164" s="2">
        <v>204.83</v>
      </c>
      <c r="F164" s="1" t="s">
        <v>8</v>
      </c>
    </row>
    <row r="165" spans="1:6" x14ac:dyDescent="0.25">
      <c r="A165" s="5" t="s">
        <v>184</v>
      </c>
      <c r="B165" s="6">
        <v>1620</v>
      </c>
      <c r="C165" s="5" t="s">
        <v>43</v>
      </c>
      <c r="D165" s="7">
        <v>2.2400000000000002</v>
      </c>
      <c r="E165" s="7">
        <v>3634.97</v>
      </c>
      <c r="F165" s="5" t="s">
        <v>8</v>
      </c>
    </row>
    <row r="166" spans="1:6" x14ac:dyDescent="0.25">
      <c r="A166" s="1" t="s">
        <v>185</v>
      </c>
      <c r="B166" s="4">
        <v>60</v>
      </c>
      <c r="C166" s="1" t="s">
        <v>43</v>
      </c>
      <c r="D166" s="2">
        <v>34.33</v>
      </c>
      <c r="E166" s="2">
        <v>2060</v>
      </c>
      <c r="F166" s="1" t="s">
        <v>8</v>
      </c>
    </row>
    <row r="167" spans="1:6" x14ac:dyDescent="0.25">
      <c r="A167" s="5" t="s">
        <v>186</v>
      </c>
      <c r="B167" s="6">
        <v>1760</v>
      </c>
      <c r="C167" s="5" t="s">
        <v>7</v>
      </c>
      <c r="D167" s="7">
        <v>4.9000000000000004</v>
      </c>
      <c r="E167" s="7">
        <v>8624</v>
      </c>
      <c r="F167" s="5" t="s">
        <v>8</v>
      </c>
    </row>
    <row r="168" spans="1:6" x14ac:dyDescent="0.25">
      <c r="A168" s="1" t="s">
        <v>187</v>
      </c>
      <c r="B168" s="4">
        <v>59.4</v>
      </c>
      <c r="C168" s="1" t="s">
        <v>15</v>
      </c>
      <c r="D168" s="2">
        <v>36.880000000000003</v>
      </c>
      <c r="E168" s="2">
        <v>2190.4899999999998</v>
      </c>
      <c r="F168" s="1" t="s">
        <v>8</v>
      </c>
    </row>
    <row r="169" spans="1:6" x14ac:dyDescent="0.25">
      <c r="A169" s="5" t="s">
        <v>188</v>
      </c>
      <c r="B169" s="6">
        <v>30.2</v>
      </c>
      <c r="C169" s="5" t="s">
        <v>15</v>
      </c>
      <c r="D169" s="7">
        <v>50.36</v>
      </c>
      <c r="E169" s="7">
        <v>1520.78</v>
      </c>
      <c r="F169" s="5" t="s">
        <v>8</v>
      </c>
    </row>
    <row r="170" spans="1:6" x14ac:dyDescent="0.25">
      <c r="A170" s="1" t="s">
        <v>189</v>
      </c>
      <c r="B170" s="4">
        <v>15.25</v>
      </c>
      <c r="C170" s="1" t="s">
        <v>7</v>
      </c>
      <c r="D170" s="2">
        <v>3262.76</v>
      </c>
      <c r="E170" s="2">
        <v>49757.1</v>
      </c>
      <c r="F170" s="1" t="s">
        <v>8</v>
      </c>
    </row>
    <row r="171" spans="1:6" x14ac:dyDescent="0.25">
      <c r="A171" s="5" t="s">
        <v>190</v>
      </c>
      <c r="B171" s="6">
        <v>30.4</v>
      </c>
      <c r="C171" s="5" t="s">
        <v>15</v>
      </c>
      <c r="D171" s="7">
        <v>55.56</v>
      </c>
      <c r="E171" s="7">
        <v>1689.13</v>
      </c>
      <c r="F171" s="5" t="s">
        <v>32</v>
      </c>
    </row>
    <row r="172" spans="1:6" x14ac:dyDescent="0.25">
      <c r="A172" s="1" t="s">
        <v>191</v>
      </c>
      <c r="B172" s="4">
        <v>0.8</v>
      </c>
      <c r="C172" s="1" t="s">
        <v>15</v>
      </c>
      <c r="D172" s="2">
        <v>956.6</v>
      </c>
      <c r="E172" s="2">
        <v>765.28</v>
      </c>
      <c r="F172" s="1" t="s">
        <v>8</v>
      </c>
    </row>
    <row r="173" spans="1:6" x14ac:dyDescent="0.25">
      <c r="A173" s="5" t="s">
        <v>192</v>
      </c>
      <c r="B173" s="6">
        <v>3</v>
      </c>
      <c r="C173" s="5" t="s">
        <v>15</v>
      </c>
      <c r="D173" s="7">
        <v>320</v>
      </c>
      <c r="E173" s="7">
        <v>960</v>
      </c>
      <c r="F173" s="5" t="s">
        <v>8</v>
      </c>
    </row>
    <row r="174" spans="1:6" x14ac:dyDescent="0.25">
      <c r="A174" s="1" t="s">
        <v>193</v>
      </c>
      <c r="B174" s="4">
        <v>19</v>
      </c>
      <c r="C174" s="1" t="s">
        <v>15</v>
      </c>
      <c r="D174" s="2">
        <v>185</v>
      </c>
      <c r="E174" s="2">
        <v>3515</v>
      </c>
      <c r="F174" s="1" t="s">
        <v>8</v>
      </c>
    </row>
    <row r="175" spans="1:6" x14ac:dyDescent="0.25">
      <c r="A175" s="5" t="s">
        <v>194</v>
      </c>
      <c r="B175" s="6">
        <v>3</v>
      </c>
      <c r="C175" s="5" t="s">
        <v>178</v>
      </c>
      <c r="D175" s="7">
        <v>100</v>
      </c>
      <c r="E175" s="7">
        <v>300</v>
      </c>
      <c r="F175" s="5" t="s">
        <v>8</v>
      </c>
    </row>
    <row r="176" spans="1:6" x14ac:dyDescent="0.25">
      <c r="A176" s="1" t="s">
        <v>195</v>
      </c>
      <c r="B176" s="4">
        <v>1.5</v>
      </c>
      <c r="C176" s="1" t="s">
        <v>15</v>
      </c>
      <c r="D176" s="2">
        <v>2510</v>
      </c>
      <c r="E176" s="2">
        <v>3765</v>
      </c>
      <c r="F176" s="1" t="s">
        <v>8</v>
      </c>
    </row>
    <row r="177" spans="1:6" x14ac:dyDescent="0.25">
      <c r="A177" s="5" t="s">
        <v>196</v>
      </c>
      <c r="B177" s="6">
        <v>39.1</v>
      </c>
      <c r="C177" s="5" t="s">
        <v>15</v>
      </c>
      <c r="D177" s="7">
        <v>258.8</v>
      </c>
      <c r="E177" s="7">
        <v>10119.1</v>
      </c>
      <c r="F177" s="5" t="s">
        <v>13</v>
      </c>
    </row>
    <row r="178" spans="1:6" x14ac:dyDescent="0.25">
      <c r="A178" s="1" t="s">
        <v>197</v>
      </c>
      <c r="B178" s="4">
        <v>0</v>
      </c>
      <c r="C178" s="1" t="s">
        <v>12</v>
      </c>
      <c r="D178" s="2">
        <v>160.66999999999999</v>
      </c>
      <c r="E178" s="2">
        <v>0</v>
      </c>
      <c r="F178" s="1" t="s">
        <v>8</v>
      </c>
    </row>
    <row r="179" spans="1:6" x14ac:dyDescent="0.25">
      <c r="A179" s="5" t="s">
        <v>198</v>
      </c>
      <c r="B179" s="6">
        <v>10.5</v>
      </c>
      <c r="C179" s="5" t="s">
        <v>15</v>
      </c>
      <c r="D179" s="7">
        <v>330.33</v>
      </c>
      <c r="E179" s="7">
        <v>3468.42</v>
      </c>
      <c r="F179" s="5" t="s">
        <v>8</v>
      </c>
    </row>
    <row r="180" spans="1:6" x14ac:dyDescent="0.25">
      <c r="A180" s="1" t="s">
        <v>199</v>
      </c>
      <c r="B180" s="4">
        <v>41.6</v>
      </c>
      <c r="C180" s="1" t="s">
        <v>15</v>
      </c>
      <c r="D180" s="2">
        <v>98.43</v>
      </c>
      <c r="E180" s="2">
        <v>4094.63</v>
      </c>
      <c r="F180" s="1" t="s">
        <v>8</v>
      </c>
    </row>
    <row r="181" spans="1:6" x14ac:dyDescent="0.25">
      <c r="A181" s="5" t="s">
        <v>200</v>
      </c>
      <c r="B181" s="6">
        <v>14.2</v>
      </c>
      <c r="C181" s="5" t="s">
        <v>15</v>
      </c>
      <c r="D181" s="7">
        <v>811.3</v>
      </c>
      <c r="E181" s="7">
        <v>11520.5</v>
      </c>
      <c r="F181" s="5" t="s">
        <v>8</v>
      </c>
    </row>
    <row r="182" spans="1:6" x14ac:dyDescent="0.25">
      <c r="A182" s="1" t="s">
        <v>201</v>
      </c>
      <c r="B182" s="4">
        <v>10.7</v>
      </c>
      <c r="C182" s="1" t="s">
        <v>15</v>
      </c>
      <c r="D182" s="2">
        <v>512.5</v>
      </c>
      <c r="E182" s="2">
        <v>5483.75</v>
      </c>
      <c r="F182" s="1" t="s">
        <v>8</v>
      </c>
    </row>
    <row r="183" spans="1:6" x14ac:dyDescent="0.25">
      <c r="A183" s="5" t="s">
        <v>202</v>
      </c>
      <c r="B183" s="6">
        <v>0</v>
      </c>
      <c r="C183" s="5" t="s">
        <v>15</v>
      </c>
      <c r="D183" s="7">
        <v>47.27</v>
      </c>
      <c r="E183" s="7">
        <v>0</v>
      </c>
      <c r="F183" s="5" t="s">
        <v>8</v>
      </c>
    </row>
    <row r="184" spans="1:6" x14ac:dyDescent="0.25">
      <c r="A184" s="1" t="s">
        <v>203</v>
      </c>
      <c r="B184" s="4">
        <v>1</v>
      </c>
      <c r="C184" s="1" t="s">
        <v>12</v>
      </c>
      <c r="D184" s="2">
        <v>159</v>
      </c>
      <c r="E184" s="2">
        <v>159</v>
      </c>
      <c r="F184" s="1" t="s">
        <v>8</v>
      </c>
    </row>
    <row r="185" spans="1:6" x14ac:dyDescent="0.25">
      <c r="A185" s="5" t="s">
        <v>204</v>
      </c>
      <c r="B185" s="6">
        <v>3</v>
      </c>
      <c r="C185" s="5" t="s">
        <v>15</v>
      </c>
      <c r="D185" s="7">
        <v>80</v>
      </c>
      <c r="E185" s="7">
        <v>240</v>
      </c>
      <c r="F185" s="5" t="s">
        <v>13</v>
      </c>
    </row>
    <row r="186" spans="1:6" x14ac:dyDescent="0.25">
      <c r="A186" s="1" t="s">
        <v>205</v>
      </c>
      <c r="B186" s="4">
        <v>3</v>
      </c>
      <c r="C186" s="1" t="s">
        <v>15</v>
      </c>
      <c r="D186" s="2">
        <v>47.62</v>
      </c>
      <c r="E186" s="2">
        <v>142.86000000000001</v>
      </c>
      <c r="F186" s="1" t="s">
        <v>34</v>
      </c>
    </row>
    <row r="187" spans="1:6" x14ac:dyDescent="0.25">
      <c r="A187" s="5" t="s">
        <v>206</v>
      </c>
      <c r="B187" s="6">
        <v>7.9</v>
      </c>
      <c r="C187" s="5" t="s">
        <v>15</v>
      </c>
      <c r="D187" s="7">
        <v>680.32</v>
      </c>
      <c r="E187" s="7">
        <v>5374.5</v>
      </c>
      <c r="F187" s="5" t="s">
        <v>8</v>
      </c>
    </row>
    <row r="188" spans="1:6" x14ac:dyDescent="0.25">
      <c r="A188" s="1" t="s">
        <v>207</v>
      </c>
      <c r="B188" s="4">
        <v>0.86</v>
      </c>
      <c r="C188" s="1" t="s">
        <v>15</v>
      </c>
      <c r="D188" s="2">
        <v>267.8</v>
      </c>
      <c r="E188" s="2">
        <v>230.31</v>
      </c>
      <c r="F188" s="1" t="s">
        <v>8</v>
      </c>
    </row>
    <row r="189" spans="1:6" x14ac:dyDescent="0.25">
      <c r="A189" s="5" t="s">
        <v>208</v>
      </c>
      <c r="B189" s="6">
        <v>7</v>
      </c>
      <c r="C189" s="5" t="s">
        <v>12</v>
      </c>
      <c r="D189" s="7">
        <v>44.38</v>
      </c>
      <c r="E189" s="7">
        <v>310.64999999999998</v>
      </c>
      <c r="F189" s="5" t="s">
        <v>8</v>
      </c>
    </row>
    <row r="190" spans="1:6" x14ac:dyDescent="0.25">
      <c r="A190" s="1" t="s">
        <v>209</v>
      </c>
      <c r="B190" s="4">
        <v>1.212</v>
      </c>
      <c r="C190" s="1" t="s">
        <v>15</v>
      </c>
      <c r="D190" s="2">
        <v>1708.11</v>
      </c>
      <c r="E190" s="2">
        <v>2070.23</v>
      </c>
      <c r="F190" s="1" t="s">
        <v>8</v>
      </c>
    </row>
    <row r="191" spans="1:6" x14ac:dyDescent="0.25">
      <c r="A191" s="5" t="s">
        <v>210</v>
      </c>
      <c r="B191" s="6">
        <v>8</v>
      </c>
      <c r="C191" s="5" t="s">
        <v>15</v>
      </c>
      <c r="D191" s="7">
        <v>20</v>
      </c>
      <c r="E191" s="7">
        <v>160</v>
      </c>
      <c r="F191" s="5" t="s">
        <v>18</v>
      </c>
    </row>
    <row r="192" spans="1:6" x14ac:dyDescent="0.25">
      <c r="A192" s="1" t="s">
        <v>211</v>
      </c>
      <c r="B192" s="4">
        <v>3</v>
      </c>
      <c r="C192" s="1" t="s">
        <v>7</v>
      </c>
      <c r="D192" s="2">
        <v>341.67</v>
      </c>
      <c r="E192" s="2">
        <v>1025</v>
      </c>
      <c r="F192" s="1" t="s">
        <v>8</v>
      </c>
    </row>
    <row r="193" spans="1:6" x14ac:dyDescent="0.25">
      <c r="A193" s="5" t="s">
        <v>212</v>
      </c>
      <c r="B193" s="6">
        <v>0</v>
      </c>
      <c r="C193" s="5" t="s">
        <v>213</v>
      </c>
      <c r="D193" s="7">
        <v>183.26</v>
      </c>
      <c r="E193" s="7">
        <v>0</v>
      </c>
      <c r="F193" s="5" t="s">
        <v>8</v>
      </c>
    </row>
    <row r="194" spans="1:6" x14ac:dyDescent="0.25">
      <c r="A194" s="1" t="s">
        <v>214</v>
      </c>
      <c r="B194" s="4">
        <v>1.1000000000000001</v>
      </c>
      <c r="C194" s="1" t="s">
        <v>15</v>
      </c>
      <c r="D194" s="2">
        <v>517.59</v>
      </c>
      <c r="E194" s="2">
        <v>569.35</v>
      </c>
      <c r="F194" s="1" t="s">
        <v>13</v>
      </c>
    </row>
    <row r="195" spans="1:6" x14ac:dyDescent="0.25">
      <c r="A195" s="5" t="s">
        <v>215</v>
      </c>
      <c r="B195" s="6">
        <v>0.68</v>
      </c>
      <c r="C195" s="5" t="s">
        <v>15</v>
      </c>
      <c r="D195" s="7">
        <v>90</v>
      </c>
      <c r="E195" s="7">
        <v>61.2</v>
      </c>
      <c r="F195" s="5" t="s">
        <v>8</v>
      </c>
    </row>
    <row r="196" spans="1:6" x14ac:dyDescent="0.25">
      <c r="A196" s="1" t="s">
        <v>216</v>
      </c>
      <c r="B196" s="4">
        <v>30</v>
      </c>
      <c r="C196" s="1" t="s">
        <v>43</v>
      </c>
      <c r="D196" s="2">
        <v>27.67</v>
      </c>
      <c r="E196" s="2">
        <v>830.05</v>
      </c>
      <c r="F196" s="1" t="s">
        <v>8</v>
      </c>
    </row>
    <row r="197" spans="1:6" x14ac:dyDescent="0.25">
      <c r="A197" s="5" t="s">
        <v>217</v>
      </c>
      <c r="B197" s="6">
        <v>3</v>
      </c>
      <c r="C197" s="5" t="s">
        <v>15</v>
      </c>
      <c r="D197" s="7">
        <v>690</v>
      </c>
      <c r="E197" s="7">
        <v>2070</v>
      </c>
      <c r="F197" s="5" t="s">
        <v>8</v>
      </c>
    </row>
    <row r="198" spans="1:6" x14ac:dyDescent="0.25">
      <c r="A198" s="1" t="s">
        <v>218</v>
      </c>
      <c r="B198" s="4">
        <v>0</v>
      </c>
      <c r="C198" s="1" t="s">
        <v>12</v>
      </c>
      <c r="D198" s="2">
        <v>100</v>
      </c>
      <c r="E198" s="2">
        <v>0</v>
      </c>
      <c r="F198" s="1" t="s">
        <v>8</v>
      </c>
    </row>
    <row r="199" spans="1:6" x14ac:dyDescent="0.25">
      <c r="A199" s="5" t="s">
        <v>219</v>
      </c>
      <c r="B199" s="6">
        <v>31.5</v>
      </c>
      <c r="C199" s="5" t="s">
        <v>15</v>
      </c>
      <c r="D199" s="7">
        <v>35</v>
      </c>
      <c r="E199" s="7">
        <v>1102.5</v>
      </c>
      <c r="F199" s="5" t="s">
        <v>34</v>
      </c>
    </row>
    <row r="200" spans="1:6" x14ac:dyDescent="0.25">
      <c r="A200" s="1" t="s">
        <v>220</v>
      </c>
      <c r="B200" s="4">
        <v>2.25</v>
      </c>
      <c r="C200" s="1" t="s">
        <v>15</v>
      </c>
      <c r="D200" s="2">
        <v>0</v>
      </c>
      <c r="E200" s="2">
        <v>0</v>
      </c>
      <c r="F200" s="1" t="s">
        <v>8</v>
      </c>
    </row>
    <row r="201" spans="1:6" x14ac:dyDescent="0.25">
      <c r="A201" s="5" t="s">
        <v>221</v>
      </c>
      <c r="B201" s="6">
        <v>0</v>
      </c>
      <c r="C201" s="5" t="s">
        <v>15</v>
      </c>
      <c r="D201" s="7">
        <v>404.11</v>
      </c>
      <c r="E201" s="7">
        <v>0</v>
      </c>
      <c r="F201" s="5" t="s">
        <v>8</v>
      </c>
    </row>
    <row r="202" spans="1:6" x14ac:dyDescent="0.25">
      <c r="A202" s="1" t="s">
        <v>222</v>
      </c>
      <c r="B202" s="4">
        <v>0</v>
      </c>
      <c r="C202" s="1" t="s">
        <v>7</v>
      </c>
      <c r="D202" s="2">
        <v>110</v>
      </c>
      <c r="E202" s="2">
        <v>0</v>
      </c>
      <c r="F202" s="1" t="s">
        <v>8</v>
      </c>
    </row>
    <row r="203" spans="1:6" x14ac:dyDescent="0.25">
      <c r="A203" s="5" t="s">
        <v>223</v>
      </c>
      <c r="B203" s="6">
        <v>4.75</v>
      </c>
      <c r="C203" s="5" t="s">
        <v>15</v>
      </c>
      <c r="D203" s="7">
        <v>315.14</v>
      </c>
      <c r="E203" s="7">
        <v>1496.9</v>
      </c>
      <c r="F203" s="5" t="s">
        <v>8</v>
      </c>
    </row>
    <row r="204" spans="1:6" x14ac:dyDescent="0.25">
      <c r="A204" s="1" t="s">
        <v>224</v>
      </c>
      <c r="B204" s="4">
        <v>34</v>
      </c>
      <c r="C204" s="1" t="s">
        <v>7</v>
      </c>
      <c r="D204" s="2">
        <v>27.27</v>
      </c>
      <c r="E204" s="2">
        <v>927.27</v>
      </c>
      <c r="F204" s="1" t="s">
        <v>13</v>
      </c>
    </row>
    <row r="205" spans="1:6" x14ac:dyDescent="0.25">
      <c r="A205" s="5" t="s">
        <v>225</v>
      </c>
      <c r="B205" s="6">
        <v>0.42</v>
      </c>
      <c r="C205" s="5" t="s">
        <v>15</v>
      </c>
      <c r="D205" s="7">
        <v>892.17</v>
      </c>
      <c r="E205" s="7">
        <v>374.71</v>
      </c>
      <c r="F205" s="5" t="s">
        <v>8</v>
      </c>
    </row>
    <row r="206" spans="1:6" x14ac:dyDescent="0.25">
      <c r="A206" s="1" t="s">
        <v>226</v>
      </c>
      <c r="B206" s="4">
        <v>0.3</v>
      </c>
      <c r="C206" s="1" t="s">
        <v>15</v>
      </c>
      <c r="D206" s="2">
        <v>165</v>
      </c>
      <c r="E206" s="2">
        <v>49.5</v>
      </c>
      <c r="F206" s="1" t="s">
        <v>8</v>
      </c>
    </row>
    <row r="207" spans="1:6" x14ac:dyDescent="0.25">
      <c r="A207" s="5" t="s">
        <v>227</v>
      </c>
      <c r="B207" s="6">
        <v>8.01</v>
      </c>
      <c r="C207" s="5" t="s">
        <v>15</v>
      </c>
      <c r="D207" s="7">
        <v>64.67</v>
      </c>
      <c r="E207" s="7">
        <v>517.98</v>
      </c>
      <c r="F207" s="5" t="s">
        <v>34</v>
      </c>
    </row>
    <row r="208" spans="1:6" x14ac:dyDescent="0.25">
      <c r="A208" s="1" t="s">
        <v>228</v>
      </c>
      <c r="B208" s="4">
        <v>1.5</v>
      </c>
      <c r="C208" s="1" t="s">
        <v>15</v>
      </c>
      <c r="D208" s="2">
        <v>78.81</v>
      </c>
      <c r="E208" s="2">
        <v>118.22</v>
      </c>
      <c r="F208" s="1" t="s">
        <v>8</v>
      </c>
    </row>
    <row r="209" spans="1:6" x14ac:dyDescent="0.25">
      <c r="A209" s="5" t="s">
        <v>229</v>
      </c>
      <c r="B209" s="6">
        <v>11</v>
      </c>
      <c r="C209" s="5" t="s">
        <v>213</v>
      </c>
      <c r="D209" s="7">
        <v>139.12</v>
      </c>
      <c r="E209" s="7">
        <v>1530.32</v>
      </c>
      <c r="F209" s="5" t="s">
        <v>18</v>
      </c>
    </row>
    <row r="210" spans="1:6" x14ac:dyDescent="0.25">
      <c r="A210" s="1" t="s">
        <v>230</v>
      </c>
      <c r="B210" s="4">
        <v>11</v>
      </c>
      <c r="C210" s="1" t="s">
        <v>213</v>
      </c>
      <c r="D210" s="2">
        <v>183.1</v>
      </c>
      <c r="E210" s="2">
        <v>2014.12</v>
      </c>
      <c r="F210" s="1" t="s">
        <v>8</v>
      </c>
    </row>
    <row r="211" spans="1:6" x14ac:dyDescent="0.25">
      <c r="A211" s="5" t="s">
        <v>231</v>
      </c>
      <c r="B211" s="6">
        <v>4</v>
      </c>
      <c r="C211" s="5" t="s">
        <v>213</v>
      </c>
      <c r="D211" s="7">
        <v>170.93</v>
      </c>
      <c r="E211" s="7">
        <v>683.7</v>
      </c>
      <c r="F211" s="5" t="s">
        <v>8</v>
      </c>
    </row>
    <row r="212" spans="1:6" x14ac:dyDescent="0.25">
      <c r="A212" s="1" t="s">
        <v>232</v>
      </c>
      <c r="B212" s="4">
        <v>50.7</v>
      </c>
      <c r="C212" s="1" t="s">
        <v>15</v>
      </c>
      <c r="D212" s="2">
        <v>42.43</v>
      </c>
      <c r="E212" s="2">
        <v>2150.9899999999998</v>
      </c>
      <c r="F212" s="1" t="s">
        <v>13</v>
      </c>
    </row>
    <row r="213" spans="1:6" x14ac:dyDescent="0.25">
      <c r="A213" s="5" t="s">
        <v>233</v>
      </c>
      <c r="B213" s="6">
        <v>0</v>
      </c>
      <c r="C213" s="5" t="s">
        <v>15</v>
      </c>
      <c r="D213" s="7">
        <v>1050</v>
      </c>
      <c r="E213" s="7">
        <v>0</v>
      </c>
      <c r="F213" s="5" t="s">
        <v>8</v>
      </c>
    </row>
    <row r="214" spans="1:6" x14ac:dyDescent="0.25">
      <c r="A214" s="1" t="s">
        <v>234</v>
      </c>
      <c r="B214" s="4">
        <v>5</v>
      </c>
      <c r="C214" s="1" t="s">
        <v>15</v>
      </c>
      <c r="D214" s="2">
        <v>99.61</v>
      </c>
      <c r="E214" s="2">
        <v>498.04</v>
      </c>
      <c r="F214" s="1" t="s">
        <v>8</v>
      </c>
    </row>
    <row r="215" spans="1:6" x14ac:dyDescent="0.25">
      <c r="A215" s="5" t="s">
        <v>235</v>
      </c>
      <c r="B215" s="6">
        <v>0</v>
      </c>
      <c r="C215" s="5" t="s">
        <v>15</v>
      </c>
      <c r="D215" s="7">
        <v>0</v>
      </c>
      <c r="E215" s="7">
        <v>0</v>
      </c>
      <c r="F215" s="5" t="s">
        <v>8</v>
      </c>
    </row>
    <row r="216" spans="1:6" x14ac:dyDescent="0.25">
      <c r="A216" s="1" t="s">
        <v>236</v>
      </c>
      <c r="B216" s="4">
        <v>0</v>
      </c>
      <c r="C216" s="1" t="s">
        <v>237</v>
      </c>
      <c r="D216" s="2">
        <v>0</v>
      </c>
      <c r="E216" s="2">
        <v>0</v>
      </c>
      <c r="F216" s="1" t="s">
        <v>8</v>
      </c>
    </row>
    <row r="217" spans="1:6" x14ac:dyDescent="0.25">
      <c r="A217" s="5" t="s">
        <v>238</v>
      </c>
      <c r="B217" s="6">
        <v>1</v>
      </c>
      <c r="C217" s="5" t="s">
        <v>12</v>
      </c>
      <c r="D217" s="7">
        <v>180</v>
      </c>
      <c r="E217" s="7">
        <v>180</v>
      </c>
      <c r="F217" s="5" t="s">
        <v>8</v>
      </c>
    </row>
    <row r="218" spans="1:6" x14ac:dyDescent="0.25">
      <c r="A218" s="1" t="s">
        <v>239</v>
      </c>
      <c r="B218" s="4">
        <v>0</v>
      </c>
      <c r="C218" s="1" t="s">
        <v>77</v>
      </c>
      <c r="D218" s="2">
        <v>665.31</v>
      </c>
      <c r="E218" s="2">
        <v>0</v>
      </c>
      <c r="F218" s="1" t="s">
        <v>8</v>
      </c>
    </row>
    <row r="219" spans="1:6" x14ac:dyDescent="0.25">
      <c r="A219" s="5" t="s">
        <v>240</v>
      </c>
      <c r="B219" s="6">
        <v>0</v>
      </c>
      <c r="C219" s="5" t="s">
        <v>15</v>
      </c>
      <c r="D219" s="7">
        <v>71.92</v>
      </c>
      <c r="E219" s="7">
        <v>0</v>
      </c>
      <c r="F219" s="5" t="s">
        <v>13</v>
      </c>
    </row>
    <row r="220" spans="1:6" x14ac:dyDescent="0.25">
      <c r="A220" s="1" t="s">
        <v>241</v>
      </c>
      <c r="B220" s="4">
        <v>0</v>
      </c>
      <c r="C220" s="1" t="s">
        <v>15</v>
      </c>
      <c r="D220" s="2">
        <v>69.02</v>
      </c>
      <c r="E220" s="2">
        <v>0</v>
      </c>
      <c r="F220" s="1" t="s">
        <v>8</v>
      </c>
    </row>
    <row r="221" spans="1:6" x14ac:dyDescent="0.25">
      <c r="A221" s="5" t="s">
        <v>242</v>
      </c>
      <c r="B221" s="6">
        <v>40</v>
      </c>
      <c r="C221" s="5" t="s">
        <v>7</v>
      </c>
      <c r="D221" s="7">
        <v>4</v>
      </c>
      <c r="E221" s="7">
        <v>160</v>
      </c>
      <c r="F221" s="5" t="s">
        <v>8</v>
      </c>
    </row>
    <row r="222" spans="1:6" x14ac:dyDescent="0.25">
      <c r="A222" s="1" t="s">
        <v>243</v>
      </c>
      <c r="B222" s="4">
        <v>21.5</v>
      </c>
      <c r="C222" s="1" t="s">
        <v>15</v>
      </c>
      <c r="D222" s="2">
        <v>82</v>
      </c>
      <c r="E222" s="2">
        <v>1763</v>
      </c>
      <c r="F222" s="1" t="s">
        <v>8</v>
      </c>
    </row>
    <row r="223" spans="1:6" x14ac:dyDescent="0.25">
      <c r="A223" s="5" t="s">
        <v>244</v>
      </c>
      <c r="B223" s="6">
        <v>9</v>
      </c>
      <c r="C223" s="5" t="s">
        <v>43</v>
      </c>
      <c r="D223" s="7">
        <v>127.22</v>
      </c>
      <c r="E223" s="7">
        <v>1145</v>
      </c>
      <c r="F223" s="5" t="s">
        <v>8</v>
      </c>
    </row>
    <row r="224" spans="1:6" x14ac:dyDescent="0.25">
      <c r="A224" s="1" t="s">
        <v>245</v>
      </c>
      <c r="B224" s="4">
        <v>4</v>
      </c>
      <c r="C224" s="1" t="s">
        <v>15</v>
      </c>
      <c r="D224" s="2">
        <v>92.28</v>
      </c>
      <c r="E224" s="2">
        <v>369.11</v>
      </c>
      <c r="F224" s="1" t="s">
        <v>13</v>
      </c>
    </row>
    <row r="225" spans="1:6" x14ac:dyDescent="0.25">
      <c r="A225" s="5" t="s">
        <v>246</v>
      </c>
      <c r="B225" s="6">
        <v>5</v>
      </c>
      <c r="C225" s="5" t="s">
        <v>15</v>
      </c>
      <c r="D225" s="7">
        <v>144.24</v>
      </c>
      <c r="E225" s="7">
        <v>721.18</v>
      </c>
      <c r="F225" s="5" t="s">
        <v>8</v>
      </c>
    </row>
    <row r="226" spans="1:6" x14ac:dyDescent="0.25">
      <c r="A226" s="1" t="s">
        <v>247</v>
      </c>
      <c r="B226" s="4">
        <v>2.4500000000000002</v>
      </c>
      <c r="C226" s="1" t="s">
        <v>15</v>
      </c>
      <c r="D226" s="2">
        <v>152.38</v>
      </c>
      <c r="E226" s="2">
        <v>373.33</v>
      </c>
      <c r="F226" s="1" t="s">
        <v>8</v>
      </c>
    </row>
    <row r="227" spans="1:6" x14ac:dyDescent="0.25">
      <c r="A227" s="5" t="s">
        <v>248</v>
      </c>
      <c r="B227" s="6">
        <v>5</v>
      </c>
      <c r="C227" s="5" t="s">
        <v>15</v>
      </c>
      <c r="D227" s="7">
        <v>0</v>
      </c>
      <c r="E227" s="7">
        <v>0</v>
      </c>
      <c r="F227" s="5" t="s">
        <v>8</v>
      </c>
    </row>
    <row r="228" spans="1:6" x14ac:dyDescent="0.25">
      <c r="A228" s="1" t="s">
        <v>249</v>
      </c>
      <c r="B228" s="4">
        <v>4.5</v>
      </c>
      <c r="C228" s="1" t="s">
        <v>20</v>
      </c>
      <c r="D228" s="2">
        <v>55.08</v>
      </c>
      <c r="E228" s="2">
        <v>247.88</v>
      </c>
      <c r="F228" s="1" t="s">
        <v>34</v>
      </c>
    </row>
    <row r="229" spans="1:6" x14ac:dyDescent="0.25">
      <c r="A229" s="5" t="s">
        <v>250</v>
      </c>
      <c r="B229" s="6">
        <v>2</v>
      </c>
      <c r="C229" s="5" t="s">
        <v>27</v>
      </c>
      <c r="D229" s="7">
        <v>136</v>
      </c>
      <c r="E229" s="7">
        <v>272</v>
      </c>
      <c r="F229" s="5" t="s">
        <v>8</v>
      </c>
    </row>
    <row r="230" spans="1:6" x14ac:dyDescent="0.25">
      <c r="A230" s="1" t="s">
        <v>251</v>
      </c>
      <c r="B230" s="4">
        <v>561</v>
      </c>
      <c r="C230" s="1" t="s">
        <v>7</v>
      </c>
      <c r="D230" s="2">
        <v>0</v>
      </c>
      <c r="E230" s="2">
        <v>0</v>
      </c>
      <c r="F230" s="1" t="s">
        <v>8</v>
      </c>
    </row>
    <row r="231" spans="1:6" x14ac:dyDescent="0.25">
      <c r="A231" s="5" t="s">
        <v>252</v>
      </c>
      <c r="B231" s="6">
        <v>40.6</v>
      </c>
      <c r="C231" s="5" t="s">
        <v>15</v>
      </c>
      <c r="D231" s="7">
        <v>93.57</v>
      </c>
      <c r="E231" s="7">
        <v>3799</v>
      </c>
      <c r="F231" s="5" t="s">
        <v>8</v>
      </c>
    </row>
    <row r="232" spans="1:6" x14ac:dyDescent="0.25">
      <c r="A232" s="1" t="s">
        <v>253</v>
      </c>
      <c r="B232" s="4">
        <v>5</v>
      </c>
      <c r="C232" s="1" t="s">
        <v>7</v>
      </c>
      <c r="D232" s="2">
        <v>120.87</v>
      </c>
      <c r="E232" s="2">
        <v>604.35</v>
      </c>
      <c r="F232" s="1" t="s">
        <v>8</v>
      </c>
    </row>
    <row r="233" spans="1:6" x14ac:dyDescent="0.25">
      <c r="A233" s="5" t="s">
        <v>254</v>
      </c>
      <c r="B233" s="6">
        <v>1</v>
      </c>
      <c r="C233" s="5" t="s">
        <v>15</v>
      </c>
      <c r="D233" s="7">
        <v>113.11</v>
      </c>
      <c r="E233" s="7">
        <v>113.11</v>
      </c>
      <c r="F233" s="5" t="s">
        <v>13</v>
      </c>
    </row>
    <row r="234" spans="1:6" x14ac:dyDescent="0.25">
      <c r="A234" s="1" t="s">
        <v>255</v>
      </c>
      <c r="B234" s="4">
        <v>0</v>
      </c>
      <c r="C234" s="1" t="s">
        <v>43</v>
      </c>
      <c r="D234" s="2">
        <v>53.75</v>
      </c>
      <c r="E234" s="2">
        <v>0</v>
      </c>
      <c r="F234" s="1" t="s">
        <v>8</v>
      </c>
    </row>
    <row r="235" spans="1:6" x14ac:dyDescent="0.25">
      <c r="A235" s="5" t="s">
        <v>256</v>
      </c>
      <c r="B235" s="6">
        <v>4</v>
      </c>
      <c r="C235" s="5" t="s">
        <v>15</v>
      </c>
      <c r="D235" s="7">
        <v>101</v>
      </c>
      <c r="E235" s="7">
        <v>404</v>
      </c>
      <c r="F235" s="5" t="s">
        <v>8</v>
      </c>
    </row>
    <row r="236" spans="1:6" x14ac:dyDescent="0.25">
      <c r="A236" s="1" t="s">
        <v>257</v>
      </c>
      <c r="B236" s="4">
        <v>2</v>
      </c>
      <c r="C236" s="1" t="s">
        <v>43</v>
      </c>
      <c r="D236" s="2">
        <v>417.65</v>
      </c>
      <c r="E236" s="2">
        <v>835.31</v>
      </c>
      <c r="F236" s="1" t="s">
        <v>8</v>
      </c>
    </row>
    <row r="237" spans="1:6" x14ac:dyDescent="0.25">
      <c r="A237" s="5" t="s">
        <v>258</v>
      </c>
      <c r="B237" s="6">
        <v>11</v>
      </c>
      <c r="C237" s="5" t="s">
        <v>43</v>
      </c>
      <c r="D237" s="7">
        <v>148.47</v>
      </c>
      <c r="E237" s="7">
        <v>1633.15</v>
      </c>
      <c r="F237" s="5" t="s">
        <v>8</v>
      </c>
    </row>
    <row r="238" spans="1:6" x14ac:dyDescent="0.25">
      <c r="A238" s="1" t="s">
        <v>259</v>
      </c>
      <c r="B238" s="4">
        <v>4.3999996000000001</v>
      </c>
      <c r="C238" s="1" t="s">
        <v>15</v>
      </c>
      <c r="D238" s="2">
        <v>60</v>
      </c>
      <c r="E238" s="2">
        <v>264</v>
      </c>
      <c r="F238" s="1" t="s">
        <v>34</v>
      </c>
    </row>
    <row r="239" spans="1:6" x14ac:dyDescent="0.25">
      <c r="A239" s="5" t="s">
        <v>260</v>
      </c>
      <c r="B239" s="6">
        <v>3</v>
      </c>
      <c r="C239" s="5" t="s">
        <v>15</v>
      </c>
      <c r="D239" s="7">
        <v>66.430000000000007</v>
      </c>
      <c r="E239" s="7">
        <v>199.29</v>
      </c>
      <c r="F239" s="5" t="s">
        <v>8</v>
      </c>
    </row>
    <row r="240" spans="1:6" x14ac:dyDescent="0.25">
      <c r="A240" s="1" t="s">
        <v>261</v>
      </c>
      <c r="B240" s="4">
        <v>1</v>
      </c>
      <c r="C240" s="1" t="s">
        <v>43</v>
      </c>
      <c r="D240" s="2">
        <v>68.8</v>
      </c>
      <c r="E240" s="2">
        <v>68.8</v>
      </c>
      <c r="F240" s="1" t="s">
        <v>34</v>
      </c>
    </row>
    <row r="241" spans="1:6" x14ac:dyDescent="0.25">
      <c r="A241" s="5" t="s">
        <v>262</v>
      </c>
      <c r="B241" s="6">
        <v>0</v>
      </c>
      <c r="C241" s="5" t="s">
        <v>15</v>
      </c>
      <c r="D241" s="7">
        <v>60.71</v>
      </c>
      <c r="E241" s="7">
        <v>0</v>
      </c>
      <c r="F241" s="5" t="s">
        <v>13</v>
      </c>
    </row>
    <row r="242" spans="1:6" x14ac:dyDescent="0.25">
      <c r="A242" s="1" t="s">
        <v>263</v>
      </c>
      <c r="B242" s="4">
        <v>5</v>
      </c>
      <c r="C242" s="1" t="s">
        <v>12</v>
      </c>
      <c r="D242" s="2">
        <v>195.4</v>
      </c>
      <c r="E242" s="2">
        <v>977</v>
      </c>
      <c r="F242" s="1" t="s">
        <v>8</v>
      </c>
    </row>
    <row r="243" spans="1:6" x14ac:dyDescent="0.25">
      <c r="A243" s="5" t="s">
        <v>264</v>
      </c>
      <c r="B243" s="6">
        <v>0</v>
      </c>
      <c r="C243" s="5" t="s">
        <v>15</v>
      </c>
      <c r="D243" s="7">
        <v>783.52</v>
      </c>
      <c r="E243" s="7">
        <v>0</v>
      </c>
      <c r="F243" s="5" t="s">
        <v>8</v>
      </c>
    </row>
    <row r="244" spans="1:6" x14ac:dyDescent="0.25">
      <c r="A244" s="1" t="s">
        <v>265</v>
      </c>
      <c r="B244" s="4">
        <v>0</v>
      </c>
      <c r="C244" s="1" t="s">
        <v>15</v>
      </c>
      <c r="D244" s="2">
        <v>891.25</v>
      </c>
      <c r="E244" s="2">
        <v>0</v>
      </c>
      <c r="F244" s="1" t="s">
        <v>8</v>
      </c>
    </row>
    <row r="245" spans="1:6" x14ac:dyDescent="0.25">
      <c r="A245" s="5" t="s">
        <v>266</v>
      </c>
      <c r="B245" s="6">
        <v>68</v>
      </c>
      <c r="C245" s="5" t="s">
        <v>7</v>
      </c>
      <c r="D245" s="7">
        <v>2.4700000000000002</v>
      </c>
      <c r="E245" s="7">
        <v>167.9</v>
      </c>
      <c r="F245" s="5" t="s">
        <v>8</v>
      </c>
    </row>
    <row r="246" spans="1:6" x14ac:dyDescent="0.25">
      <c r="A246" s="1" t="s">
        <v>267</v>
      </c>
      <c r="B246" s="4">
        <v>1154</v>
      </c>
      <c r="C246" s="1" t="s">
        <v>43</v>
      </c>
      <c r="D246" s="2">
        <v>20</v>
      </c>
      <c r="E246" s="2">
        <v>23081</v>
      </c>
      <c r="F246" s="1" t="s">
        <v>8</v>
      </c>
    </row>
    <row r="247" spans="1:6" x14ac:dyDescent="0.25">
      <c r="A247" s="5" t="s">
        <v>268</v>
      </c>
      <c r="B247" s="6">
        <v>24</v>
      </c>
      <c r="C247" s="5" t="s">
        <v>43</v>
      </c>
      <c r="D247" s="7">
        <v>48</v>
      </c>
      <c r="E247" s="7">
        <v>1152</v>
      </c>
      <c r="F247" s="5" t="s">
        <v>18</v>
      </c>
    </row>
    <row r="248" spans="1:6" x14ac:dyDescent="0.25">
      <c r="A248" s="1" t="s">
        <v>269</v>
      </c>
      <c r="B248" s="4">
        <v>3</v>
      </c>
      <c r="C248" s="1" t="s">
        <v>178</v>
      </c>
      <c r="D248" s="2">
        <v>340.87</v>
      </c>
      <c r="E248" s="2">
        <v>1022.61</v>
      </c>
      <c r="F248" s="1" t="s">
        <v>8</v>
      </c>
    </row>
    <row r="249" spans="1:6" x14ac:dyDescent="0.25">
      <c r="A249" s="5" t="s">
        <v>270</v>
      </c>
      <c r="B249" s="6">
        <v>8</v>
      </c>
      <c r="C249" s="5" t="s">
        <v>43</v>
      </c>
      <c r="D249" s="7">
        <v>43.72</v>
      </c>
      <c r="E249" s="7">
        <v>349.73</v>
      </c>
      <c r="F249" s="5" t="s">
        <v>13</v>
      </c>
    </row>
    <row r="250" spans="1:6" x14ac:dyDescent="0.25">
      <c r="A250" s="1" t="s">
        <v>271</v>
      </c>
      <c r="B250" s="4">
        <v>19.420000000000002</v>
      </c>
      <c r="C250" s="1" t="s">
        <v>15</v>
      </c>
      <c r="D250" s="2">
        <v>24.16</v>
      </c>
      <c r="E250" s="2">
        <v>469.23</v>
      </c>
      <c r="F250" s="1" t="s">
        <v>13</v>
      </c>
    </row>
    <row r="251" spans="1:6" x14ac:dyDescent="0.25">
      <c r="A251" s="5" t="s">
        <v>272</v>
      </c>
      <c r="B251" s="6">
        <v>0</v>
      </c>
      <c r="C251" s="5" t="s">
        <v>15</v>
      </c>
      <c r="D251" s="7">
        <v>182.22</v>
      </c>
      <c r="E251" s="7">
        <v>0</v>
      </c>
      <c r="F251" s="5" t="s">
        <v>13</v>
      </c>
    </row>
    <row r="252" spans="1:6" x14ac:dyDescent="0.25">
      <c r="A252" s="1" t="s">
        <v>273</v>
      </c>
      <c r="B252" s="4">
        <v>0</v>
      </c>
      <c r="C252" s="1" t="s">
        <v>12</v>
      </c>
      <c r="D252" s="2">
        <v>210</v>
      </c>
      <c r="E252" s="2">
        <v>0</v>
      </c>
      <c r="F252" s="1" t="s">
        <v>8</v>
      </c>
    </row>
    <row r="253" spans="1:6" x14ac:dyDescent="0.25">
      <c r="A253" s="5" t="s">
        <v>274</v>
      </c>
      <c r="B253" s="6">
        <v>2</v>
      </c>
      <c r="C253" s="5" t="s">
        <v>15</v>
      </c>
      <c r="D253" s="7">
        <v>500</v>
      </c>
      <c r="E253" s="7">
        <v>1000</v>
      </c>
      <c r="F253" s="5" t="s">
        <v>8</v>
      </c>
    </row>
    <row r="254" spans="1:6" x14ac:dyDescent="0.25">
      <c r="A254" s="1" t="s">
        <v>275</v>
      </c>
      <c r="B254" s="4">
        <v>100</v>
      </c>
      <c r="C254" s="1" t="s">
        <v>43</v>
      </c>
      <c r="D254" s="2">
        <v>1.6</v>
      </c>
      <c r="E254" s="2">
        <v>160</v>
      </c>
      <c r="F254" s="1" t="s">
        <v>8</v>
      </c>
    </row>
    <row r="255" spans="1:6" x14ac:dyDescent="0.25">
      <c r="A255" s="5" t="s">
        <v>276</v>
      </c>
      <c r="B255" s="6">
        <v>24</v>
      </c>
      <c r="C255" s="5" t="s">
        <v>43</v>
      </c>
      <c r="D255" s="7">
        <v>23.41</v>
      </c>
      <c r="E255" s="7">
        <v>561.91</v>
      </c>
      <c r="F255" s="5" t="s">
        <v>8</v>
      </c>
    </row>
    <row r="256" spans="1:6" x14ac:dyDescent="0.25">
      <c r="A256" s="1" t="s">
        <v>277</v>
      </c>
      <c r="B256" s="4">
        <v>1</v>
      </c>
      <c r="C256" s="1" t="s">
        <v>12</v>
      </c>
      <c r="D256" s="2">
        <v>356</v>
      </c>
      <c r="E256" s="2">
        <v>356</v>
      </c>
      <c r="F256" s="1" t="s">
        <v>8</v>
      </c>
    </row>
    <row r="257" spans="1:6" x14ac:dyDescent="0.25">
      <c r="A257" s="5" t="s">
        <v>278</v>
      </c>
      <c r="B257" s="6">
        <v>14</v>
      </c>
      <c r="C257" s="5" t="s">
        <v>15</v>
      </c>
      <c r="D257" s="7">
        <v>47.72</v>
      </c>
      <c r="E257" s="7">
        <v>668.04</v>
      </c>
      <c r="F257" s="5" t="s">
        <v>34</v>
      </c>
    </row>
    <row r="258" spans="1:6" x14ac:dyDescent="0.25">
      <c r="A258" s="1" t="s">
        <v>279</v>
      </c>
      <c r="B258" s="4">
        <v>97.5</v>
      </c>
      <c r="C258" s="1" t="s">
        <v>15</v>
      </c>
      <c r="D258" s="2">
        <v>131.29</v>
      </c>
      <c r="E258" s="2">
        <v>12801</v>
      </c>
      <c r="F258" s="1" t="s">
        <v>8</v>
      </c>
    </row>
    <row r="259" spans="1:6" x14ac:dyDescent="0.25">
      <c r="A259" s="5" t="s">
        <v>280</v>
      </c>
      <c r="B259" s="6">
        <v>172</v>
      </c>
      <c r="C259" s="5" t="s">
        <v>20</v>
      </c>
      <c r="D259" s="7">
        <v>122.42</v>
      </c>
      <c r="E259" s="7">
        <v>21055.4</v>
      </c>
      <c r="F259" s="5" t="s">
        <v>13</v>
      </c>
    </row>
    <row r="260" spans="1:6" x14ac:dyDescent="0.25">
      <c r="A260" s="1" t="s">
        <v>281</v>
      </c>
      <c r="B260" s="4">
        <v>4</v>
      </c>
      <c r="C260" s="1" t="s">
        <v>15</v>
      </c>
      <c r="D260" s="2">
        <v>400.35</v>
      </c>
      <c r="E260" s="2">
        <v>1601.38</v>
      </c>
      <c r="F260" s="1" t="s">
        <v>34</v>
      </c>
    </row>
    <row r="261" spans="1:6" x14ac:dyDescent="0.25">
      <c r="A261" s="5" t="s">
        <v>282</v>
      </c>
      <c r="B261" s="6">
        <v>9</v>
      </c>
      <c r="C261" s="5" t="s">
        <v>43</v>
      </c>
      <c r="D261" s="7">
        <v>284.8</v>
      </c>
      <c r="E261" s="7">
        <v>2563.16</v>
      </c>
      <c r="F261" s="5" t="s">
        <v>18</v>
      </c>
    </row>
    <row r="262" spans="1:6" x14ac:dyDescent="0.25">
      <c r="A262" s="1" t="s">
        <v>283</v>
      </c>
      <c r="B262" s="4">
        <v>20</v>
      </c>
      <c r="C262" s="1" t="s">
        <v>43</v>
      </c>
      <c r="D262" s="2">
        <v>50</v>
      </c>
      <c r="E262" s="2">
        <v>1000</v>
      </c>
      <c r="F262" s="1" t="s">
        <v>8</v>
      </c>
    </row>
    <row r="263" spans="1:6" x14ac:dyDescent="0.25">
      <c r="A263" s="5" t="s">
        <v>284</v>
      </c>
      <c r="B263" s="6">
        <v>7</v>
      </c>
      <c r="C263" s="5" t="s">
        <v>7</v>
      </c>
      <c r="D263" s="7">
        <v>46.63</v>
      </c>
      <c r="E263" s="7">
        <v>326.39999999999998</v>
      </c>
      <c r="F263" s="5" t="s">
        <v>8</v>
      </c>
    </row>
    <row r="264" spans="1:6" x14ac:dyDescent="0.25">
      <c r="A264" s="1" t="s">
        <v>285</v>
      </c>
      <c r="B264" s="4">
        <v>25</v>
      </c>
      <c r="C264" s="1" t="s">
        <v>43</v>
      </c>
      <c r="D264" s="2">
        <v>47.23</v>
      </c>
      <c r="E264" s="2">
        <v>1180.77</v>
      </c>
      <c r="F264" s="1" t="s">
        <v>8</v>
      </c>
    </row>
    <row r="265" spans="1:6" x14ac:dyDescent="0.25">
      <c r="A265" s="5" t="s">
        <v>286</v>
      </c>
      <c r="B265" s="6">
        <v>40</v>
      </c>
      <c r="C265" s="5" t="s">
        <v>43</v>
      </c>
      <c r="D265" s="7">
        <v>74.27</v>
      </c>
      <c r="E265" s="7">
        <v>2970.73</v>
      </c>
      <c r="F265" s="5" t="s">
        <v>8</v>
      </c>
    </row>
    <row r="266" spans="1:6" x14ac:dyDescent="0.25">
      <c r="A266" s="1" t="s">
        <v>287</v>
      </c>
      <c r="B266" s="4">
        <v>47</v>
      </c>
      <c r="C266" s="1" t="s">
        <v>43</v>
      </c>
      <c r="D266" s="2">
        <v>66</v>
      </c>
      <c r="E266" s="2">
        <v>3101.88</v>
      </c>
      <c r="F266" s="1" t="s">
        <v>8</v>
      </c>
    </row>
    <row r="267" spans="1:6" x14ac:dyDescent="0.25">
      <c r="A267" s="5" t="s">
        <v>288</v>
      </c>
      <c r="B267" s="6">
        <v>46.5</v>
      </c>
      <c r="C267" s="5" t="s">
        <v>15</v>
      </c>
      <c r="D267" s="7">
        <v>244.2</v>
      </c>
      <c r="E267" s="7">
        <v>11355.3</v>
      </c>
      <c r="F267" s="5" t="s">
        <v>8</v>
      </c>
    </row>
    <row r="268" spans="1:6" x14ac:dyDescent="0.25">
      <c r="A268" s="1" t="s">
        <v>289</v>
      </c>
      <c r="B268" s="4">
        <v>6</v>
      </c>
      <c r="C268" s="1" t="s">
        <v>43</v>
      </c>
      <c r="D268" s="2">
        <v>90</v>
      </c>
      <c r="E268" s="2">
        <v>540</v>
      </c>
      <c r="F268" s="1" t="s">
        <v>13</v>
      </c>
    </row>
    <row r="269" spans="1:6" x14ac:dyDescent="0.25">
      <c r="A269" s="5" t="s">
        <v>290</v>
      </c>
      <c r="B269" s="6">
        <v>0.59</v>
      </c>
      <c r="C269" s="5" t="s">
        <v>15</v>
      </c>
      <c r="D269" s="7">
        <v>620</v>
      </c>
      <c r="E269" s="7">
        <v>365.8</v>
      </c>
      <c r="F269" s="5" t="s">
        <v>8</v>
      </c>
    </row>
    <row r="270" spans="1:6" x14ac:dyDescent="0.25">
      <c r="A270" s="1" t="s">
        <v>291</v>
      </c>
      <c r="B270" s="4">
        <v>10</v>
      </c>
      <c r="C270" s="1" t="s">
        <v>43</v>
      </c>
      <c r="D270" s="2">
        <v>47.15</v>
      </c>
      <c r="E270" s="2">
        <v>471.5</v>
      </c>
      <c r="F270" s="1" t="s">
        <v>18</v>
      </c>
    </row>
    <row r="271" spans="1:6" x14ac:dyDescent="0.25">
      <c r="A271" s="5" t="s">
        <v>292</v>
      </c>
      <c r="B271" s="6">
        <v>3</v>
      </c>
      <c r="C271" s="5" t="s">
        <v>15</v>
      </c>
      <c r="D271" s="7">
        <v>669</v>
      </c>
      <c r="E271" s="7">
        <v>2007</v>
      </c>
      <c r="F271" s="5" t="s">
        <v>8</v>
      </c>
    </row>
    <row r="272" spans="1:6" x14ac:dyDescent="0.25">
      <c r="A272" s="1" t="s">
        <v>293</v>
      </c>
      <c r="B272" s="4">
        <v>6.8500003999999999</v>
      </c>
      <c r="C272" s="1" t="s">
        <v>15</v>
      </c>
      <c r="D272" s="2">
        <v>100</v>
      </c>
      <c r="E272" s="2">
        <v>685</v>
      </c>
      <c r="F272" s="1" t="s">
        <v>8</v>
      </c>
    </row>
    <row r="273" spans="1:6" x14ac:dyDescent="0.25">
      <c r="A273" s="5" t="s">
        <v>294</v>
      </c>
      <c r="B273" s="6">
        <v>2</v>
      </c>
      <c r="C273" s="5" t="s">
        <v>15</v>
      </c>
      <c r="D273" s="7">
        <v>507.48</v>
      </c>
      <c r="E273" s="7">
        <v>1014.97</v>
      </c>
      <c r="F273" s="5" t="s">
        <v>8</v>
      </c>
    </row>
    <row r="274" spans="1:6" x14ac:dyDescent="0.25">
      <c r="A274" s="1" t="s">
        <v>295</v>
      </c>
      <c r="B274" s="4">
        <v>39.4</v>
      </c>
      <c r="C274" s="1" t="s">
        <v>15</v>
      </c>
      <c r="D274" s="2">
        <v>99.33</v>
      </c>
      <c r="E274" s="2">
        <v>3913.73</v>
      </c>
      <c r="F274" s="1" t="s">
        <v>8</v>
      </c>
    </row>
    <row r="275" spans="1:6" x14ac:dyDescent="0.25">
      <c r="A275" s="5" t="s">
        <v>296</v>
      </c>
      <c r="B275" s="6">
        <v>40</v>
      </c>
      <c r="C275" s="5" t="s">
        <v>7</v>
      </c>
      <c r="D275" s="7">
        <v>42.01</v>
      </c>
      <c r="E275" s="7">
        <v>1680.5</v>
      </c>
      <c r="F275" s="5" t="s">
        <v>8</v>
      </c>
    </row>
    <row r="276" spans="1:6" x14ac:dyDescent="0.25">
      <c r="A276" s="1" t="s">
        <v>297</v>
      </c>
      <c r="B276" s="4">
        <v>0</v>
      </c>
      <c r="C276" s="1" t="s">
        <v>7</v>
      </c>
      <c r="D276" s="2">
        <v>119.3</v>
      </c>
      <c r="E276" s="2">
        <v>0</v>
      </c>
      <c r="F276" s="1" t="s">
        <v>34</v>
      </c>
    </row>
    <row r="277" spans="1:6" x14ac:dyDescent="0.25">
      <c r="A277" s="5" t="s">
        <v>298</v>
      </c>
      <c r="B277" s="6">
        <v>0</v>
      </c>
      <c r="C277" s="5" t="s">
        <v>12</v>
      </c>
      <c r="D277" s="7">
        <v>248.33</v>
      </c>
      <c r="E277" s="7">
        <v>0</v>
      </c>
      <c r="F277" s="5" t="s">
        <v>8</v>
      </c>
    </row>
    <row r="278" spans="1:6" x14ac:dyDescent="0.25">
      <c r="A278" s="1" t="s">
        <v>299</v>
      </c>
      <c r="B278" s="4">
        <v>1.5</v>
      </c>
      <c r="C278" s="1" t="s">
        <v>15</v>
      </c>
      <c r="D278" s="2">
        <v>2295</v>
      </c>
      <c r="E278" s="2">
        <v>3442.5</v>
      </c>
      <c r="F278" s="1" t="s">
        <v>8</v>
      </c>
    </row>
    <row r="279" spans="1:6" x14ac:dyDescent="0.25">
      <c r="A279" s="5" t="s">
        <v>300</v>
      </c>
      <c r="B279" s="6">
        <v>0</v>
      </c>
      <c r="C279" s="5" t="s">
        <v>77</v>
      </c>
      <c r="D279" s="7">
        <v>480</v>
      </c>
      <c r="E279" s="7">
        <v>0</v>
      </c>
      <c r="F279" s="5" t="s">
        <v>8</v>
      </c>
    </row>
    <row r="280" spans="1:6" x14ac:dyDescent="0.25">
      <c r="A280" s="1" t="s">
        <v>301</v>
      </c>
      <c r="B280" s="4">
        <v>2</v>
      </c>
      <c r="C280" s="1" t="s">
        <v>43</v>
      </c>
      <c r="D280" s="2">
        <v>258.39999999999998</v>
      </c>
      <c r="E280" s="2">
        <v>516.79999999999995</v>
      </c>
      <c r="F280" s="1" t="s">
        <v>8</v>
      </c>
    </row>
    <row r="281" spans="1:6" x14ac:dyDescent="0.25">
      <c r="A281" s="5" t="s">
        <v>302</v>
      </c>
      <c r="B281" s="6">
        <v>96</v>
      </c>
      <c r="C281" s="5" t="s">
        <v>7</v>
      </c>
      <c r="D281" s="7">
        <v>6.75</v>
      </c>
      <c r="E281" s="7">
        <v>648</v>
      </c>
      <c r="F281" s="5" t="s">
        <v>8</v>
      </c>
    </row>
    <row r="282" spans="1:6" x14ac:dyDescent="0.25">
      <c r="A282" s="1" t="s">
        <v>303</v>
      </c>
      <c r="B282" s="4">
        <v>106</v>
      </c>
      <c r="C282" s="1" t="s">
        <v>7</v>
      </c>
      <c r="D282" s="2">
        <v>6.5</v>
      </c>
      <c r="E282" s="2">
        <v>689</v>
      </c>
      <c r="F282" s="1" t="s">
        <v>8</v>
      </c>
    </row>
    <row r="283" spans="1:6" x14ac:dyDescent="0.25">
      <c r="A283" s="5" t="s">
        <v>304</v>
      </c>
      <c r="B283" s="6">
        <v>9</v>
      </c>
      <c r="C283" s="5" t="s">
        <v>43</v>
      </c>
      <c r="D283" s="7">
        <v>190</v>
      </c>
      <c r="E283" s="7">
        <v>1710</v>
      </c>
      <c r="F283" s="5" t="s">
        <v>8</v>
      </c>
    </row>
    <row r="284" spans="1:6" x14ac:dyDescent="0.25">
      <c r="A284" s="1" t="s">
        <v>305</v>
      </c>
      <c r="B284" s="4">
        <v>55</v>
      </c>
      <c r="C284" s="1" t="s">
        <v>15</v>
      </c>
      <c r="D284" s="2">
        <v>15.35</v>
      </c>
      <c r="E284" s="2">
        <v>844.5</v>
      </c>
      <c r="F284" s="1" t="s">
        <v>13</v>
      </c>
    </row>
    <row r="285" spans="1:6" x14ac:dyDescent="0.25">
      <c r="A285" s="5" t="s">
        <v>306</v>
      </c>
      <c r="B285" s="6">
        <v>9</v>
      </c>
      <c r="C285" s="5" t="s">
        <v>15</v>
      </c>
      <c r="D285" s="7">
        <v>0</v>
      </c>
      <c r="E285" s="7">
        <v>0</v>
      </c>
      <c r="F285" s="5" t="s">
        <v>8</v>
      </c>
    </row>
    <row r="286" spans="1:6" x14ac:dyDescent="0.25">
      <c r="A286" s="1" t="s">
        <v>307</v>
      </c>
      <c r="B286" s="4">
        <v>0</v>
      </c>
      <c r="C286" s="1" t="s">
        <v>15</v>
      </c>
      <c r="D286" s="2">
        <v>393.96</v>
      </c>
      <c r="E286" s="2">
        <v>0</v>
      </c>
      <c r="F286" s="1" t="s">
        <v>32</v>
      </c>
    </row>
    <row r="287" spans="1:6" x14ac:dyDescent="0.25">
      <c r="A287" s="5" t="s">
        <v>308</v>
      </c>
      <c r="B287" s="6">
        <v>1.84</v>
      </c>
      <c r="C287" s="5" t="s">
        <v>15</v>
      </c>
      <c r="D287" s="7">
        <v>72.55</v>
      </c>
      <c r="E287" s="7">
        <v>133.49</v>
      </c>
      <c r="F287" s="5" t="s">
        <v>34</v>
      </c>
    </row>
    <row r="288" spans="1:6" x14ac:dyDescent="0.25">
      <c r="A288" s="1" t="s">
        <v>309</v>
      </c>
      <c r="B288" s="4">
        <v>15</v>
      </c>
      <c r="C288" s="1" t="s">
        <v>7</v>
      </c>
      <c r="D288" s="2">
        <v>25</v>
      </c>
      <c r="E288" s="2">
        <v>375</v>
      </c>
      <c r="F288" s="1" t="s">
        <v>13</v>
      </c>
    </row>
    <row r="289" spans="1:6" x14ac:dyDescent="0.25">
      <c r="A289" s="5" t="s">
        <v>310</v>
      </c>
      <c r="B289" s="6">
        <v>52.05</v>
      </c>
      <c r="C289" s="5" t="s">
        <v>15</v>
      </c>
      <c r="D289" s="7">
        <v>93.11</v>
      </c>
      <c r="E289" s="7">
        <v>4846.43</v>
      </c>
      <c r="F289" s="5" t="s">
        <v>13</v>
      </c>
    </row>
    <row r="290" spans="1:6" x14ac:dyDescent="0.25">
      <c r="A290" s="1" t="s">
        <v>311</v>
      </c>
      <c r="B290" s="4">
        <v>0</v>
      </c>
      <c r="C290" s="1" t="s">
        <v>15</v>
      </c>
      <c r="D290" s="2">
        <v>0</v>
      </c>
      <c r="E290" s="2">
        <v>0</v>
      </c>
      <c r="F290" s="1" t="s">
        <v>8</v>
      </c>
    </row>
    <row r="291" spans="1:6" x14ac:dyDescent="0.25">
      <c r="A291" s="5" t="s">
        <v>312</v>
      </c>
      <c r="B291" s="6">
        <v>0</v>
      </c>
      <c r="C291" s="5" t="s">
        <v>15</v>
      </c>
      <c r="D291" s="7">
        <v>68.180000000000007</v>
      </c>
      <c r="E291" s="7">
        <v>0</v>
      </c>
      <c r="F291" s="5" t="s">
        <v>8</v>
      </c>
    </row>
    <row r="292" spans="1:6" x14ac:dyDescent="0.25">
      <c r="A292" s="1" t="s">
        <v>313</v>
      </c>
      <c r="B292" s="4">
        <v>7.94</v>
      </c>
      <c r="C292" s="1" t="s">
        <v>15</v>
      </c>
      <c r="D292" s="2">
        <v>101.71</v>
      </c>
      <c r="E292" s="2">
        <v>807.61</v>
      </c>
      <c r="F292" s="1" t="s">
        <v>8</v>
      </c>
    </row>
    <row r="293" spans="1:6" x14ac:dyDescent="0.25">
      <c r="A293" s="5" t="s">
        <v>314</v>
      </c>
      <c r="B293" s="6">
        <v>2</v>
      </c>
      <c r="C293" s="5" t="s">
        <v>15</v>
      </c>
      <c r="D293" s="7">
        <v>111.91</v>
      </c>
      <c r="E293" s="7">
        <v>223.82</v>
      </c>
      <c r="F293" s="5" t="s">
        <v>8</v>
      </c>
    </row>
    <row r="294" spans="1:6" x14ac:dyDescent="0.25">
      <c r="A294" s="1" t="s">
        <v>315</v>
      </c>
      <c r="B294" s="4">
        <v>10</v>
      </c>
      <c r="C294" s="1" t="s">
        <v>7</v>
      </c>
      <c r="D294" s="2">
        <v>110</v>
      </c>
      <c r="E294" s="2">
        <v>1100</v>
      </c>
      <c r="F294" s="1" t="s">
        <v>8</v>
      </c>
    </row>
    <row r="295" spans="1:6" x14ac:dyDescent="0.25">
      <c r="A295" s="5" t="s">
        <v>316</v>
      </c>
      <c r="B295" s="6">
        <v>500</v>
      </c>
      <c r="C295" s="5" t="s">
        <v>7</v>
      </c>
      <c r="D295" s="7">
        <v>7.06</v>
      </c>
      <c r="E295" s="7">
        <v>3531.25</v>
      </c>
      <c r="F295" s="5" t="s">
        <v>8</v>
      </c>
    </row>
    <row r="296" spans="1:6" x14ac:dyDescent="0.25">
      <c r="A296" s="1" t="s">
        <v>317</v>
      </c>
      <c r="B296" s="4">
        <v>64.22</v>
      </c>
      <c r="C296" s="1" t="s">
        <v>15</v>
      </c>
      <c r="D296" s="2">
        <v>263.3</v>
      </c>
      <c r="E296" s="2">
        <v>16908.8</v>
      </c>
      <c r="F296" s="1" t="s">
        <v>8</v>
      </c>
    </row>
    <row r="297" spans="1:6" x14ac:dyDescent="0.25">
      <c r="A297" s="5" t="s">
        <v>318</v>
      </c>
      <c r="B297" s="6">
        <v>11</v>
      </c>
      <c r="C297" s="5" t="s">
        <v>12</v>
      </c>
      <c r="D297" s="7">
        <v>37.22</v>
      </c>
      <c r="E297" s="7">
        <v>409.43</v>
      </c>
      <c r="F297" s="5" t="s">
        <v>13</v>
      </c>
    </row>
    <row r="298" spans="1:6" x14ac:dyDescent="0.25">
      <c r="A298" s="1" t="s">
        <v>319</v>
      </c>
      <c r="B298" s="4">
        <v>5.48</v>
      </c>
      <c r="C298" s="1" t="s">
        <v>15</v>
      </c>
      <c r="D298" s="2">
        <v>94.14</v>
      </c>
      <c r="E298" s="2">
        <v>515.87</v>
      </c>
      <c r="F298" s="1" t="s">
        <v>13</v>
      </c>
    </row>
    <row r="299" spans="1:6" x14ac:dyDescent="0.25">
      <c r="A299" s="5" t="s">
        <v>320</v>
      </c>
      <c r="B299" s="6">
        <v>9</v>
      </c>
      <c r="C299" s="5" t="s">
        <v>7</v>
      </c>
      <c r="D299" s="7">
        <v>76.010000000000005</v>
      </c>
      <c r="E299" s="7">
        <v>684.09</v>
      </c>
      <c r="F299" s="5" t="s">
        <v>8</v>
      </c>
    </row>
    <row r="300" spans="1:6" x14ac:dyDescent="0.25">
      <c r="A300" s="1" t="s">
        <v>321</v>
      </c>
      <c r="B300" s="4">
        <v>2</v>
      </c>
      <c r="C300" s="1" t="s">
        <v>12</v>
      </c>
      <c r="D300" s="2">
        <v>142.79</v>
      </c>
      <c r="E300" s="2">
        <v>285.57</v>
      </c>
      <c r="F300" s="1" t="s">
        <v>8</v>
      </c>
    </row>
    <row r="301" spans="1:6" x14ac:dyDescent="0.25">
      <c r="A301" s="5" t="s">
        <v>322</v>
      </c>
      <c r="B301" s="6">
        <v>5</v>
      </c>
      <c r="C301" s="5" t="s">
        <v>12</v>
      </c>
      <c r="D301" s="7">
        <v>43.78</v>
      </c>
      <c r="E301" s="7">
        <v>218.88</v>
      </c>
      <c r="F301" s="5" t="s">
        <v>8</v>
      </c>
    </row>
    <row r="302" spans="1:6" x14ac:dyDescent="0.25">
      <c r="A302" s="1" t="s">
        <v>323</v>
      </c>
      <c r="B302" s="4">
        <v>0</v>
      </c>
      <c r="C302" s="1" t="s">
        <v>7</v>
      </c>
      <c r="D302" s="2">
        <v>170</v>
      </c>
      <c r="E302" s="2">
        <v>0</v>
      </c>
      <c r="F302" s="1" t="s">
        <v>8</v>
      </c>
    </row>
    <row r="303" spans="1:6" x14ac:dyDescent="0.25">
      <c r="A303" s="5" t="s">
        <v>324</v>
      </c>
      <c r="B303" s="6">
        <v>24.65</v>
      </c>
      <c r="C303" s="5" t="s">
        <v>15</v>
      </c>
      <c r="D303" s="7">
        <v>140.5</v>
      </c>
      <c r="E303" s="7">
        <v>3463.32</v>
      </c>
      <c r="F303" s="5" t="s">
        <v>13</v>
      </c>
    </row>
    <row r="304" spans="1:6" x14ac:dyDescent="0.25">
      <c r="A304" s="1" t="s">
        <v>325</v>
      </c>
      <c r="B304" s="4">
        <v>0.91</v>
      </c>
      <c r="C304" s="1" t="s">
        <v>15</v>
      </c>
      <c r="D304" s="2">
        <v>373.75</v>
      </c>
      <c r="E304" s="2">
        <v>340.11</v>
      </c>
      <c r="F304" s="1" t="s">
        <v>8</v>
      </c>
    </row>
    <row r="305" spans="1:6" x14ac:dyDescent="0.25">
      <c r="A305" s="5" t="s">
        <v>326</v>
      </c>
      <c r="B305" s="6">
        <v>3.3420000000000001</v>
      </c>
      <c r="C305" s="5" t="s">
        <v>15</v>
      </c>
      <c r="D305" s="7">
        <v>88.63</v>
      </c>
      <c r="E305" s="7">
        <v>296.19</v>
      </c>
      <c r="F305" s="5" t="s">
        <v>8</v>
      </c>
    </row>
    <row r="306" spans="1:6" x14ac:dyDescent="0.25">
      <c r="A306" s="1" t="s">
        <v>327</v>
      </c>
      <c r="B306" s="4">
        <v>9</v>
      </c>
      <c r="C306" s="1" t="s">
        <v>7</v>
      </c>
      <c r="D306" s="2">
        <v>146.44</v>
      </c>
      <c r="E306" s="2">
        <v>1317.92</v>
      </c>
      <c r="F306" s="1" t="s">
        <v>13</v>
      </c>
    </row>
    <row r="307" spans="1:6" x14ac:dyDescent="0.25">
      <c r="A307" s="5" t="s">
        <v>328</v>
      </c>
      <c r="B307" s="6">
        <v>1.45</v>
      </c>
      <c r="C307" s="5" t="s">
        <v>15</v>
      </c>
      <c r="D307" s="7">
        <v>1227.6400000000001</v>
      </c>
      <c r="E307" s="7">
        <v>1780.08</v>
      </c>
      <c r="F307" s="5" t="s">
        <v>8</v>
      </c>
    </row>
    <row r="308" spans="1:6" x14ac:dyDescent="0.25">
      <c r="A308" s="1" t="s">
        <v>329</v>
      </c>
      <c r="B308" s="4">
        <v>60</v>
      </c>
      <c r="C308" s="1" t="s">
        <v>43</v>
      </c>
      <c r="D308" s="2">
        <v>10.45</v>
      </c>
      <c r="E308" s="2">
        <v>626.77</v>
      </c>
      <c r="F308" s="1" t="s">
        <v>8</v>
      </c>
    </row>
    <row r="309" spans="1:6" x14ac:dyDescent="0.25">
      <c r="A309" s="5" t="s">
        <v>330</v>
      </c>
      <c r="B309" s="6">
        <v>0</v>
      </c>
      <c r="C309" s="5" t="s">
        <v>7</v>
      </c>
      <c r="D309" s="7">
        <v>3.47</v>
      </c>
      <c r="E309" s="7">
        <v>0</v>
      </c>
      <c r="F309" s="5" t="s">
        <v>8</v>
      </c>
    </row>
    <row r="310" spans="1:6" x14ac:dyDescent="0.25">
      <c r="A310" s="1" t="s">
        <v>331</v>
      </c>
      <c r="B310" s="4">
        <v>23</v>
      </c>
      <c r="C310" s="1" t="s">
        <v>43</v>
      </c>
      <c r="D310" s="2">
        <v>117.69</v>
      </c>
      <c r="E310" s="2">
        <v>2706.8</v>
      </c>
      <c r="F310" s="1" t="s">
        <v>8</v>
      </c>
    </row>
    <row r="311" spans="1:6" x14ac:dyDescent="0.25">
      <c r="A311" s="5" t="s">
        <v>332</v>
      </c>
      <c r="B311" s="6">
        <v>0</v>
      </c>
      <c r="C311" s="5" t="s">
        <v>43</v>
      </c>
      <c r="D311" s="7">
        <v>141.47</v>
      </c>
      <c r="E311" s="7">
        <v>0</v>
      </c>
      <c r="F311" s="5" t="s">
        <v>8</v>
      </c>
    </row>
    <row r="312" spans="1:6" x14ac:dyDescent="0.25">
      <c r="A312" s="1" t="s">
        <v>333</v>
      </c>
      <c r="B312" s="4">
        <v>0</v>
      </c>
      <c r="C312" s="1" t="s">
        <v>12</v>
      </c>
      <c r="D312" s="2">
        <v>196.21</v>
      </c>
      <c r="E312" s="2">
        <v>0</v>
      </c>
      <c r="F312" s="1" t="s">
        <v>13</v>
      </c>
    </row>
    <row r="313" spans="1:6" x14ac:dyDescent="0.25">
      <c r="A313" s="5" t="s">
        <v>334</v>
      </c>
      <c r="B313" s="6">
        <v>22</v>
      </c>
      <c r="C313" s="5" t="s">
        <v>7</v>
      </c>
      <c r="D313" s="7">
        <v>15</v>
      </c>
      <c r="E313" s="7">
        <v>330</v>
      </c>
      <c r="F313" s="5" t="s">
        <v>8</v>
      </c>
    </row>
    <row r="314" spans="1:6" x14ac:dyDescent="0.25">
      <c r="A314" s="1" t="s">
        <v>335</v>
      </c>
      <c r="B314" s="4">
        <v>34</v>
      </c>
      <c r="C314" s="1" t="s">
        <v>7</v>
      </c>
      <c r="D314" s="2">
        <v>13.33</v>
      </c>
      <c r="E314" s="2">
        <v>453.33</v>
      </c>
      <c r="F314" s="1" t="s">
        <v>8</v>
      </c>
    </row>
    <row r="315" spans="1:6" x14ac:dyDescent="0.25">
      <c r="A315" s="5" t="s">
        <v>336</v>
      </c>
      <c r="B315" s="6">
        <v>890</v>
      </c>
      <c r="C315" s="5" t="s">
        <v>7</v>
      </c>
      <c r="D315" s="7">
        <v>18</v>
      </c>
      <c r="E315" s="7">
        <v>16020</v>
      </c>
      <c r="F315" s="5" t="s">
        <v>8</v>
      </c>
    </row>
    <row r="316" spans="1:6" x14ac:dyDescent="0.25">
      <c r="A316" s="1" t="s">
        <v>337</v>
      </c>
      <c r="B316" s="4">
        <v>6</v>
      </c>
      <c r="C316" s="1" t="s">
        <v>43</v>
      </c>
      <c r="D316" s="2">
        <v>90</v>
      </c>
      <c r="E316" s="2">
        <v>540</v>
      </c>
      <c r="F316" s="1" t="s">
        <v>8</v>
      </c>
    </row>
    <row r="317" spans="1:6" x14ac:dyDescent="0.25">
      <c r="A317" s="5" t="s">
        <v>338</v>
      </c>
      <c r="B317" s="6">
        <v>475</v>
      </c>
      <c r="C317" s="5" t="s">
        <v>7</v>
      </c>
      <c r="D317" s="7">
        <v>0.77</v>
      </c>
      <c r="E317" s="7">
        <v>366.15</v>
      </c>
      <c r="F317" s="5" t="s">
        <v>8</v>
      </c>
    </row>
    <row r="318" spans="1:6" x14ac:dyDescent="0.25">
      <c r="A318" s="1" t="s">
        <v>339</v>
      </c>
      <c r="B318" s="4">
        <v>609</v>
      </c>
      <c r="C318" s="1" t="s">
        <v>7</v>
      </c>
      <c r="D318" s="2">
        <v>5.5</v>
      </c>
      <c r="E318" s="2">
        <v>3349.5</v>
      </c>
      <c r="F318" s="1" t="s">
        <v>8</v>
      </c>
    </row>
    <row r="319" spans="1:6" x14ac:dyDescent="0.25">
      <c r="A319" s="5" t="s">
        <v>340</v>
      </c>
      <c r="B319" s="6">
        <v>643</v>
      </c>
      <c r="C319" s="5" t="s">
        <v>7</v>
      </c>
      <c r="D319" s="7">
        <v>5.5</v>
      </c>
      <c r="E319" s="7">
        <v>3536.5</v>
      </c>
      <c r="F319" s="5" t="s">
        <v>8</v>
      </c>
    </row>
    <row r="320" spans="1:6" x14ac:dyDescent="0.25">
      <c r="A320" s="1" t="s">
        <v>341</v>
      </c>
      <c r="B320" s="4">
        <v>12</v>
      </c>
      <c r="C320" s="1" t="s">
        <v>15</v>
      </c>
      <c r="D320" s="2">
        <v>0</v>
      </c>
      <c r="E320" s="2">
        <v>0</v>
      </c>
      <c r="F320" s="1" t="s">
        <v>8</v>
      </c>
    </row>
    <row r="321" spans="1:6" x14ac:dyDescent="0.25">
      <c r="A321" s="5" t="s">
        <v>342</v>
      </c>
      <c r="B321" s="6">
        <v>252</v>
      </c>
      <c r="C321" s="5" t="s">
        <v>7</v>
      </c>
      <c r="D321" s="7">
        <v>3.96</v>
      </c>
      <c r="E321" s="7">
        <v>997.04</v>
      </c>
      <c r="F321" s="5" t="s">
        <v>8</v>
      </c>
    </row>
    <row r="322" spans="1:6" x14ac:dyDescent="0.25">
      <c r="A322" s="1" t="s">
        <v>343</v>
      </c>
      <c r="B322" s="4">
        <v>4</v>
      </c>
      <c r="C322" s="1" t="s">
        <v>7</v>
      </c>
      <c r="D322" s="2">
        <v>368.75</v>
      </c>
      <c r="E322" s="2">
        <v>1475</v>
      </c>
      <c r="F322" s="1" t="s">
        <v>8</v>
      </c>
    </row>
    <row r="323" spans="1:6" x14ac:dyDescent="0.25">
      <c r="A323" s="5" t="s">
        <v>344</v>
      </c>
      <c r="B323" s="6">
        <v>41</v>
      </c>
      <c r="C323" s="5" t="s">
        <v>43</v>
      </c>
      <c r="D323" s="7">
        <v>45</v>
      </c>
      <c r="E323" s="7">
        <v>1845</v>
      </c>
      <c r="F323" s="5" t="s">
        <v>8</v>
      </c>
    </row>
    <row r="324" spans="1:6" x14ac:dyDescent="0.25">
      <c r="A324" s="1" t="s">
        <v>345</v>
      </c>
      <c r="B324" s="4">
        <v>20</v>
      </c>
      <c r="C324" s="1" t="s">
        <v>43</v>
      </c>
      <c r="D324" s="2">
        <v>52.08</v>
      </c>
      <c r="E324" s="2">
        <v>1041.67</v>
      </c>
      <c r="F324" s="1" t="s">
        <v>8</v>
      </c>
    </row>
    <row r="325" spans="1:6" x14ac:dyDescent="0.25">
      <c r="A325" s="5" t="s">
        <v>346</v>
      </c>
      <c r="B325" s="6">
        <v>34</v>
      </c>
      <c r="C325" s="5" t="s">
        <v>43</v>
      </c>
      <c r="D325" s="7">
        <v>67.5</v>
      </c>
      <c r="E325" s="7">
        <v>2295</v>
      </c>
      <c r="F325" s="5" t="s">
        <v>8</v>
      </c>
    </row>
    <row r="326" spans="1:6" x14ac:dyDescent="0.25">
      <c r="A326" s="1" t="s">
        <v>347</v>
      </c>
      <c r="B326" s="4">
        <v>31</v>
      </c>
      <c r="C326" s="1" t="s">
        <v>43</v>
      </c>
      <c r="D326" s="2">
        <v>90</v>
      </c>
      <c r="E326" s="2">
        <v>2790</v>
      </c>
      <c r="F326" s="1" t="s">
        <v>8</v>
      </c>
    </row>
    <row r="327" spans="1:6" x14ac:dyDescent="0.25">
      <c r="A327" s="5" t="s">
        <v>348</v>
      </c>
      <c r="B327" s="6">
        <v>12</v>
      </c>
      <c r="C327" s="5" t="s">
        <v>43</v>
      </c>
      <c r="D327" s="7">
        <v>120</v>
      </c>
      <c r="E327" s="7">
        <v>1440</v>
      </c>
      <c r="F327" s="5" t="s">
        <v>8</v>
      </c>
    </row>
    <row r="328" spans="1:6" x14ac:dyDescent="0.25">
      <c r="A328" s="1" t="s">
        <v>349</v>
      </c>
      <c r="B328" s="4">
        <v>8</v>
      </c>
      <c r="C328" s="1" t="s">
        <v>43</v>
      </c>
      <c r="D328" s="2">
        <v>39.380000000000003</v>
      </c>
      <c r="E328" s="2">
        <v>315.02999999999997</v>
      </c>
      <c r="F328" s="1" t="s">
        <v>13</v>
      </c>
    </row>
    <row r="329" spans="1:6" x14ac:dyDescent="0.25">
      <c r="A329" s="5" t="s">
        <v>350</v>
      </c>
      <c r="B329" s="6">
        <v>133.5</v>
      </c>
      <c r="C329" s="5" t="s">
        <v>20</v>
      </c>
      <c r="D329" s="7">
        <v>45</v>
      </c>
      <c r="E329" s="7">
        <v>6007.5</v>
      </c>
      <c r="F329" s="5" t="s">
        <v>8</v>
      </c>
    </row>
    <row r="330" spans="1:6" x14ac:dyDescent="0.25">
      <c r="A330" s="1" t="s">
        <v>351</v>
      </c>
      <c r="B330" s="4">
        <v>1258</v>
      </c>
      <c r="C330" s="1" t="s">
        <v>7</v>
      </c>
      <c r="D330" s="2">
        <v>2.58</v>
      </c>
      <c r="E330" s="2">
        <v>3249.83</v>
      </c>
      <c r="F330" s="1" t="s">
        <v>8</v>
      </c>
    </row>
    <row r="331" spans="1:6" x14ac:dyDescent="0.25">
      <c r="A331" s="5" t="s">
        <v>352</v>
      </c>
      <c r="B331" s="6">
        <v>29</v>
      </c>
      <c r="C331" s="5" t="s">
        <v>12</v>
      </c>
      <c r="D331" s="7">
        <v>18.09</v>
      </c>
      <c r="E331" s="7">
        <v>524.74</v>
      </c>
      <c r="F331" s="5" t="s">
        <v>8</v>
      </c>
    </row>
    <row r="332" spans="1:6" x14ac:dyDescent="0.25">
      <c r="A332" s="1" t="s">
        <v>353</v>
      </c>
      <c r="B332" s="4">
        <v>6</v>
      </c>
      <c r="C332" s="1" t="s">
        <v>20</v>
      </c>
      <c r="D332" s="2">
        <v>178.66</v>
      </c>
      <c r="E332" s="2">
        <v>1071.94</v>
      </c>
      <c r="F332" s="1" t="s">
        <v>8</v>
      </c>
    </row>
    <row r="333" spans="1:6" x14ac:dyDescent="0.25">
      <c r="A333" s="5" t="s">
        <v>354</v>
      </c>
      <c r="B333" s="6">
        <v>18</v>
      </c>
      <c r="C333" s="5" t="s">
        <v>20</v>
      </c>
      <c r="D333" s="7">
        <v>167.66</v>
      </c>
      <c r="E333" s="7">
        <v>3017.81</v>
      </c>
      <c r="F333" s="5" t="s">
        <v>8</v>
      </c>
    </row>
    <row r="334" spans="1:6" x14ac:dyDescent="0.25">
      <c r="A334" s="1" t="s">
        <v>355</v>
      </c>
      <c r="B334" s="4">
        <v>15.75</v>
      </c>
      <c r="C334" s="1" t="s">
        <v>15</v>
      </c>
      <c r="D334" s="2">
        <v>220</v>
      </c>
      <c r="E334" s="2">
        <v>3465</v>
      </c>
      <c r="F334" s="1" t="s">
        <v>8</v>
      </c>
    </row>
    <row r="335" spans="1:6" x14ac:dyDescent="0.25">
      <c r="A335" s="5" t="s">
        <v>356</v>
      </c>
      <c r="B335" s="6">
        <v>19</v>
      </c>
      <c r="C335" s="5" t="s">
        <v>15</v>
      </c>
      <c r="D335" s="7">
        <v>94.69</v>
      </c>
      <c r="E335" s="7">
        <v>1799.14</v>
      </c>
      <c r="F335" s="5" t="s">
        <v>8</v>
      </c>
    </row>
    <row r="336" spans="1:6" x14ac:dyDescent="0.25">
      <c r="A336" s="1" t="s">
        <v>357</v>
      </c>
      <c r="B336" s="4">
        <v>1</v>
      </c>
      <c r="C336" s="1" t="s">
        <v>12</v>
      </c>
      <c r="D336" s="2">
        <v>35.71</v>
      </c>
      <c r="E336" s="2">
        <v>35.71</v>
      </c>
      <c r="F336" s="1" t="s">
        <v>8</v>
      </c>
    </row>
    <row r="337" spans="1:6" x14ac:dyDescent="0.25">
      <c r="A337" s="5" t="s">
        <v>358</v>
      </c>
      <c r="B337" s="6">
        <v>0</v>
      </c>
      <c r="C337" s="5" t="s">
        <v>20</v>
      </c>
      <c r="D337" s="7">
        <v>64</v>
      </c>
      <c r="E337" s="7">
        <v>0</v>
      </c>
      <c r="F337" s="5" t="s">
        <v>8</v>
      </c>
    </row>
    <row r="338" spans="1:6" x14ac:dyDescent="0.25">
      <c r="A338" s="1" t="s">
        <v>359</v>
      </c>
      <c r="B338" s="4">
        <v>9</v>
      </c>
      <c r="C338" s="1" t="s">
        <v>7</v>
      </c>
      <c r="D338" s="2">
        <v>11.67</v>
      </c>
      <c r="E338" s="2">
        <v>105</v>
      </c>
      <c r="F338" s="1" t="s">
        <v>8</v>
      </c>
    </row>
    <row r="339" spans="1:6" x14ac:dyDescent="0.25">
      <c r="A339" s="5" t="s">
        <v>360</v>
      </c>
      <c r="B339" s="6">
        <v>2</v>
      </c>
      <c r="C339" s="5" t="s">
        <v>15</v>
      </c>
      <c r="D339" s="7">
        <v>60</v>
      </c>
      <c r="E339" s="7">
        <v>120</v>
      </c>
      <c r="F339" s="5" t="s">
        <v>18</v>
      </c>
    </row>
    <row r="340" spans="1:6" x14ac:dyDescent="0.25">
      <c r="A340" s="1" t="s">
        <v>361</v>
      </c>
      <c r="B340" s="4">
        <v>5</v>
      </c>
      <c r="C340" s="1" t="s">
        <v>43</v>
      </c>
      <c r="D340" s="2">
        <v>267.08</v>
      </c>
      <c r="E340" s="2">
        <v>1335.42</v>
      </c>
      <c r="F340" s="1" t="s">
        <v>8</v>
      </c>
    </row>
    <row r="341" spans="1:6" x14ac:dyDescent="0.25">
      <c r="A341" s="5" t="s">
        <v>362</v>
      </c>
      <c r="B341" s="6">
        <v>0.5</v>
      </c>
      <c r="C341" s="5" t="s">
        <v>12</v>
      </c>
      <c r="D341" s="7">
        <v>0</v>
      </c>
      <c r="E341" s="7">
        <v>0</v>
      </c>
      <c r="F341" s="5" t="s">
        <v>8</v>
      </c>
    </row>
    <row r="342" spans="1:6" x14ac:dyDescent="0.25">
      <c r="A342" s="1" t="s">
        <v>363</v>
      </c>
      <c r="B342" s="4">
        <v>47</v>
      </c>
      <c r="C342" s="1" t="s">
        <v>12</v>
      </c>
      <c r="D342" s="2">
        <v>33.04</v>
      </c>
      <c r="E342" s="2">
        <v>1552.81</v>
      </c>
      <c r="F342" s="1" t="s">
        <v>8</v>
      </c>
    </row>
    <row r="343" spans="1:6" x14ac:dyDescent="0.25">
      <c r="A343" s="5" t="s">
        <v>364</v>
      </c>
      <c r="B343" s="6">
        <v>1.03</v>
      </c>
      <c r="C343" s="5" t="s">
        <v>15</v>
      </c>
      <c r="D343" s="7">
        <v>692.33</v>
      </c>
      <c r="E343" s="7">
        <v>713.1</v>
      </c>
      <c r="F343" s="5" t="s">
        <v>8</v>
      </c>
    </row>
    <row r="344" spans="1:6" x14ac:dyDescent="0.25">
      <c r="A344" s="1" t="s">
        <v>365</v>
      </c>
      <c r="B344" s="4">
        <v>0</v>
      </c>
      <c r="C344" s="1" t="s">
        <v>12</v>
      </c>
      <c r="D344" s="2">
        <v>211</v>
      </c>
      <c r="E344" s="2">
        <v>0</v>
      </c>
      <c r="F344" s="1" t="s">
        <v>8</v>
      </c>
    </row>
    <row r="345" spans="1:6" x14ac:dyDescent="0.25">
      <c r="A345" s="5" t="s">
        <v>366</v>
      </c>
      <c r="B345" s="6">
        <v>0</v>
      </c>
      <c r="C345" s="5" t="s">
        <v>77</v>
      </c>
      <c r="D345" s="7">
        <v>526</v>
      </c>
      <c r="E345" s="7">
        <v>0</v>
      </c>
      <c r="F345" s="5" t="s">
        <v>8</v>
      </c>
    </row>
    <row r="346" spans="1:6" x14ac:dyDescent="0.25">
      <c r="A346" s="1" t="s">
        <v>367</v>
      </c>
      <c r="B346" s="4">
        <v>66</v>
      </c>
      <c r="C346" s="1" t="s">
        <v>43</v>
      </c>
      <c r="D346" s="2">
        <v>28.27</v>
      </c>
      <c r="E346" s="2">
        <v>1866.05</v>
      </c>
      <c r="F346" s="1" t="s">
        <v>8</v>
      </c>
    </row>
    <row r="347" spans="1:6" x14ac:dyDescent="0.25">
      <c r="A347" s="5" t="s">
        <v>368</v>
      </c>
      <c r="B347" s="6">
        <v>61</v>
      </c>
      <c r="C347" s="5" t="s">
        <v>43</v>
      </c>
      <c r="D347" s="7">
        <v>40.25</v>
      </c>
      <c r="E347" s="7">
        <v>2455.25</v>
      </c>
      <c r="F347" s="5" t="s">
        <v>8</v>
      </c>
    </row>
    <row r="348" spans="1:6" x14ac:dyDescent="0.25">
      <c r="A348" s="1" t="s">
        <v>369</v>
      </c>
      <c r="B348" s="4">
        <v>93.81</v>
      </c>
      <c r="C348" s="1" t="s">
        <v>15</v>
      </c>
      <c r="D348" s="2">
        <v>45.05</v>
      </c>
      <c r="E348" s="2">
        <v>4226.0600000000004</v>
      </c>
      <c r="F348" s="1" t="s">
        <v>13</v>
      </c>
    </row>
    <row r="349" spans="1:6" x14ac:dyDescent="0.25">
      <c r="A349" s="5" t="s">
        <v>370</v>
      </c>
      <c r="B349" s="6">
        <v>97</v>
      </c>
      <c r="C349" s="5" t="s">
        <v>20</v>
      </c>
      <c r="D349" s="7">
        <v>153.82</v>
      </c>
      <c r="E349" s="7">
        <v>14920.8</v>
      </c>
      <c r="F349" s="5" t="s">
        <v>13</v>
      </c>
    </row>
    <row r="350" spans="1:6" x14ac:dyDescent="0.25">
      <c r="A350" s="1" t="s">
        <v>371</v>
      </c>
      <c r="B350" s="4">
        <v>16</v>
      </c>
      <c r="C350" s="1" t="s">
        <v>15</v>
      </c>
      <c r="D350" s="2">
        <v>63</v>
      </c>
      <c r="E350" s="2">
        <v>1008</v>
      </c>
      <c r="F350" s="1" t="s">
        <v>8</v>
      </c>
    </row>
    <row r="351" spans="1:6" x14ac:dyDescent="0.25">
      <c r="A351" s="5" t="s">
        <v>372</v>
      </c>
      <c r="B351" s="6">
        <v>0</v>
      </c>
      <c r="C351" s="5" t="s">
        <v>43</v>
      </c>
      <c r="D351" s="7">
        <v>100</v>
      </c>
      <c r="E351" s="7">
        <v>0</v>
      </c>
      <c r="F351" s="5" t="s">
        <v>8</v>
      </c>
    </row>
    <row r="352" spans="1:6" x14ac:dyDescent="0.25">
      <c r="A352" s="1" t="s">
        <v>373</v>
      </c>
      <c r="B352" s="4">
        <v>16</v>
      </c>
      <c r="C352" s="1" t="s">
        <v>43</v>
      </c>
      <c r="D352" s="2">
        <v>310</v>
      </c>
      <c r="E352" s="2">
        <v>4960</v>
      </c>
      <c r="F352" s="1" t="s">
        <v>8</v>
      </c>
    </row>
    <row r="353" spans="1:6" x14ac:dyDescent="0.25">
      <c r="A353" s="5" t="s">
        <v>374</v>
      </c>
      <c r="B353" s="6">
        <v>3</v>
      </c>
      <c r="C353" s="5" t="s">
        <v>43</v>
      </c>
      <c r="D353" s="7">
        <v>83.15</v>
      </c>
      <c r="E353" s="7">
        <v>249.45</v>
      </c>
      <c r="F353" s="5" t="s">
        <v>8</v>
      </c>
    </row>
    <row r="354" spans="1:6" x14ac:dyDescent="0.25">
      <c r="A354" s="1" t="s">
        <v>375</v>
      </c>
      <c r="B354" s="4">
        <v>9</v>
      </c>
      <c r="C354" s="1" t="s">
        <v>27</v>
      </c>
      <c r="D354" s="2">
        <v>49.33</v>
      </c>
      <c r="E354" s="2">
        <v>444.01</v>
      </c>
      <c r="F354" s="1" t="s">
        <v>8</v>
      </c>
    </row>
    <row r="355" spans="1:6" x14ac:dyDescent="0.25">
      <c r="A355" s="5" t="s">
        <v>376</v>
      </c>
      <c r="B355" s="6">
        <v>4.2</v>
      </c>
      <c r="C355" s="5" t="s">
        <v>15</v>
      </c>
      <c r="D355" s="7">
        <v>109</v>
      </c>
      <c r="E355" s="7">
        <v>457.79</v>
      </c>
      <c r="F355" s="5" t="s">
        <v>8</v>
      </c>
    </row>
    <row r="356" spans="1:6" x14ac:dyDescent="0.25">
      <c r="A356" s="1" t="s">
        <v>377</v>
      </c>
      <c r="B356" s="4">
        <v>28</v>
      </c>
      <c r="C356" s="1" t="s">
        <v>15</v>
      </c>
      <c r="D356" s="2">
        <v>14.78</v>
      </c>
      <c r="E356" s="2">
        <v>413.91</v>
      </c>
      <c r="F356" s="1" t="s">
        <v>34</v>
      </c>
    </row>
    <row r="357" spans="1:6" x14ac:dyDescent="0.25">
      <c r="A357" s="5" t="s">
        <v>378</v>
      </c>
      <c r="B357" s="6">
        <v>0</v>
      </c>
      <c r="C357" s="5" t="s">
        <v>43</v>
      </c>
      <c r="D357" s="7">
        <v>161.19</v>
      </c>
      <c r="E357" s="7">
        <v>0</v>
      </c>
      <c r="F357" s="5" t="s">
        <v>8</v>
      </c>
    </row>
    <row r="358" spans="1:6" x14ac:dyDescent="0.25">
      <c r="A358" s="1" t="s">
        <v>379</v>
      </c>
      <c r="B358" s="4">
        <v>4.0999999999999996</v>
      </c>
      <c r="C358" s="1" t="s">
        <v>15</v>
      </c>
      <c r="D358" s="2">
        <v>611.11</v>
      </c>
      <c r="E358" s="2">
        <v>2505.54</v>
      </c>
      <c r="F358" s="1" t="s">
        <v>13</v>
      </c>
    </row>
    <row r="359" spans="1:6" x14ac:dyDescent="0.25">
      <c r="A359" s="5" t="s">
        <v>380</v>
      </c>
      <c r="B359" s="6">
        <v>81</v>
      </c>
      <c r="C359" s="5" t="s">
        <v>43</v>
      </c>
      <c r="D359" s="7">
        <v>25.25</v>
      </c>
      <c r="E359" s="7">
        <v>2045.37</v>
      </c>
      <c r="F359" s="5" t="s">
        <v>8</v>
      </c>
    </row>
    <row r="360" spans="1:6" x14ac:dyDescent="0.25">
      <c r="A360" s="1" t="s">
        <v>381</v>
      </c>
      <c r="B360" s="4">
        <v>8</v>
      </c>
      <c r="C360" s="1" t="s">
        <v>43</v>
      </c>
      <c r="D360" s="2">
        <v>22.75</v>
      </c>
      <c r="E360" s="2">
        <v>182</v>
      </c>
      <c r="F360" s="1" t="s">
        <v>8</v>
      </c>
    </row>
    <row r="361" spans="1:6" x14ac:dyDescent="0.25">
      <c r="A361" s="5" t="s">
        <v>382</v>
      </c>
      <c r="B361" s="6">
        <v>8</v>
      </c>
      <c r="C361" s="5" t="s">
        <v>43</v>
      </c>
      <c r="D361" s="7">
        <v>18</v>
      </c>
      <c r="E361" s="7">
        <v>144</v>
      </c>
      <c r="F361" s="5" t="s">
        <v>8</v>
      </c>
    </row>
    <row r="362" spans="1:6" x14ac:dyDescent="0.25">
      <c r="A362" s="1" t="s">
        <v>383</v>
      </c>
      <c r="B362" s="4">
        <v>1</v>
      </c>
      <c r="C362" s="1" t="s">
        <v>15</v>
      </c>
      <c r="D362" s="2">
        <v>320</v>
      </c>
      <c r="E362" s="2">
        <v>320</v>
      </c>
      <c r="F362" s="1" t="s">
        <v>13</v>
      </c>
    </row>
    <row r="363" spans="1:6" x14ac:dyDescent="0.25">
      <c r="A363" s="5" t="s">
        <v>384</v>
      </c>
      <c r="B363" s="6">
        <v>1.5</v>
      </c>
      <c r="C363" s="5" t="s">
        <v>15</v>
      </c>
      <c r="D363" s="7">
        <v>1895</v>
      </c>
      <c r="E363" s="7">
        <v>2842.5</v>
      </c>
      <c r="F363" s="5" t="s">
        <v>8</v>
      </c>
    </row>
    <row r="364" spans="1:6" x14ac:dyDescent="0.25">
      <c r="A364" s="1" t="s">
        <v>385</v>
      </c>
      <c r="B364" s="4">
        <v>0</v>
      </c>
      <c r="C364" s="1" t="s">
        <v>15</v>
      </c>
      <c r="D364" s="2">
        <v>40</v>
      </c>
      <c r="E364" s="2">
        <v>0</v>
      </c>
      <c r="F364" s="1" t="s">
        <v>32</v>
      </c>
    </row>
    <row r="365" spans="1:6" x14ac:dyDescent="0.25">
      <c r="A365" s="5" t="s">
        <v>386</v>
      </c>
      <c r="B365" s="6">
        <v>0</v>
      </c>
      <c r="C365" s="5" t="s">
        <v>12</v>
      </c>
      <c r="D365" s="7">
        <v>0</v>
      </c>
      <c r="E365" s="7">
        <v>0</v>
      </c>
      <c r="F365" s="5" t="s">
        <v>8</v>
      </c>
    </row>
    <row r="366" spans="1:6" x14ac:dyDescent="0.25">
      <c r="A366" s="1" t="s">
        <v>387</v>
      </c>
      <c r="B366" s="4">
        <v>36</v>
      </c>
      <c r="C366" s="1" t="s">
        <v>15</v>
      </c>
      <c r="D366" s="2">
        <v>156.76</v>
      </c>
      <c r="E366" s="2">
        <v>5643.43</v>
      </c>
      <c r="F366" s="1" t="s">
        <v>13</v>
      </c>
    </row>
    <row r="367" spans="1:6" x14ac:dyDescent="0.25">
      <c r="A367" s="5" t="s">
        <v>388</v>
      </c>
      <c r="B367" s="6">
        <v>0</v>
      </c>
      <c r="C367" s="5" t="s">
        <v>7</v>
      </c>
      <c r="D367" s="7">
        <v>90</v>
      </c>
      <c r="E367" s="7">
        <v>0</v>
      </c>
      <c r="F367" s="5" t="s">
        <v>8</v>
      </c>
    </row>
    <row r="368" spans="1:6" x14ac:dyDescent="0.25">
      <c r="A368" s="1" t="s">
        <v>389</v>
      </c>
      <c r="B368" s="4">
        <v>1498</v>
      </c>
      <c r="C368" s="1" t="s">
        <v>7</v>
      </c>
      <c r="D368" s="2">
        <v>0.68</v>
      </c>
      <c r="E368" s="2">
        <v>1015.43</v>
      </c>
      <c r="F368" s="1" t="s">
        <v>8</v>
      </c>
    </row>
    <row r="369" spans="1:6" x14ac:dyDescent="0.25">
      <c r="A369" s="5" t="s">
        <v>390</v>
      </c>
      <c r="B369" s="6">
        <v>11</v>
      </c>
      <c r="C369" s="5" t="s">
        <v>12</v>
      </c>
      <c r="D369" s="7">
        <v>69.33</v>
      </c>
      <c r="E369" s="7">
        <v>762.67</v>
      </c>
      <c r="F369" s="5" t="s">
        <v>13</v>
      </c>
    </row>
    <row r="370" spans="1:6" x14ac:dyDescent="0.25">
      <c r="A370" s="1" t="s">
        <v>391</v>
      </c>
      <c r="B370" s="4">
        <v>29</v>
      </c>
      <c r="C370" s="1" t="s">
        <v>392</v>
      </c>
      <c r="D370" s="2">
        <v>13</v>
      </c>
      <c r="E370" s="2">
        <v>377</v>
      </c>
      <c r="F370" s="1" t="s">
        <v>8</v>
      </c>
    </row>
    <row r="371" spans="1:6" x14ac:dyDescent="0.25">
      <c r="A371" s="5" t="s">
        <v>393</v>
      </c>
      <c r="B371" s="6">
        <v>0</v>
      </c>
      <c r="C371" s="5" t="s">
        <v>7</v>
      </c>
      <c r="D371" s="7">
        <v>143</v>
      </c>
      <c r="E371" s="7">
        <v>0</v>
      </c>
      <c r="F371" s="5" t="s">
        <v>8</v>
      </c>
    </row>
    <row r="372" spans="1:6" x14ac:dyDescent="0.25">
      <c r="A372" s="1" t="s">
        <v>394</v>
      </c>
      <c r="B372" s="4">
        <v>70</v>
      </c>
      <c r="C372" s="1" t="s">
        <v>15</v>
      </c>
      <c r="D372" s="2">
        <v>113</v>
      </c>
      <c r="E372" s="2">
        <v>7910</v>
      </c>
      <c r="F372" s="1" t="s">
        <v>8</v>
      </c>
    </row>
    <row r="373" spans="1:6" x14ac:dyDescent="0.25">
      <c r="A373" s="5" t="s">
        <v>395</v>
      </c>
      <c r="B373" s="6">
        <v>48.7</v>
      </c>
      <c r="C373" s="5" t="s">
        <v>15</v>
      </c>
      <c r="D373" s="7">
        <v>192.71</v>
      </c>
      <c r="E373" s="7">
        <v>9385.08</v>
      </c>
      <c r="F373" s="5" t="s">
        <v>13</v>
      </c>
    </row>
    <row r="374" spans="1:6" x14ac:dyDescent="0.25">
      <c r="A374" s="1" t="s">
        <v>396</v>
      </c>
      <c r="B374" s="4">
        <v>0</v>
      </c>
      <c r="C374" s="1" t="s">
        <v>43</v>
      </c>
      <c r="D374" s="2">
        <v>78</v>
      </c>
      <c r="E374" s="2">
        <v>0</v>
      </c>
      <c r="F374" s="1" t="s">
        <v>8</v>
      </c>
    </row>
    <row r="375" spans="1:6" x14ac:dyDescent="0.25">
      <c r="A375" s="5" t="s">
        <v>397</v>
      </c>
      <c r="B375" s="6">
        <v>53.814</v>
      </c>
      <c r="C375" s="5" t="s">
        <v>15</v>
      </c>
      <c r="D375" s="7">
        <v>39.770000000000003</v>
      </c>
      <c r="E375" s="7">
        <v>2140.2600000000002</v>
      </c>
      <c r="F375" s="5" t="s">
        <v>13</v>
      </c>
    </row>
    <row r="376" spans="1:6" x14ac:dyDescent="0.25">
      <c r="A376" s="1" t="s">
        <v>398</v>
      </c>
      <c r="B376" s="4">
        <v>147.30199999999999</v>
      </c>
      <c r="C376" s="1" t="s">
        <v>15</v>
      </c>
      <c r="D376" s="2">
        <v>133.86000000000001</v>
      </c>
      <c r="E376" s="2">
        <v>19718.400000000001</v>
      </c>
      <c r="F376" s="1" t="s">
        <v>8</v>
      </c>
    </row>
    <row r="377" spans="1:6" x14ac:dyDescent="0.25">
      <c r="A377" s="5" t="s">
        <v>399</v>
      </c>
      <c r="B377" s="6">
        <v>2.5</v>
      </c>
      <c r="C377" s="5" t="s">
        <v>15</v>
      </c>
      <c r="D377" s="7">
        <v>452.52</v>
      </c>
      <c r="E377" s="7">
        <v>1131.31</v>
      </c>
      <c r="F377" s="5" t="s">
        <v>8</v>
      </c>
    </row>
    <row r="378" spans="1:6" x14ac:dyDescent="0.25">
      <c r="A378" s="1" t="s">
        <v>400</v>
      </c>
      <c r="B378" s="4">
        <v>4</v>
      </c>
      <c r="C378" s="1" t="s">
        <v>7</v>
      </c>
      <c r="D378" s="2">
        <v>30</v>
      </c>
      <c r="E378" s="2">
        <v>120</v>
      </c>
      <c r="F378" s="1" t="s">
        <v>13</v>
      </c>
    </row>
    <row r="379" spans="1:6" x14ac:dyDescent="0.25">
      <c r="A379" s="5" t="s">
        <v>401</v>
      </c>
      <c r="B379" s="6">
        <v>0</v>
      </c>
      <c r="C379" s="5" t="s">
        <v>77</v>
      </c>
      <c r="D379" s="7">
        <v>478.83</v>
      </c>
      <c r="E379" s="7">
        <v>0</v>
      </c>
      <c r="F379" s="5" t="s">
        <v>13</v>
      </c>
    </row>
    <row r="380" spans="1:6" x14ac:dyDescent="0.25">
      <c r="A380" s="1" t="s">
        <v>402</v>
      </c>
      <c r="B380" s="4">
        <v>5</v>
      </c>
      <c r="C380" s="1" t="s">
        <v>43</v>
      </c>
      <c r="D380" s="2">
        <v>164.54</v>
      </c>
      <c r="E380" s="2">
        <v>822.72</v>
      </c>
      <c r="F380" s="1" t="s">
        <v>18</v>
      </c>
    </row>
    <row r="381" spans="1:6" x14ac:dyDescent="0.25">
      <c r="A381" s="5" t="s">
        <v>403</v>
      </c>
      <c r="B381" s="6">
        <v>4</v>
      </c>
      <c r="C381" s="5" t="s">
        <v>12</v>
      </c>
      <c r="D381" s="7">
        <v>182</v>
      </c>
      <c r="E381" s="7">
        <v>728</v>
      </c>
      <c r="F381" s="5" t="s">
        <v>8</v>
      </c>
    </row>
    <row r="382" spans="1:6" x14ac:dyDescent="0.25">
      <c r="A382" s="1" t="s">
        <v>404</v>
      </c>
      <c r="B382" s="4">
        <v>0.4</v>
      </c>
      <c r="C382" s="1" t="s">
        <v>15</v>
      </c>
      <c r="D382" s="2">
        <v>4419.6099999999997</v>
      </c>
      <c r="E382" s="2">
        <v>1767.84</v>
      </c>
      <c r="F382" s="1" t="s">
        <v>8</v>
      </c>
    </row>
    <row r="383" spans="1:6" x14ac:dyDescent="0.25">
      <c r="A383" s="5" t="s">
        <v>405</v>
      </c>
      <c r="B383" s="6">
        <v>3</v>
      </c>
      <c r="C383" s="5" t="s">
        <v>12</v>
      </c>
      <c r="D383" s="7">
        <v>34.17</v>
      </c>
      <c r="E383" s="7">
        <v>102.51</v>
      </c>
      <c r="F383" s="5" t="s">
        <v>8</v>
      </c>
    </row>
    <row r="384" spans="1:6" x14ac:dyDescent="0.25">
      <c r="A384" s="1" t="s">
        <v>406</v>
      </c>
      <c r="B384" s="4">
        <v>20</v>
      </c>
      <c r="C384" s="1" t="s">
        <v>43</v>
      </c>
      <c r="D384" s="2">
        <v>38.89</v>
      </c>
      <c r="E384" s="2">
        <v>777.78</v>
      </c>
      <c r="F384" s="1" t="s">
        <v>8</v>
      </c>
    </row>
    <row r="385" spans="1:6" x14ac:dyDescent="0.25">
      <c r="A385" s="5" t="s">
        <v>407</v>
      </c>
      <c r="B385" s="6">
        <v>0</v>
      </c>
      <c r="C385" s="5" t="s">
        <v>12</v>
      </c>
      <c r="D385" s="7">
        <v>211.25</v>
      </c>
      <c r="E385" s="7">
        <v>0</v>
      </c>
      <c r="F385" s="5" t="s">
        <v>8</v>
      </c>
    </row>
    <row r="386" spans="1:6" x14ac:dyDescent="0.25">
      <c r="A386" s="1" t="s">
        <v>408</v>
      </c>
      <c r="B386" s="4">
        <v>0</v>
      </c>
      <c r="C386" s="1" t="s">
        <v>15</v>
      </c>
      <c r="D386" s="2">
        <v>37.51</v>
      </c>
      <c r="E386" s="2">
        <v>0</v>
      </c>
      <c r="F386" s="1" t="s">
        <v>32</v>
      </c>
    </row>
    <row r="387" spans="1:6" x14ac:dyDescent="0.25">
      <c r="A387" s="5" t="s">
        <v>409</v>
      </c>
      <c r="B387" s="6">
        <v>53.8</v>
      </c>
      <c r="C387" s="5" t="s">
        <v>15</v>
      </c>
      <c r="D387" s="7">
        <v>51.57</v>
      </c>
      <c r="E387" s="7">
        <v>2774.54</v>
      </c>
      <c r="F387" s="5" t="s">
        <v>8</v>
      </c>
    </row>
    <row r="388" spans="1:6" x14ac:dyDescent="0.25">
      <c r="A388" s="1" t="s">
        <v>410</v>
      </c>
      <c r="B388" s="4">
        <v>4</v>
      </c>
      <c r="C388" s="1" t="s">
        <v>15</v>
      </c>
      <c r="D388" s="2">
        <v>140.91</v>
      </c>
      <c r="E388" s="2">
        <v>563.64</v>
      </c>
      <c r="F388" s="1" t="s">
        <v>8</v>
      </c>
    </row>
    <row r="389" spans="1:6" x14ac:dyDescent="0.25">
      <c r="A389" s="5" t="s">
        <v>411</v>
      </c>
      <c r="B389" s="6">
        <v>11</v>
      </c>
      <c r="C389" s="5" t="s">
        <v>7</v>
      </c>
      <c r="D389" s="7">
        <v>115.71</v>
      </c>
      <c r="E389" s="7">
        <v>1272.8499999999999</v>
      </c>
      <c r="F389" s="5" t="s">
        <v>8</v>
      </c>
    </row>
    <row r="390" spans="1:6" x14ac:dyDescent="0.25">
      <c r="A390" s="1" t="s">
        <v>412</v>
      </c>
      <c r="B390" s="4">
        <v>6</v>
      </c>
      <c r="C390" s="1" t="s">
        <v>7</v>
      </c>
      <c r="D390" s="2">
        <v>162.5</v>
      </c>
      <c r="E390" s="2">
        <v>975</v>
      </c>
      <c r="F390" s="1" t="s">
        <v>8</v>
      </c>
    </row>
    <row r="391" spans="1:6" x14ac:dyDescent="0.25">
      <c r="A391" s="5" t="s">
        <v>413</v>
      </c>
      <c r="B391" s="6">
        <v>29</v>
      </c>
      <c r="C391" s="5" t="s">
        <v>43</v>
      </c>
      <c r="D391" s="7">
        <v>64.290000000000006</v>
      </c>
      <c r="E391" s="7">
        <v>1864.29</v>
      </c>
      <c r="F391" s="5" t="s">
        <v>8</v>
      </c>
    </row>
    <row r="392" spans="1:6" x14ac:dyDescent="0.25">
      <c r="A392" s="1" t="s">
        <v>414</v>
      </c>
      <c r="B392" s="4">
        <v>0</v>
      </c>
      <c r="C392" s="1" t="s">
        <v>43</v>
      </c>
      <c r="D392" s="2">
        <v>70</v>
      </c>
      <c r="E392" s="2">
        <v>0</v>
      </c>
      <c r="F392" s="1" t="s">
        <v>8</v>
      </c>
    </row>
    <row r="393" spans="1:6" x14ac:dyDescent="0.25">
      <c r="A393" s="5" t="s">
        <v>415</v>
      </c>
      <c r="B393" s="6">
        <v>14</v>
      </c>
      <c r="C393" s="5" t="s">
        <v>43</v>
      </c>
      <c r="D393" s="7">
        <v>61.56</v>
      </c>
      <c r="E393" s="7">
        <v>861.88</v>
      </c>
      <c r="F393" s="5" t="s">
        <v>8</v>
      </c>
    </row>
    <row r="394" spans="1:6" x14ac:dyDescent="0.25">
      <c r="A394" s="1" t="s">
        <v>416</v>
      </c>
      <c r="B394" s="4">
        <v>36</v>
      </c>
      <c r="C394" s="1" t="s">
        <v>43</v>
      </c>
      <c r="D394" s="2">
        <v>40</v>
      </c>
      <c r="E394" s="2">
        <v>1440</v>
      </c>
      <c r="F394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65AB-4ABB-40C3-BEB1-D1F066AA1AF7}">
  <dimension ref="A1:D447"/>
  <sheetViews>
    <sheetView topLeftCell="A100" workbookViewId="0">
      <selection activeCell="A13" sqref="A13"/>
    </sheetView>
  </sheetViews>
  <sheetFormatPr defaultRowHeight="20.25" customHeight="1" x14ac:dyDescent="0.25"/>
  <cols>
    <col min="1" max="1" width="27.85546875" bestFit="1" customWidth="1"/>
    <col min="2" max="2" width="16.28515625" bestFit="1" customWidth="1"/>
    <col min="3" max="3" width="26.7109375" bestFit="1" customWidth="1"/>
    <col min="4" max="4" width="12" bestFit="1" customWidth="1"/>
  </cols>
  <sheetData>
    <row r="1" spans="1:4" ht="20.25" customHeight="1" x14ac:dyDescent="0.25">
      <c r="A1" s="11" t="s">
        <v>0</v>
      </c>
      <c r="B1" s="12" t="s">
        <v>1</v>
      </c>
      <c r="C1" s="12" t="s">
        <v>417</v>
      </c>
      <c r="D1" s="13" t="s">
        <v>418</v>
      </c>
    </row>
    <row r="2" spans="1:4" ht="20.25" customHeight="1" x14ac:dyDescent="0.25">
      <c r="A2" s="9" t="s">
        <v>9</v>
      </c>
      <c r="B2" s="8">
        <v>248</v>
      </c>
      <c r="C2" s="8">
        <v>12</v>
      </c>
      <c r="D2" s="10">
        <v>2976</v>
      </c>
    </row>
    <row r="3" spans="1:4" ht="20.25" customHeight="1" x14ac:dyDescent="0.25">
      <c r="A3" s="9" t="s">
        <v>419</v>
      </c>
      <c r="B3" s="8">
        <v>0</v>
      </c>
      <c r="C3" s="8">
        <v>707.14300000000003</v>
      </c>
      <c r="D3" s="10">
        <v>0</v>
      </c>
    </row>
    <row r="4" spans="1:4" ht="20.25" customHeight="1" x14ac:dyDescent="0.25">
      <c r="A4" s="9" t="s">
        <v>6</v>
      </c>
      <c r="B4" s="8">
        <v>675</v>
      </c>
      <c r="C4" s="8">
        <v>8.1814499999999999</v>
      </c>
      <c r="D4" s="10">
        <v>5522.4790000000003</v>
      </c>
    </row>
    <row r="5" spans="1:4" ht="20.25" customHeight="1" x14ac:dyDescent="0.25">
      <c r="A5" s="9" t="s">
        <v>10</v>
      </c>
      <c r="B5" s="8">
        <v>274</v>
      </c>
      <c r="C5" s="8">
        <v>16.581800000000001</v>
      </c>
      <c r="D5" s="10">
        <v>4543.4129999999996</v>
      </c>
    </row>
    <row r="6" spans="1:4" ht="20.25" customHeight="1" x14ac:dyDescent="0.25">
      <c r="A6" s="9" t="s">
        <v>11</v>
      </c>
      <c r="B6" s="8">
        <v>3</v>
      </c>
      <c r="C6" s="8">
        <v>370</v>
      </c>
      <c r="D6" s="10">
        <v>1110</v>
      </c>
    </row>
    <row r="7" spans="1:4" ht="20.25" customHeight="1" x14ac:dyDescent="0.25">
      <c r="A7" s="9" t="s">
        <v>14</v>
      </c>
      <c r="B7" s="8">
        <v>0</v>
      </c>
      <c r="C7" s="8">
        <v>556</v>
      </c>
      <c r="D7" s="10">
        <v>0</v>
      </c>
    </row>
    <row r="8" spans="1:4" ht="20.25" customHeight="1" x14ac:dyDescent="0.25">
      <c r="A8" s="9" t="s">
        <v>16</v>
      </c>
      <c r="B8" s="8">
        <v>2</v>
      </c>
      <c r="C8" s="8">
        <v>544</v>
      </c>
      <c r="D8" s="10">
        <v>1088</v>
      </c>
    </row>
    <row r="9" spans="1:4" ht="20.25" customHeight="1" x14ac:dyDescent="0.25">
      <c r="A9" s="9" t="s">
        <v>17</v>
      </c>
      <c r="B9" s="8">
        <v>0</v>
      </c>
      <c r="C9" s="8">
        <v>220</v>
      </c>
      <c r="D9" s="10">
        <v>0</v>
      </c>
    </row>
    <row r="10" spans="1:4" ht="20.25" customHeight="1" x14ac:dyDescent="0.25">
      <c r="A10" s="9" t="s">
        <v>19</v>
      </c>
      <c r="B10" s="8">
        <v>5</v>
      </c>
      <c r="C10" s="8">
        <v>165</v>
      </c>
      <c r="D10" s="10">
        <v>825</v>
      </c>
    </row>
    <row r="11" spans="1:4" ht="20.25" customHeight="1" x14ac:dyDescent="0.25">
      <c r="A11" s="9" t="s">
        <v>21</v>
      </c>
      <c r="B11" s="8">
        <v>0</v>
      </c>
      <c r="C11" s="8">
        <v>236.80600000000001</v>
      </c>
      <c r="D11" s="10">
        <v>0</v>
      </c>
    </row>
    <row r="12" spans="1:4" ht="20.25" customHeight="1" x14ac:dyDescent="0.25">
      <c r="A12" s="9" t="s">
        <v>22</v>
      </c>
      <c r="B12" s="8">
        <v>0</v>
      </c>
      <c r="C12" s="8">
        <v>50</v>
      </c>
      <c r="D12" s="10">
        <v>0</v>
      </c>
    </row>
    <row r="13" spans="1:4" ht="20.25" customHeight="1" x14ac:dyDescent="0.25">
      <c r="A13" s="9" t="s">
        <v>23</v>
      </c>
      <c r="B13" s="8">
        <v>4.0999999999999996</v>
      </c>
      <c r="C13" s="8">
        <v>356.447</v>
      </c>
      <c r="D13" s="10">
        <v>1461.433</v>
      </c>
    </row>
    <row r="14" spans="1:4" ht="20.25" customHeight="1" x14ac:dyDescent="0.25">
      <c r="A14" s="9" t="s">
        <v>24</v>
      </c>
      <c r="B14" s="8">
        <v>186.5</v>
      </c>
      <c r="C14" s="8">
        <v>38.6496</v>
      </c>
      <c r="D14" s="10">
        <v>7208.15</v>
      </c>
    </row>
    <row r="15" spans="1:4" ht="20.25" customHeight="1" x14ac:dyDescent="0.25">
      <c r="A15" s="9" t="s">
        <v>25</v>
      </c>
      <c r="B15" s="8">
        <v>19.459</v>
      </c>
      <c r="C15" s="8">
        <v>49.5</v>
      </c>
      <c r="D15" s="10">
        <v>963.221</v>
      </c>
    </row>
    <row r="16" spans="1:4" ht="20.25" customHeight="1" x14ac:dyDescent="0.25">
      <c r="A16" s="9" t="s">
        <v>26</v>
      </c>
      <c r="B16" s="8">
        <v>5</v>
      </c>
      <c r="C16" s="8">
        <v>120</v>
      </c>
      <c r="D16" s="10">
        <v>600</v>
      </c>
    </row>
    <row r="17" spans="1:4" ht="20.25" customHeight="1" x14ac:dyDescent="0.25">
      <c r="A17" s="9" t="s">
        <v>28</v>
      </c>
      <c r="B17" s="8">
        <v>2.1800000000000002</v>
      </c>
      <c r="C17" s="8">
        <v>985</v>
      </c>
      <c r="D17" s="10">
        <v>2147.3000000000002</v>
      </c>
    </row>
    <row r="18" spans="1:4" ht="20.25" customHeight="1" x14ac:dyDescent="0.25">
      <c r="A18" s="9" t="s">
        <v>29</v>
      </c>
      <c r="B18" s="8">
        <v>11</v>
      </c>
      <c r="C18" s="8">
        <v>36.078200000000002</v>
      </c>
      <c r="D18" s="10">
        <v>396.86</v>
      </c>
    </row>
    <row r="19" spans="1:4" ht="20.25" customHeight="1" x14ac:dyDescent="0.25">
      <c r="A19" s="9" t="s">
        <v>420</v>
      </c>
      <c r="B19" s="8">
        <v>1</v>
      </c>
      <c r="C19" s="8">
        <v>37.666699999999999</v>
      </c>
      <c r="D19" s="10">
        <v>37.667000000000002</v>
      </c>
    </row>
    <row r="20" spans="1:4" ht="20.25" customHeight="1" x14ac:dyDescent="0.25">
      <c r="A20" s="9" t="s">
        <v>30</v>
      </c>
      <c r="B20" s="8">
        <v>0</v>
      </c>
      <c r="C20" s="8">
        <v>55.882399999999997</v>
      </c>
      <c r="D20" s="10">
        <v>0</v>
      </c>
    </row>
    <row r="21" spans="1:4" ht="20.25" customHeight="1" x14ac:dyDescent="0.25">
      <c r="A21" s="9" t="s">
        <v>421</v>
      </c>
      <c r="B21" s="8">
        <v>250</v>
      </c>
      <c r="C21" s="8">
        <v>4</v>
      </c>
      <c r="D21" s="10">
        <v>1000</v>
      </c>
    </row>
    <row r="22" spans="1:4" ht="20.25" customHeight="1" x14ac:dyDescent="0.25">
      <c r="A22" s="9" t="s">
        <v>422</v>
      </c>
      <c r="B22" s="8">
        <v>0</v>
      </c>
      <c r="C22" s="8">
        <v>4</v>
      </c>
      <c r="D22" s="10">
        <v>0</v>
      </c>
    </row>
    <row r="23" spans="1:4" ht="20.25" customHeight="1" x14ac:dyDescent="0.25">
      <c r="A23" s="9" t="s">
        <v>33</v>
      </c>
      <c r="B23" s="8">
        <v>5.5</v>
      </c>
      <c r="C23" s="8">
        <v>127.77800000000001</v>
      </c>
      <c r="D23" s="10">
        <v>702.779</v>
      </c>
    </row>
    <row r="24" spans="1:4" ht="20.25" customHeight="1" x14ac:dyDescent="0.25">
      <c r="A24" s="9" t="s">
        <v>35</v>
      </c>
      <c r="B24" s="8">
        <v>40</v>
      </c>
      <c r="C24" s="8">
        <v>160</v>
      </c>
      <c r="D24" s="10">
        <v>6400</v>
      </c>
    </row>
    <row r="25" spans="1:4" ht="20.25" customHeight="1" x14ac:dyDescent="0.25">
      <c r="A25" s="9" t="s">
        <v>36</v>
      </c>
      <c r="B25" s="8">
        <v>8</v>
      </c>
      <c r="C25" s="8">
        <v>40.666699999999999</v>
      </c>
      <c r="D25" s="10">
        <v>325.334</v>
      </c>
    </row>
    <row r="26" spans="1:4" ht="20.25" customHeight="1" x14ac:dyDescent="0.25">
      <c r="A26" s="9" t="s">
        <v>37</v>
      </c>
      <c r="B26" s="8">
        <v>0.5</v>
      </c>
      <c r="C26" s="8">
        <v>40.909100000000002</v>
      </c>
      <c r="D26" s="10">
        <v>20.454999999999998</v>
      </c>
    </row>
    <row r="27" spans="1:4" ht="20.25" customHeight="1" x14ac:dyDescent="0.25">
      <c r="A27" s="9" t="s">
        <v>423</v>
      </c>
      <c r="B27" s="8">
        <v>0</v>
      </c>
      <c r="C27" s="8">
        <v>18.75</v>
      </c>
      <c r="D27" s="10">
        <v>0</v>
      </c>
    </row>
    <row r="28" spans="1:4" ht="20.25" customHeight="1" x14ac:dyDescent="0.25">
      <c r="A28" s="9" t="s">
        <v>39</v>
      </c>
      <c r="B28" s="8">
        <v>8</v>
      </c>
      <c r="C28" s="8">
        <v>3245.83</v>
      </c>
      <c r="D28" s="10">
        <v>25966.639999999999</v>
      </c>
    </row>
    <row r="29" spans="1:4" ht="20.25" customHeight="1" x14ac:dyDescent="0.25">
      <c r="A29" s="9" t="s">
        <v>40</v>
      </c>
      <c r="B29" s="8">
        <v>1.05</v>
      </c>
      <c r="C29" s="8">
        <v>265</v>
      </c>
      <c r="D29" s="10">
        <v>278.25</v>
      </c>
    </row>
    <row r="30" spans="1:4" ht="20.25" customHeight="1" x14ac:dyDescent="0.25">
      <c r="A30" s="9" t="s">
        <v>41</v>
      </c>
      <c r="B30" s="8">
        <v>355</v>
      </c>
      <c r="C30" s="8">
        <v>116.399</v>
      </c>
      <c r="D30" s="10">
        <v>41321.644999999997</v>
      </c>
    </row>
    <row r="31" spans="1:4" ht="20.25" customHeight="1" x14ac:dyDescent="0.25">
      <c r="A31" s="9" t="s">
        <v>42</v>
      </c>
      <c r="B31" s="8">
        <v>4</v>
      </c>
      <c r="C31" s="8">
        <v>68.666700000000006</v>
      </c>
      <c r="D31" s="10">
        <v>274.66699999999997</v>
      </c>
    </row>
    <row r="32" spans="1:4" ht="20.25" customHeight="1" x14ac:dyDescent="0.25">
      <c r="A32" s="9" t="s">
        <v>44</v>
      </c>
      <c r="B32" s="8">
        <v>1</v>
      </c>
      <c r="C32" s="8">
        <v>514.47400000000005</v>
      </c>
      <c r="D32" s="10">
        <v>514.47400000000005</v>
      </c>
    </row>
    <row r="33" spans="1:4" ht="20.25" customHeight="1" x14ac:dyDescent="0.25">
      <c r="A33" s="9" t="s">
        <v>45</v>
      </c>
      <c r="B33" s="8">
        <v>0</v>
      </c>
      <c r="C33" s="8">
        <v>153.61699999999999</v>
      </c>
      <c r="D33" s="10">
        <v>0</v>
      </c>
    </row>
    <row r="34" spans="1:4" ht="20.25" customHeight="1" x14ac:dyDescent="0.25">
      <c r="A34" s="9" t="s">
        <v>46</v>
      </c>
      <c r="B34" s="8">
        <v>4</v>
      </c>
      <c r="C34" s="8">
        <v>210.625</v>
      </c>
      <c r="D34" s="10">
        <v>842.5</v>
      </c>
    </row>
    <row r="35" spans="1:4" ht="20.25" customHeight="1" x14ac:dyDescent="0.25">
      <c r="A35" s="9" t="s">
        <v>47</v>
      </c>
      <c r="B35" s="8">
        <v>6.3</v>
      </c>
      <c r="C35" s="8">
        <v>962.62699999999995</v>
      </c>
      <c r="D35" s="10">
        <v>6064.55</v>
      </c>
    </row>
    <row r="36" spans="1:4" ht="20.25" customHeight="1" x14ac:dyDescent="0.25">
      <c r="A36" s="9" t="s">
        <v>48</v>
      </c>
      <c r="B36" s="8">
        <v>4</v>
      </c>
      <c r="C36" s="8">
        <v>65.238100000000003</v>
      </c>
      <c r="D36" s="10">
        <v>260.952</v>
      </c>
    </row>
    <row r="37" spans="1:4" ht="20.25" customHeight="1" x14ac:dyDescent="0.25">
      <c r="A37" s="9" t="s">
        <v>49</v>
      </c>
      <c r="B37" s="8">
        <v>0</v>
      </c>
      <c r="C37" s="8">
        <v>138</v>
      </c>
      <c r="D37" s="10">
        <v>0</v>
      </c>
    </row>
    <row r="38" spans="1:4" ht="20.25" customHeight="1" x14ac:dyDescent="0.25">
      <c r="A38" s="9" t="s">
        <v>50</v>
      </c>
      <c r="B38" s="8">
        <v>1</v>
      </c>
      <c r="C38" s="8">
        <v>279.09100000000001</v>
      </c>
      <c r="D38" s="10">
        <v>279.09100000000001</v>
      </c>
    </row>
    <row r="39" spans="1:4" ht="20.25" customHeight="1" x14ac:dyDescent="0.25">
      <c r="A39" s="9" t="s">
        <v>51</v>
      </c>
      <c r="B39" s="8">
        <v>5</v>
      </c>
      <c r="C39" s="8">
        <v>100.545</v>
      </c>
      <c r="D39" s="10">
        <v>502.72500000000002</v>
      </c>
    </row>
    <row r="40" spans="1:4" ht="20.25" customHeight="1" x14ac:dyDescent="0.25">
      <c r="A40" s="9" t="s">
        <v>52</v>
      </c>
      <c r="B40" s="8">
        <v>21.55</v>
      </c>
      <c r="C40" s="8">
        <v>45.5</v>
      </c>
      <c r="D40" s="10">
        <v>980.52499999999998</v>
      </c>
    </row>
    <row r="41" spans="1:4" ht="20.25" customHeight="1" x14ac:dyDescent="0.25">
      <c r="A41" s="9" t="s">
        <v>53</v>
      </c>
      <c r="B41" s="8">
        <v>2</v>
      </c>
      <c r="C41" s="8">
        <v>5.0256400000000001</v>
      </c>
      <c r="D41" s="10">
        <v>10.051</v>
      </c>
    </row>
    <row r="42" spans="1:4" ht="20.25" customHeight="1" x14ac:dyDescent="0.25">
      <c r="A42" s="9" t="s">
        <v>54</v>
      </c>
      <c r="B42" s="8">
        <v>0.5</v>
      </c>
      <c r="C42" s="8">
        <v>242.667</v>
      </c>
      <c r="D42" s="10">
        <v>121.334</v>
      </c>
    </row>
    <row r="43" spans="1:4" ht="20.25" customHeight="1" x14ac:dyDescent="0.25">
      <c r="A43" s="9" t="s">
        <v>55</v>
      </c>
      <c r="B43" s="8">
        <v>0</v>
      </c>
      <c r="C43" s="8">
        <v>8</v>
      </c>
      <c r="D43" s="10">
        <v>0</v>
      </c>
    </row>
    <row r="44" spans="1:4" ht="20.25" customHeight="1" x14ac:dyDescent="0.25">
      <c r="A44" s="9" t="s">
        <v>56</v>
      </c>
      <c r="B44" s="8">
        <v>280</v>
      </c>
      <c r="C44" s="8">
        <v>10.891400000000001</v>
      </c>
      <c r="D44" s="10">
        <v>3049.5920000000001</v>
      </c>
    </row>
    <row r="45" spans="1:4" ht="20.25" customHeight="1" x14ac:dyDescent="0.25">
      <c r="A45" s="9" t="s">
        <v>57</v>
      </c>
      <c r="B45" s="8">
        <v>100</v>
      </c>
      <c r="C45" s="8">
        <v>3.2</v>
      </c>
      <c r="D45" s="10">
        <v>320</v>
      </c>
    </row>
    <row r="46" spans="1:4" ht="20.25" customHeight="1" x14ac:dyDescent="0.25">
      <c r="A46" s="9" t="s">
        <v>58</v>
      </c>
      <c r="B46" s="8">
        <v>0</v>
      </c>
      <c r="C46" s="8">
        <v>3.88</v>
      </c>
      <c r="D46" s="10">
        <v>0</v>
      </c>
    </row>
    <row r="47" spans="1:4" ht="20.25" customHeight="1" x14ac:dyDescent="0.25">
      <c r="A47" s="9" t="s">
        <v>59</v>
      </c>
      <c r="B47" s="8">
        <v>232</v>
      </c>
      <c r="C47" s="8">
        <v>4.5</v>
      </c>
      <c r="D47" s="10">
        <v>1044</v>
      </c>
    </row>
    <row r="48" spans="1:4" ht="20.25" customHeight="1" x14ac:dyDescent="0.25">
      <c r="A48" s="9" t="s">
        <v>60</v>
      </c>
      <c r="B48" s="8">
        <v>300</v>
      </c>
      <c r="C48" s="8">
        <v>4</v>
      </c>
      <c r="D48" s="10">
        <v>1200</v>
      </c>
    </row>
    <row r="49" spans="1:4" ht="20.25" customHeight="1" x14ac:dyDescent="0.25">
      <c r="A49" s="9" t="s">
        <v>61</v>
      </c>
      <c r="B49" s="8">
        <v>0</v>
      </c>
      <c r="C49" s="8">
        <v>4.9000000000000004</v>
      </c>
      <c r="D49" s="10">
        <v>0</v>
      </c>
    </row>
    <row r="50" spans="1:4" ht="20.25" customHeight="1" x14ac:dyDescent="0.25">
      <c r="A50" s="9" t="s">
        <v>62</v>
      </c>
      <c r="B50" s="8">
        <v>500</v>
      </c>
      <c r="C50" s="8">
        <v>3.2</v>
      </c>
      <c r="D50" s="10">
        <v>1600</v>
      </c>
    </row>
    <row r="51" spans="1:4" ht="20.25" customHeight="1" x14ac:dyDescent="0.25">
      <c r="A51" s="9" t="s">
        <v>63</v>
      </c>
      <c r="B51" s="8">
        <v>4</v>
      </c>
      <c r="C51" s="8">
        <v>187.89500000000001</v>
      </c>
      <c r="D51" s="10">
        <v>751.58</v>
      </c>
    </row>
    <row r="52" spans="1:4" ht="20.25" customHeight="1" x14ac:dyDescent="0.25">
      <c r="A52" s="9" t="s">
        <v>64</v>
      </c>
      <c r="B52" s="8">
        <v>2</v>
      </c>
      <c r="C52" s="8">
        <v>46.674700000000001</v>
      </c>
      <c r="D52" s="10">
        <v>93.349000000000004</v>
      </c>
    </row>
    <row r="53" spans="1:4" ht="20.25" customHeight="1" x14ac:dyDescent="0.25">
      <c r="A53" s="9" t="s">
        <v>66</v>
      </c>
      <c r="B53" s="8">
        <v>53.5</v>
      </c>
      <c r="C53" s="8">
        <v>28.142900000000001</v>
      </c>
      <c r="D53" s="10">
        <v>1505.645</v>
      </c>
    </row>
    <row r="54" spans="1:4" ht="20.25" customHeight="1" x14ac:dyDescent="0.25">
      <c r="A54" s="9" t="s">
        <v>67</v>
      </c>
      <c r="B54" s="8">
        <v>38.5</v>
      </c>
      <c r="C54" s="8">
        <v>341.80200000000002</v>
      </c>
      <c r="D54" s="10">
        <v>13159.377</v>
      </c>
    </row>
    <row r="55" spans="1:4" ht="20.25" customHeight="1" x14ac:dyDescent="0.25">
      <c r="A55" s="9" t="s">
        <v>424</v>
      </c>
      <c r="B55" s="8">
        <v>0</v>
      </c>
      <c r="C55" s="8">
        <v>88.4</v>
      </c>
      <c r="D55" s="10">
        <v>0</v>
      </c>
    </row>
    <row r="56" spans="1:4" ht="20.25" customHeight="1" x14ac:dyDescent="0.25">
      <c r="A56" s="9" t="s">
        <v>68</v>
      </c>
      <c r="B56" s="8">
        <v>2.35</v>
      </c>
      <c r="C56" s="8">
        <v>459.50200000000001</v>
      </c>
      <c r="D56" s="10">
        <v>1079.83</v>
      </c>
    </row>
    <row r="57" spans="1:4" ht="20.25" customHeight="1" x14ac:dyDescent="0.25">
      <c r="A57" s="9" t="s">
        <v>425</v>
      </c>
      <c r="B57" s="8">
        <v>0</v>
      </c>
      <c r="C57" s="8">
        <v>280</v>
      </c>
      <c r="D57" s="10">
        <v>0</v>
      </c>
    </row>
    <row r="58" spans="1:4" ht="20.25" customHeight="1" x14ac:dyDescent="0.25">
      <c r="A58" s="9" t="s">
        <v>426</v>
      </c>
      <c r="B58" s="8">
        <v>2.75</v>
      </c>
      <c r="C58" s="8">
        <v>30</v>
      </c>
      <c r="D58" s="10">
        <v>82.5</v>
      </c>
    </row>
    <row r="59" spans="1:4" ht="20.25" customHeight="1" x14ac:dyDescent="0.25">
      <c r="A59" s="9" t="s">
        <v>70</v>
      </c>
      <c r="B59" s="8">
        <v>12</v>
      </c>
      <c r="C59" s="8">
        <v>280</v>
      </c>
      <c r="D59" s="10">
        <v>3360</v>
      </c>
    </row>
    <row r="60" spans="1:4" ht="20.25" customHeight="1" x14ac:dyDescent="0.25">
      <c r="A60" s="9" t="s">
        <v>71</v>
      </c>
      <c r="B60" s="8">
        <v>0</v>
      </c>
      <c r="C60" s="8">
        <v>12.538500000000001</v>
      </c>
      <c r="D60" s="10">
        <v>0</v>
      </c>
    </row>
    <row r="61" spans="1:4" ht="20.25" customHeight="1" x14ac:dyDescent="0.25">
      <c r="A61" s="9" t="s">
        <v>72</v>
      </c>
      <c r="B61" s="8">
        <v>0</v>
      </c>
      <c r="C61" s="8">
        <v>16.140599999999999</v>
      </c>
      <c r="D61" s="10">
        <v>0</v>
      </c>
    </row>
    <row r="62" spans="1:4" ht="20.25" customHeight="1" x14ac:dyDescent="0.25">
      <c r="A62" s="9" t="s">
        <v>73</v>
      </c>
      <c r="B62" s="8">
        <v>58</v>
      </c>
      <c r="C62" s="8">
        <v>286.69900000000001</v>
      </c>
      <c r="D62" s="10">
        <v>16628.542000000001</v>
      </c>
    </row>
    <row r="63" spans="1:4" ht="20.25" customHeight="1" x14ac:dyDescent="0.25">
      <c r="A63" s="9" t="s">
        <v>74</v>
      </c>
      <c r="B63" s="8">
        <v>17</v>
      </c>
      <c r="C63" s="8">
        <v>320</v>
      </c>
      <c r="D63" s="10">
        <v>5440</v>
      </c>
    </row>
    <row r="64" spans="1:4" ht="20.25" customHeight="1" x14ac:dyDescent="0.25">
      <c r="A64" s="9" t="s">
        <v>75</v>
      </c>
      <c r="B64" s="8">
        <v>1</v>
      </c>
      <c r="C64" s="8">
        <v>95.714299999999994</v>
      </c>
      <c r="D64" s="10">
        <v>95.713999999999999</v>
      </c>
    </row>
    <row r="65" spans="1:4" ht="20.25" customHeight="1" x14ac:dyDescent="0.25">
      <c r="A65" s="9" t="s">
        <v>76</v>
      </c>
      <c r="B65" s="8">
        <v>1</v>
      </c>
      <c r="C65" s="8">
        <v>563.70799999999997</v>
      </c>
      <c r="D65" s="10">
        <v>563.70799999999997</v>
      </c>
    </row>
    <row r="66" spans="1:4" ht="20.25" customHeight="1" x14ac:dyDescent="0.25">
      <c r="A66" s="9" t="s">
        <v>78</v>
      </c>
      <c r="B66" s="8">
        <v>0</v>
      </c>
      <c r="C66" s="8">
        <v>190</v>
      </c>
      <c r="D66" s="10">
        <v>0</v>
      </c>
    </row>
    <row r="67" spans="1:4" ht="20.25" customHeight="1" x14ac:dyDescent="0.25">
      <c r="A67" s="9" t="s">
        <v>427</v>
      </c>
      <c r="B67" s="8">
        <v>47</v>
      </c>
      <c r="C67" s="8">
        <v>31.232600000000001</v>
      </c>
      <c r="D67" s="10">
        <v>1467.932</v>
      </c>
    </row>
    <row r="68" spans="1:4" ht="20.25" customHeight="1" x14ac:dyDescent="0.25">
      <c r="A68" s="9" t="s">
        <v>80</v>
      </c>
      <c r="B68" s="8">
        <v>62</v>
      </c>
      <c r="C68" s="8">
        <v>79.778999999999996</v>
      </c>
      <c r="D68" s="10">
        <v>4946.2979999999998</v>
      </c>
    </row>
    <row r="69" spans="1:4" ht="20.25" customHeight="1" x14ac:dyDescent="0.25">
      <c r="A69" s="9" t="s">
        <v>81</v>
      </c>
      <c r="B69" s="8">
        <v>9.1</v>
      </c>
      <c r="C69" s="8">
        <v>42.5</v>
      </c>
      <c r="D69" s="10">
        <v>386.75</v>
      </c>
    </row>
    <row r="70" spans="1:4" ht="20.25" customHeight="1" x14ac:dyDescent="0.25">
      <c r="A70" s="9" t="s">
        <v>82</v>
      </c>
      <c r="B70" s="8">
        <v>0</v>
      </c>
      <c r="C70" s="8">
        <v>288</v>
      </c>
      <c r="D70" s="10">
        <v>0</v>
      </c>
    </row>
    <row r="71" spans="1:4" ht="20.25" customHeight="1" x14ac:dyDescent="0.25">
      <c r="A71" s="9" t="s">
        <v>83</v>
      </c>
      <c r="B71" s="8">
        <v>18.350000000000001</v>
      </c>
      <c r="C71" s="8">
        <v>48.239400000000003</v>
      </c>
      <c r="D71" s="10">
        <v>885.19299999999998</v>
      </c>
    </row>
    <row r="72" spans="1:4" ht="20.25" customHeight="1" x14ac:dyDescent="0.25">
      <c r="A72" s="9" t="s">
        <v>84</v>
      </c>
      <c r="B72" s="8">
        <v>11</v>
      </c>
      <c r="C72" s="8">
        <v>621.75599999999997</v>
      </c>
      <c r="D72" s="10">
        <v>6839.3159999999998</v>
      </c>
    </row>
    <row r="73" spans="1:4" ht="20.25" customHeight="1" x14ac:dyDescent="0.25">
      <c r="A73" s="9" t="s">
        <v>85</v>
      </c>
      <c r="B73" s="8">
        <v>6.75</v>
      </c>
      <c r="C73" s="8">
        <v>58.511899999999997</v>
      </c>
      <c r="D73" s="10">
        <v>394.95499999999998</v>
      </c>
    </row>
    <row r="74" spans="1:4" ht="20.25" customHeight="1" x14ac:dyDescent="0.25">
      <c r="A74" s="9" t="s">
        <v>428</v>
      </c>
      <c r="B74" s="8">
        <v>0</v>
      </c>
      <c r="C74" s="8">
        <v>620</v>
      </c>
      <c r="D74" s="10">
        <v>0</v>
      </c>
    </row>
    <row r="75" spans="1:4" ht="20.25" customHeight="1" x14ac:dyDescent="0.25">
      <c r="A75" s="9" t="s">
        <v>86</v>
      </c>
      <c r="B75" s="8">
        <v>30.1</v>
      </c>
      <c r="C75" s="8">
        <v>85.5</v>
      </c>
      <c r="D75" s="10">
        <v>2573.5500000000002</v>
      </c>
    </row>
    <row r="76" spans="1:4" ht="20.25" customHeight="1" x14ac:dyDescent="0.25">
      <c r="A76" s="9" t="s">
        <v>87</v>
      </c>
      <c r="B76" s="8">
        <v>24.39</v>
      </c>
      <c r="C76" s="8">
        <v>74</v>
      </c>
      <c r="D76" s="10">
        <v>1804.86</v>
      </c>
    </row>
    <row r="77" spans="1:4" ht="20.25" customHeight="1" x14ac:dyDescent="0.25">
      <c r="A77" s="9" t="s">
        <v>88</v>
      </c>
      <c r="B77" s="8">
        <v>3.7</v>
      </c>
      <c r="C77" s="8">
        <v>604.28599999999994</v>
      </c>
      <c r="D77" s="10">
        <v>2235.8580000000002</v>
      </c>
    </row>
    <row r="78" spans="1:4" ht="20.25" customHeight="1" x14ac:dyDescent="0.25">
      <c r="A78" s="9" t="s">
        <v>89</v>
      </c>
      <c r="B78" s="8">
        <v>4</v>
      </c>
      <c r="C78" s="8">
        <v>276.15600000000001</v>
      </c>
      <c r="D78" s="10">
        <v>1104.624</v>
      </c>
    </row>
    <row r="79" spans="1:4" ht="20.25" customHeight="1" x14ac:dyDescent="0.25">
      <c r="A79" s="9" t="s">
        <v>91</v>
      </c>
      <c r="B79" s="8">
        <v>3</v>
      </c>
      <c r="C79" s="8">
        <v>403.97399999999999</v>
      </c>
      <c r="D79" s="10">
        <v>1211.922</v>
      </c>
    </row>
    <row r="80" spans="1:4" ht="20.25" customHeight="1" x14ac:dyDescent="0.25">
      <c r="A80" s="9" t="s">
        <v>92</v>
      </c>
      <c r="B80" s="8">
        <v>0</v>
      </c>
      <c r="C80" s="8">
        <v>113.5</v>
      </c>
      <c r="D80" s="10">
        <v>0</v>
      </c>
    </row>
    <row r="81" spans="1:4" ht="20.25" customHeight="1" x14ac:dyDescent="0.25">
      <c r="A81" s="9" t="s">
        <v>93</v>
      </c>
      <c r="B81" s="8">
        <v>0</v>
      </c>
      <c r="C81" s="8">
        <v>238.816</v>
      </c>
      <c r="D81" s="10">
        <v>0</v>
      </c>
    </row>
    <row r="82" spans="1:4" ht="20.25" customHeight="1" x14ac:dyDescent="0.25">
      <c r="A82" s="9" t="s">
        <v>429</v>
      </c>
      <c r="B82" s="8">
        <v>0</v>
      </c>
      <c r="C82" s="8">
        <v>205.56100000000001</v>
      </c>
      <c r="D82" s="10">
        <v>0</v>
      </c>
    </row>
    <row r="83" spans="1:4" ht="20.25" customHeight="1" x14ac:dyDescent="0.25">
      <c r="A83" s="9" t="s">
        <v>94</v>
      </c>
      <c r="B83" s="8">
        <v>0</v>
      </c>
      <c r="C83" s="8">
        <v>238.304</v>
      </c>
      <c r="D83" s="10">
        <v>0</v>
      </c>
    </row>
    <row r="84" spans="1:4" ht="20.25" customHeight="1" x14ac:dyDescent="0.25">
      <c r="A84" s="9" t="s">
        <v>95</v>
      </c>
      <c r="B84" s="8">
        <v>12.2</v>
      </c>
      <c r="C84" s="8">
        <v>230.768</v>
      </c>
      <c r="D84" s="10">
        <v>2815.37</v>
      </c>
    </row>
    <row r="85" spans="1:4" ht="20.25" customHeight="1" x14ac:dyDescent="0.25">
      <c r="A85" s="9" t="s">
        <v>97</v>
      </c>
      <c r="B85" s="8">
        <v>3</v>
      </c>
      <c r="C85" s="8">
        <v>408.57100000000003</v>
      </c>
      <c r="D85" s="10">
        <v>1225.713</v>
      </c>
    </row>
    <row r="86" spans="1:4" ht="20.25" customHeight="1" x14ac:dyDescent="0.25">
      <c r="A86" s="9" t="s">
        <v>98</v>
      </c>
      <c r="B86" s="8">
        <v>100</v>
      </c>
      <c r="C86" s="8">
        <v>1.6</v>
      </c>
      <c r="D86" s="10">
        <v>160</v>
      </c>
    </row>
    <row r="87" spans="1:4" ht="20.25" customHeight="1" x14ac:dyDescent="0.25">
      <c r="A87" s="9" t="s">
        <v>99</v>
      </c>
      <c r="B87" s="8">
        <v>249.84</v>
      </c>
      <c r="C87" s="8">
        <v>260</v>
      </c>
      <c r="D87" s="10">
        <v>64958.400000000001</v>
      </c>
    </row>
    <row r="88" spans="1:4" ht="20.25" customHeight="1" x14ac:dyDescent="0.25">
      <c r="A88" s="9" t="s">
        <v>100</v>
      </c>
      <c r="B88" s="8">
        <v>3600</v>
      </c>
      <c r="C88" s="8">
        <v>6.6</v>
      </c>
      <c r="D88" s="10">
        <v>23760</v>
      </c>
    </row>
    <row r="89" spans="1:4" ht="20.25" customHeight="1" x14ac:dyDescent="0.25">
      <c r="A89" s="9" t="s">
        <v>101</v>
      </c>
      <c r="B89" s="8">
        <v>2146</v>
      </c>
      <c r="C89" s="8">
        <v>4</v>
      </c>
      <c r="D89" s="10">
        <v>8584</v>
      </c>
    </row>
    <row r="90" spans="1:4" ht="20.25" customHeight="1" x14ac:dyDescent="0.25">
      <c r="A90" s="9" t="s">
        <v>102</v>
      </c>
      <c r="B90" s="8">
        <v>200</v>
      </c>
      <c r="C90" s="8">
        <v>12.4262</v>
      </c>
      <c r="D90" s="10">
        <v>2485.2399999999998</v>
      </c>
    </row>
    <row r="91" spans="1:4" ht="20.25" customHeight="1" x14ac:dyDescent="0.25">
      <c r="A91" s="9" t="s">
        <v>103</v>
      </c>
      <c r="B91" s="8">
        <v>0</v>
      </c>
      <c r="C91" s="8">
        <v>609.20000000000005</v>
      </c>
      <c r="D91" s="10">
        <v>0</v>
      </c>
    </row>
    <row r="92" spans="1:4" ht="20.25" customHeight="1" x14ac:dyDescent="0.25">
      <c r="A92" s="9" t="s">
        <v>104</v>
      </c>
      <c r="B92" s="8">
        <v>3</v>
      </c>
      <c r="C92" s="8">
        <v>252.667</v>
      </c>
      <c r="D92" s="10">
        <v>758.00099999999998</v>
      </c>
    </row>
    <row r="93" spans="1:4" ht="20.25" customHeight="1" x14ac:dyDescent="0.25">
      <c r="A93" s="9" t="s">
        <v>105</v>
      </c>
      <c r="B93" s="8">
        <v>3.4</v>
      </c>
      <c r="C93" s="8">
        <v>626.66700000000003</v>
      </c>
      <c r="D93" s="10">
        <v>2130.6680000000001</v>
      </c>
    </row>
    <row r="94" spans="1:4" ht="20.25" customHeight="1" x14ac:dyDescent="0.25">
      <c r="A94" s="9" t="s">
        <v>107</v>
      </c>
      <c r="B94" s="8">
        <v>6</v>
      </c>
      <c r="C94" s="8">
        <v>130</v>
      </c>
      <c r="D94" s="10">
        <v>780</v>
      </c>
    </row>
    <row r="95" spans="1:4" ht="20.25" customHeight="1" x14ac:dyDescent="0.25">
      <c r="A95" s="9" t="s">
        <v>108</v>
      </c>
      <c r="B95" s="8">
        <v>27</v>
      </c>
      <c r="C95" s="8">
        <v>30</v>
      </c>
      <c r="D95" s="10">
        <v>810</v>
      </c>
    </row>
    <row r="96" spans="1:4" ht="20.25" customHeight="1" x14ac:dyDescent="0.25">
      <c r="A96" s="9" t="s">
        <v>110</v>
      </c>
      <c r="B96" s="8">
        <v>320</v>
      </c>
      <c r="C96" s="8">
        <v>40</v>
      </c>
      <c r="D96" s="10">
        <v>12800</v>
      </c>
    </row>
    <row r="97" spans="1:4" ht="20.25" customHeight="1" x14ac:dyDescent="0.25">
      <c r="A97" s="9" t="s">
        <v>430</v>
      </c>
      <c r="B97" s="8">
        <v>1</v>
      </c>
      <c r="C97" s="8">
        <v>220</v>
      </c>
      <c r="D97" s="10">
        <v>220</v>
      </c>
    </row>
    <row r="98" spans="1:4" ht="20.25" customHeight="1" x14ac:dyDescent="0.25">
      <c r="A98" s="9" t="s">
        <v>431</v>
      </c>
      <c r="B98" s="8">
        <v>0</v>
      </c>
      <c r="C98" s="8">
        <v>223.65899999999999</v>
      </c>
      <c r="D98" s="10">
        <v>0</v>
      </c>
    </row>
    <row r="99" spans="1:4" ht="20.25" customHeight="1" x14ac:dyDescent="0.25">
      <c r="A99" s="9" t="s">
        <v>432</v>
      </c>
      <c r="B99" s="8">
        <v>1</v>
      </c>
      <c r="C99" s="8">
        <v>840</v>
      </c>
      <c r="D99" s="10">
        <v>840</v>
      </c>
    </row>
    <row r="100" spans="1:4" ht="20.25" customHeight="1" x14ac:dyDescent="0.25">
      <c r="A100" s="9" t="s">
        <v>111</v>
      </c>
      <c r="B100" s="8">
        <v>24</v>
      </c>
      <c r="C100" s="8">
        <v>34.200000000000003</v>
      </c>
      <c r="D100" s="10">
        <v>820.8</v>
      </c>
    </row>
    <row r="101" spans="1:4" ht="20.25" customHeight="1" x14ac:dyDescent="0.25">
      <c r="A101" s="9" t="s">
        <v>112</v>
      </c>
      <c r="B101" s="8">
        <v>7</v>
      </c>
      <c r="C101" s="8">
        <v>48.333300000000001</v>
      </c>
      <c r="D101" s="10">
        <v>338.33300000000003</v>
      </c>
    </row>
    <row r="102" spans="1:4" ht="20.25" customHeight="1" x14ac:dyDescent="0.25">
      <c r="A102" s="9" t="s">
        <v>114</v>
      </c>
      <c r="B102" s="8">
        <v>6.6</v>
      </c>
      <c r="C102" s="8">
        <v>325.22199999999998</v>
      </c>
      <c r="D102" s="10">
        <v>2146.4650000000001</v>
      </c>
    </row>
    <row r="103" spans="1:4" ht="20.25" customHeight="1" x14ac:dyDescent="0.25">
      <c r="A103" s="9" t="s">
        <v>115</v>
      </c>
      <c r="B103" s="8">
        <v>11</v>
      </c>
      <c r="C103" s="8">
        <v>77.557699999999997</v>
      </c>
      <c r="D103" s="10">
        <v>853.13499999999999</v>
      </c>
    </row>
    <row r="104" spans="1:4" ht="20.25" customHeight="1" x14ac:dyDescent="0.25">
      <c r="A104" s="9" t="s">
        <v>116</v>
      </c>
      <c r="B104" s="8">
        <v>19</v>
      </c>
      <c r="C104" s="8">
        <v>837.32899999999995</v>
      </c>
      <c r="D104" s="10">
        <v>15909.251</v>
      </c>
    </row>
    <row r="105" spans="1:4" ht="20.25" customHeight="1" x14ac:dyDescent="0.25">
      <c r="A105" s="9" t="s">
        <v>117</v>
      </c>
      <c r="B105" s="8">
        <v>220</v>
      </c>
      <c r="C105" s="8">
        <v>18.171500000000002</v>
      </c>
      <c r="D105" s="10">
        <v>3997.73</v>
      </c>
    </row>
    <row r="106" spans="1:4" ht="20.25" customHeight="1" x14ac:dyDescent="0.25">
      <c r="A106" s="9" t="s">
        <v>118</v>
      </c>
      <c r="B106" s="8">
        <v>1377</v>
      </c>
      <c r="C106" s="8">
        <v>0</v>
      </c>
      <c r="D106" s="10">
        <v>0</v>
      </c>
    </row>
    <row r="107" spans="1:4" ht="20.25" customHeight="1" x14ac:dyDescent="0.25">
      <c r="A107" s="9" t="s">
        <v>119</v>
      </c>
      <c r="B107" s="8">
        <v>58</v>
      </c>
      <c r="C107" s="8">
        <v>333.29399999999998</v>
      </c>
      <c r="D107" s="10">
        <v>19331.052</v>
      </c>
    </row>
    <row r="108" spans="1:4" ht="20.25" customHeight="1" x14ac:dyDescent="0.25">
      <c r="A108" s="9" t="s">
        <v>120</v>
      </c>
      <c r="B108" s="8">
        <v>10</v>
      </c>
      <c r="C108" s="8">
        <v>932.255</v>
      </c>
      <c r="D108" s="10">
        <v>9322.5499999999993</v>
      </c>
    </row>
    <row r="109" spans="1:4" ht="20.25" customHeight="1" x14ac:dyDescent="0.25">
      <c r="A109" s="9" t="s">
        <v>433</v>
      </c>
      <c r="B109" s="8">
        <v>0</v>
      </c>
      <c r="C109" s="8">
        <v>5.6</v>
      </c>
      <c r="D109" s="10">
        <v>0</v>
      </c>
    </row>
    <row r="110" spans="1:4" ht="20.25" customHeight="1" x14ac:dyDescent="0.25">
      <c r="A110" s="9" t="s">
        <v>121</v>
      </c>
      <c r="B110" s="8">
        <v>1</v>
      </c>
      <c r="C110" s="8">
        <v>350</v>
      </c>
      <c r="D110" s="10">
        <v>350</v>
      </c>
    </row>
    <row r="111" spans="1:4" ht="20.25" customHeight="1" x14ac:dyDescent="0.25">
      <c r="A111" s="9" t="s">
        <v>122</v>
      </c>
      <c r="B111" s="8">
        <v>0.8</v>
      </c>
      <c r="C111" s="8">
        <v>32.200000000000003</v>
      </c>
      <c r="D111" s="10">
        <v>25.76</v>
      </c>
    </row>
    <row r="112" spans="1:4" ht="20.25" customHeight="1" x14ac:dyDescent="0.25">
      <c r="A112" s="9" t="s">
        <v>123</v>
      </c>
      <c r="B112" s="8">
        <v>10</v>
      </c>
      <c r="C112" s="8">
        <v>170.625</v>
      </c>
      <c r="D112" s="10">
        <v>1706.25</v>
      </c>
    </row>
    <row r="113" spans="1:4" ht="20.25" customHeight="1" x14ac:dyDescent="0.25">
      <c r="A113" s="9" t="s">
        <v>125</v>
      </c>
      <c r="B113" s="8">
        <v>5</v>
      </c>
      <c r="C113" s="8">
        <v>67.999600000000001</v>
      </c>
      <c r="D113" s="10">
        <v>339.99799999999999</v>
      </c>
    </row>
    <row r="114" spans="1:4" ht="20.25" customHeight="1" x14ac:dyDescent="0.25">
      <c r="A114" s="9" t="s">
        <v>126</v>
      </c>
      <c r="B114" s="8">
        <v>324</v>
      </c>
      <c r="C114" s="8">
        <v>10.981999999999999</v>
      </c>
      <c r="D114" s="10">
        <v>3558.1680000000001</v>
      </c>
    </row>
    <row r="115" spans="1:4" ht="20.25" customHeight="1" x14ac:dyDescent="0.25">
      <c r="A115" s="9" t="s">
        <v>127</v>
      </c>
      <c r="B115" s="8">
        <v>2</v>
      </c>
      <c r="C115" s="8">
        <v>125</v>
      </c>
      <c r="D115" s="10">
        <v>250</v>
      </c>
    </row>
    <row r="116" spans="1:4" ht="20.25" customHeight="1" x14ac:dyDescent="0.25">
      <c r="A116" s="9" t="s">
        <v>128</v>
      </c>
      <c r="B116" s="8">
        <v>2.0249999999999999</v>
      </c>
      <c r="C116" s="8">
        <v>143.333</v>
      </c>
      <c r="D116" s="10">
        <v>290.24900000000002</v>
      </c>
    </row>
    <row r="117" spans="1:4" ht="20.25" customHeight="1" x14ac:dyDescent="0.25">
      <c r="A117" s="9" t="s">
        <v>129</v>
      </c>
      <c r="B117" s="8">
        <v>3.76</v>
      </c>
      <c r="C117" s="8">
        <v>324.83300000000003</v>
      </c>
      <c r="D117" s="10">
        <v>1221.3720000000001</v>
      </c>
    </row>
    <row r="118" spans="1:4" ht="20.25" customHeight="1" x14ac:dyDescent="0.25">
      <c r="A118" s="9" t="s">
        <v>130</v>
      </c>
      <c r="B118" s="8">
        <v>2.5</v>
      </c>
      <c r="C118" s="8">
        <v>193.2</v>
      </c>
      <c r="D118" s="10">
        <v>483</v>
      </c>
    </row>
    <row r="119" spans="1:4" ht="20.25" customHeight="1" x14ac:dyDescent="0.25">
      <c r="A119" s="9" t="s">
        <v>131</v>
      </c>
      <c r="B119" s="8">
        <v>1</v>
      </c>
      <c r="C119" s="8">
        <v>280</v>
      </c>
      <c r="D119" s="10">
        <v>280</v>
      </c>
    </row>
    <row r="120" spans="1:4" ht="20.25" customHeight="1" x14ac:dyDescent="0.25">
      <c r="A120" s="9" t="s">
        <v>434</v>
      </c>
      <c r="B120" s="8">
        <v>2</v>
      </c>
      <c r="C120" s="8">
        <v>310.76900000000001</v>
      </c>
      <c r="D120" s="10">
        <v>621.53800000000001</v>
      </c>
    </row>
    <row r="121" spans="1:4" ht="20.25" customHeight="1" x14ac:dyDescent="0.25">
      <c r="A121" s="9" t="s">
        <v>132</v>
      </c>
      <c r="B121" s="8">
        <v>0</v>
      </c>
      <c r="C121" s="8">
        <v>904.28599999999994</v>
      </c>
      <c r="D121" s="10">
        <v>0</v>
      </c>
    </row>
    <row r="122" spans="1:4" ht="20.25" customHeight="1" x14ac:dyDescent="0.25">
      <c r="A122" s="9" t="s">
        <v>133</v>
      </c>
      <c r="B122" s="8">
        <v>1387</v>
      </c>
      <c r="C122" s="8">
        <v>12.5</v>
      </c>
      <c r="D122" s="10">
        <v>17337.5</v>
      </c>
    </row>
    <row r="123" spans="1:4" ht="20.25" customHeight="1" x14ac:dyDescent="0.25">
      <c r="A123" s="9" t="s">
        <v>435</v>
      </c>
      <c r="B123" s="8">
        <v>0.5</v>
      </c>
      <c r="C123" s="8">
        <v>703</v>
      </c>
      <c r="D123" s="10">
        <v>351.5</v>
      </c>
    </row>
    <row r="124" spans="1:4" ht="20.25" customHeight="1" x14ac:dyDescent="0.25">
      <c r="A124" s="9" t="s">
        <v>134</v>
      </c>
      <c r="B124" s="8">
        <v>12.28</v>
      </c>
      <c r="C124" s="8">
        <v>169.2</v>
      </c>
      <c r="D124" s="10">
        <v>2077.7759999999998</v>
      </c>
    </row>
    <row r="125" spans="1:4" ht="20.25" customHeight="1" x14ac:dyDescent="0.25">
      <c r="A125" s="9" t="s">
        <v>436</v>
      </c>
      <c r="B125" s="8">
        <v>0</v>
      </c>
      <c r="C125" s="8">
        <v>400</v>
      </c>
      <c r="D125" s="10">
        <v>0</v>
      </c>
    </row>
    <row r="126" spans="1:4" ht="20.25" customHeight="1" x14ac:dyDescent="0.25">
      <c r="A126" s="9" t="s">
        <v>135</v>
      </c>
      <c r="B126" s="8">
        <v>45.65</v>
      </c>
      <c r="C126" s="8">
        <v>172.02699999999999</v>
      </c>
      <c r="D126" s="10">
        <v>7853.0330000000004</v>
      </c>
    </row>
    <row r="127" spans="1:4" ht="20.25" customHeight="1" x14ac:dyDescent="0.25">
      <c r="A127" s="9" t="s">
        <v>137</v>
      </c>
      <c r="B127" s="8">
        <v>1</v>
      </c>
      <c r="C127" s="8">
        <v>35</v>
      </c>
      <c r="D127" s="10">
        <v>35</v>
      </c>
    </row>
    <row r="128" spans="1:4" ht="20.25" customHeight="1" x14ac:dyDescent="0.25">
      <c r="A128" s="9" t="s">
        <v>437</v>
      </c>
      <c r="B128" s="8">
        <v>0</v>
      </c>
      <c r="C128" s="8">
        <v>320</v>
      </c>
      <c r="D128" s="10">
        <v>0</v>
      </c>
    </row>
    <row r="129" spans="1:4" ht="20.25" customHeight="1" x14ac:dyDescent="0.25">
      <c r="A129" s="9" t="s">
        <v>138</v>
      </c>
      <c r="B129" s="8">
        <v>1030</v>
      </c>
      <c r="C129" s="8">
        <v>5.9387100000000004</v>
      </c>
      <c r="D129" s="10">
        <v>6116.8710000000001</v>
      </c>
    </row>
    <row r="130" spans="1:4" ht="20.25" customHeight="1" x14ac:dyDescent="0.25">
      <c r="A130" s="9" t="s">
        <v>139</v>
      </c>
      <c r="B130" s="8">
        <v>0</v>
      </c>
      <c r="C130" s="8">
        <v>60</v>
      </c>
      <c r="D130" s="10">
        <v>0</v>
      </c>
    </row>
    <row r="131" spans="1:4" ht="20.25" customHeight="1" x14ac:dyDescent="0.25">
      <c r="A131" s="9" t="s">
        <v>140</v>
      </c>
      <c r="B131" s="8">
        <v>48.38</v>
      </c>
      <c r="C131" s="8">
        <v>35.403799999999997</v>
      </c>
      <c r="D131" s="10">
        <v>1712.836</v>
      </c>
    </row>
    <row r="132" spans="1:4" ht="20.25" customHeight="1" x14ac:dyDescent="0.25">
      <c r="A132" s="9" t="s">
        <v>141</v>
      </c>
      <c r="B132" s="8">
        <v>106.5</v>
      </c>
      <c r="C132" s="8">
        <v>28.570699999999999</v>
      </c>
      <c r="D132" s="10">
        <v>3042.78</v>
      </c>
    </row>
    <row r="133" spans="1:4" ht="20.25" customHeight="1" x14ac:dyDescent="0.25">
      <c r="A133" s="9" t="s">
        <v>142</v>
      </c>
      <c r="B133" s="8">
        <v>3</v>
      </c>
      <c r="C133" s="8">
        <v>45.75</v>
      </c>
      <c r="D133" s="10">
        <v>137.25</v>
      </c>
    </row>
    <row r="134" spans="1:4" ht="20.25" customHeight="1" x14ac:dyDescent="0.25">
      <c r="A134" s="9" t="s">
        <v>438</v>
      </c>
      <c r="B134" s="8">
        <v>0</v>
      </c>
      <c r="C134" s="8">
        <v>800</v>
      </c>
      <c r="D134" s="10">
        <v>0</v>
      </c>
    </row>
    <row r="135" spans="1:4" ht="20.25" customHeight="1" x14ac:dyDescent="0.25">
      <c r="A135" s="9" t="s">
        <v>143</v>
      </c>
      <c r="B135" s="8">
        <v>14.5</v>
      </c>
      <c r="C135" s="8">
        <v>332</v>
      </c>
      <c r="D135" s="10">
        <v>4814</v>
      </c>
    </row>
    <row r="136" spans="1:4" ht="20.25" customHeight="1" x14ac:dyDescent="0.25">
      <c r="A136" s="9" t="s">
        <v>144</v>
      </c>
      <c r="B136" s="8">
        <v>0</v>
      </c>
      <c r="C136" s="8">
        <v>360</v>
      </c>
      <c r="D136" s="10">
        <v>0</v>
      </c>
    </row>
    <row r="137" spans="1:4" ht="20.25" customHeight="1" x14ac:dyDescent="0.25">
      <c r="A137" s="9" t="s">
        <v>145</v>
      </c>
      <c r="B137" s="8">
        <v>39</v>
      </c>
      <c r="C137" s="8">
        <v>56.666699999999999</v>
      </c>
      <c r="D137" s="10">
        <v>2210.0010000000002</v>
      </c>
    </row>
    <row r="138" spans="1:4" ht="20.25" customHeight="1" x14ac:dyDescent="0.25">
      <c r="A138" s="9" t="s">
        <v>146</v>
      </c>
      <c r="B138" s="8">
        <v>7</v>
      </c>
      <c r="C138" s="8">
        <v>60</v>
      </c>
      <c r="D138" s="10">
        <v>420</v>
      </c>
    </row>
    <row r="139" spans="1:4" ht="20.25" customHeight="1" x14ac:dyDescent="0.25">
      <c r="A139" s="9" t="s">
        <v>147</v>
      </c>
      <c r="B139" s="8">
        <v>0</v>
      </c>
      <c r="C139" s="8">
        <v>80</v>
      </c>
      <c r="D139" s="10">
        <v>0</v>
      </c>
    </row>
    <row r="140" spans="1:4" ht="20.25" customHeight="1" x14ac:dyDescent="0.25">
      <c r="A140" s="9" t="s">
        <v>148</v>
      </c>
      <c r="B140" s="8">
        <v>90</v>
      </c>
      <c r="C140" s="8">
        <v>6.1844000000000001</v>
      </c>
      <c r="D140" s="10">
        <v>556.596</v>
      </c>
    </row>
    <row r="141" spans="1:4" ht="20.25" customHeight="1" x14ac:dyDescent="0.25">
      <c r="A141" s="9" t="s">
        <v>149</v>
      </c>
      <c r="B141" s="8">
        <v>3.3050000000000002</v>
      </c>
      <c r="C141" s="8">
        <v>3540.23</v>
      </c>
      <c r="D141" s="10">
        <v>11700.46</v>
      </c>
    </row>
    <row r="142" spans="1:4" ht="20.25" customHeight="1" x14ac:dyDescent="0.25">
      <c r="A142" s="9" t="s">
        <v>150</v>
      </c>
      <c r="B142" s="8">
        <v>349</v>
      </c>
      <c r="C142" s="8">
        <v>2.85</v>
      </c>
      <c r="D142" s="10">
        <v>994.65</v>
      </c>
    </row>
    <row r="143" spans="1:4" ht="20.25" customHeight="1" x14ac:dyDescent="0.25">
      <c r="A143" s="9" t="s">
        <v>151</v>
      </c>
      <c r="B143" s="8">
        <v>0</v>
      </c>
      <c r="C143" s="8">
        <v>350</v>
      </c>
      <c r="D143" s="10">
        <v>0</v>
      </c>
    </row>
    <row r="144" spans="1:4" ht="20.25" customHeight="1" x14ac:dyDescent="0.25">
      <c r="A144" s="9" t="s">
        <v>439</v>
      </c>
      <c r="B144" s="8">
        <v>0.8</v>
      </c>
      <c r="C144" s="8">
        <v>50</v>
      </c>
      <c r="D144" s="10">
        <v>40</v>
      </c>
    </row>
    <row r="145" spans="1:4" ht="20.25" customHeight="1" x14ac:dyDescent="0.25">
      <c r="A145" s="9" t="s">
        <v>440</v>
      </c>
      <c r="B145" s="8">
        <v>1</v>
      </c>
      <c r="C145" s="8">
        <v>9</v>
      </c>
      <c r="D145" s="10">
        <v>9</v>
      </c>
    </row>
    <row r="146" spans="1:4" ht="20.25" customHeight="1" x14ac:dyDescent="0.25">
      <c r="A146" s="9" t="s">
        <v>152</v>
      </c>
      <c r="B146" s="8">
        <v>3</v>
      </c>
      <c r="C146" s="8">
        <v>271.61700000000002</v>
      </c>
      <c r="D146" s="10">
        <v>814.851</v>
      </c>
    </row>
    <row r="147" spans="1:4" ht="20.25" customHeight="1" x14ac:dyDescent="0.25">
      <c r="A147" s="9" t="s">
        <v>153</v>
      </c>
      <c r="B147" s="8">
        <v>4</v>
      </c>
      <c r="C147" s="8">
        <v>105</v>
      </c>
      <c r="D147" s="10">
        <v>420</v>
      </c>
    </row>
    <row r="148" spans="1:4" ht="20.25" customHeight="1" x14ac:dyDescent="0.25">
      <c r="A148" s="9" t="s">
        <v>154</v>
      </c>
      <c r="B148" s="8">
        <v>0</v>
      </c>
      <c r="C148" s="8">
        <v>240</v>
      </c>
      <c r="D148" s="10">
        <v>0</v>
      </c>
    </row>
    <row r="149" spans="1:4" ht="20.25" customHeight="1" x14ac:dyDescent="0.25">
      <c r="A149" s="9" t="s">
        <v>441</v>
      </c>
      <c r="B149" s="8">
        <v>0</v>
      </c>
      <c r="C149" s="8">
        <v>39.666699999999999</v>
      </c>
      <c r="D149" s="10">
        <v>0</v>
      </c>
    </row>
    <row r="150" spans="1:4" ht="20.25" customHeight="1" x14ac:dyDescent="0.25">
      <c r="A150" s="9" t="s">
        <v>155</v>
      </c>
      <c r="B150" s="8">
        <v>4</v>
      </c>
      <c r="C150" s="8">
        <v>20</v>
      </c>
      <c r="D150" s="10">
        <v>80</v>
      </c>
    </row>
    <row r="151" spans="1:4" ht="20.25" customHeight="1" x14ac:dyDescent="0.25">
      <c r="A151" s="9" t="s">
        <v>156</v>
      </c>
      <c r="B151" s="8">
        <v>2.5</v>
      </c>
      <c r="C151" s="8">
        <v>478.75</v>
      </c>
      <c r="D151" s="10">
        <v>1196.875</v>
      </c>
    </row>
    <row r="152" spans="1:4" ht="20.25" customHeight="1" x14ac:dyDescent="0.25">
      <c r="A152" s="9" t="s">
        <v>157</v>
      </c>
      <c r="B152" s="8">
        <v>65.44</v>
      </c>
      <c r="C152" s="8">
        <v>75</v>
      </c>
      <c r="D152" s="10">
        <v>4908</v>
      </c>
    </row>
    <row r="153" spans="1:4" ht="20.25" customHeight="1" x14ac:dyDescent="0.25">
      <c r="A153" s="9" t="s">
        <v>158</v>
      </c>
      <c r="B153" s="8">
        <v>29.5</v>
      </c>
      <c r="C153" s="8">
        <v>176.59100000000001</v>
      </c>
      <c r="D153" s="10">
        <v>5209.4350000000004</v>
      </c>
    </row>
    <row r="154" spans="1:4" ht="20.25" customHeight="1" x14ac:dyDescent="0.25">
      <c r="A154" s="9" t="s">
        <v>159</v>
      </c>
      <c r="B154" s="8">
        <v>19</v>
      </c>
      <c r="C154" s="8">
        <v>41.939300000000003</v>
      </c>
      <c r="D154" s="10">
        <v>796.84699999999998</v>
      </c>
    </row>
    <row r="155" spans="1:4" ht="20.25" customHeight="1" x14ac:dyDescent="0.25">
      <c r="A155" s="9" t="s">
        <v>442</v>
      </c>
      <c r="B155" s="8">
        <v>5</v>
      </c>
      <c r="C155" s="8">
        <v>160</v>
      </c>
      <c r="D155" s="10">
        <v>800</v>
      </c>
    </row>
    <row r="156" spans="1:4" ht="20.25" customHeight="1" x14ac:dyDescent="0.25">
      <c r="A156" s="9" t="s">
        <v>160</v>
      </c>
      <c r="B156" s="8">
        <v>43.5</v>
      </c>
      <c r="C156" s="8">
        <v>355.22500000000002</v>
      </c>
      <c r="D156" s="10">
        <v>15452.288</v>
      </c>
    </row>
    <row r="157" spans="1:4" ht="20.25" customHeight="1" x14ac:dyDescent="0.25">
      <c r="A157" s="9" t="s">
        <v>161</v>
      </c>
      <c r="B157" s="8">
        <v>5.4</v>
      </c>
      <c r="C157" s="8">
        <v>113.785</v>
      </c>
      <c r="D157" s="10">
        <v>614.43899999999996</v>
      </c>
    </row>
    <row r="158" spans="1:4" ht="20.25" customHeight="1" x14ac:dyDescent="0.25">
      <c r="A158" s="9" t="s">
        <v>162</v>
      </c>
      <c r="B158" s="8">
        <v>2</v>
      </c>
      <c r="C158" s="8">
        <v>415</v>
      </c>
      <c r="D158" s="10">
        <v>830</v>
      </c>
    </row>
    <row r="159" spans="1:4" ht="20.25" customHeight="1" x14ac:dyDescent="0.25">
      <c r="A159" s="9" t="s">
        <v>163</v>
      </c>
      <c r="B159" s="8">
        <v>1</v>
      </c>
      <c r="C159" s="8">
        <v>210</v>
      </c>
      <c r="D159" s="10">
        <v>210</v>
      </c>
    </row>
    <row r="160" spans="1:4" ht="20.25" customHeight="1" x14ac:dyDescent="0.25">
      <c r="A160" s="9" t="s">
        <v>164</v>
      </c>
      <c r="B160" s="8">
        <v>0</v>
      </c>
      <c r="C160" s="8">
        <v>73.778300000000002</v>
      </c>
      <c r="D160" s="10">
        <v>0</v>
      </c>
    </row>
    <row r="161" spans="1:4" ht="20.25" customHeight="1" x14ac:dyDescent="0.25">
      <c r="A161" s="9" t="s">
        <v>165</v>
      </c>
      <c r="B161" s="8">
        <v>0</v>
      </c>
      <c r="C161" s="8">
        <v>30</v>
      </c>
      <c r="D161" s="10">
        <v>0</v>
      </c>
    </row>
    <row r="162" spans="1:4" ht="20.25" customHeight="1" x14ac:dyDescent="0.25">
      <c r="A162" s="9" t="s">
        <v>166</v>
      </c>
      <c r="B162" s="8">
        <v>17</v>
      </c>
      <c r="C162" s="8">
        <v>110.286</v>
      </c>
      <c r="D162" s="10">
        <v>1874.8620000000001</v>
      </c>
    </row>
    <row r="163" spans="1:4" ht="20.25" customHeight="1" x14ac:dyDescent="0.25">
      <c r="A163" s="9" t="s">
        <v>167</v>
      </c>
      <c r="B163" s="8">
        <v>15</v>
      </c>
      <c r="C163" s="8">
        <v>76.194900000000004</v>
      </c>
      <c r="D163" s="10">
        <v>1142.924</v>
      </c>
    </row>
    <row r="164" spans="1:4" ht="20.25" customHeight="1" x14ac:dyDescent="0.25">
      <c r="A164" s="9" t="s">
        <v>443</v>
      </c>
      <c r="B164" s="8">
        <v>0</v>
      </c>
      <c r="C164" s="8">
        <v>47.2727</v>
      </c>
      <c r="D164" s="10">
        <v>0</v>
      </c>
    </row>
    <row r="165" spans="1:4" ht="20.25" customHeight="1" x14ac:dyDescent="0.25">
      <c r="A165" s="9" t="s">
        <v>168</v>
      </c>
      <c r="B165" s="8">
        <v>34.5</v>
      </c>
      <c r="C165" s="8">
        <v>61</v>
      </c>
      <c r="D165" s="10">
        <v>2104.5</v>
      </c>
    </row>
    <row r="166" spans="1:4" ht="20.25" customHeight="1" x14ac:dyDescent="0.25">
      <c r="A166" s="9" t="s">
        <v>169</v>
      </c>
      <c r="B166" s="8">
        <v>37.5</v>
      </c>
      <c r="C166" s="8">
        <v>57.016100000000002</v>
      </c>
      <c r="D166" s="10">
        <v>2138.1039999999998</v>
      </c>
    </row>
    <row r="167" spans="1:4" ht="20.25" customHeight="1" x14ac:dyDescent="0.25">
      <c r="A167" s="9" t="s">
        <v>170</v>
      </c>
      <c r="B167" s="8">
        <v>21</v>
      </c>
      <c r="C167" s="8">
        <v>37.169499999999999</v>
      </c>
      <c r="D167" s="10">
        <v>780.56</v>
      </c>
    </row>
    <row r="168" spans="1:4" ht="20.25" customHeight="1" x14ac:dyDescent="0.25">
      <c r="A168" s="9" t="s">
        <v>171</v>
      </c>
      <c r="B168" s="8">
        <v>2</v>
      </c>
      <c r="C168" s="8">
        <v>277.18799999999999</v>
      </c>
      <c r="D168" s="10">
        <v>554.37599999999998</v>
      </c>
    </row>
    <row r="169" spans="1:4" ht="20.25" customHeight="1" x14ac:dyDescent="0.25">
      <c r="A169" s="9" t="s">
        <v>172</v>
      </c>
      <c r="B169" s="8">
        <v>0</v>
      </c>
      <c r="C169" s="8">
        <v>148</v>
      </c>
      <c r="D169" s="10">
        <v>0</v>
      </c>
    </row>
    <row r="170" spans="1:4" ht="20.25" customHeight="1" x14ac:dyDescent="0.25">
      <c r="A170" s="9" t="s">
        <v>173</v>
      </c>
      <c r="B170" s="8">
        <v>0</v>
      </c>
      <c r="C170" s="8">
        <v>31.818200000000001</v>
      </c>
      <c r="D170" s="10">
        <v>0</v>
      </c>
    </row>
    <row r="171" spans="1:4" ht="20.25" customHeight="1" x14ac:dyDescent="0.25">
      <c r="A171" s="9" t="s">
        <v>174</v>
      </c>
      <c r="B171" s="8">
        <v>10</v>
      </c>
      <c r="C171" s="8">
        <v>50</v>
      </c>
      <c r="D171" s="10">
        <v>500</v>
      </c>
    </row>
    <row r="172" spans="1:4" ht="20.25" customHeight="1" x14ac:dyDescent="0.25">
      <c r="A172" s="9" t="s">
        <v>175</v>
      </c>
      <c r="B172" s="8">
        <v>38.9</v>
      </c>
      <c r="C172" s="8">
        <v>60</v>
      </c>
      <c r="D172" s="10">
        <v>2334</v>
      </c>
    </row>
    <row r="173" spans="1:4" ht="20.25" customHeight="1" x14ac:dyDescent="0.25">
      <c r="A173" s="9" t="s">
        <v>444</v>
      </c>
      <c r="B173" s="8">
        <v>6</v>
      </c>
      <c r="C173" s="8">
        <v>106.667</v>
      </c>
      <c r="D173" s="10">
        <v>640.00199999999995</v>
      </c>
    </row>
    <row r="174" spans="1:4" ht="20.25" customHeight="1" x14ac:dyDescent="0.25">
      <c r="A174" s="9" t="s">
        <v>176</v>
      </c>
      <c r="B174" s="8">
        <v>62.8</v>
      </c>
      <c r="C174" s="8">
        <v>40</v>
      </c>
      <c r="D174" s="10">
        <v>2512</v>
      </c>
    </row>
    <row r="175" spans="1:4" ht="20.25" customHeight="1" x14ac:dyDescent="0.25">
      <c r="A175" s="9" t="s">
        <v>177</v>
      </c>
      <c r="B175" s="8">
        <v>1</v>
      </c>
      <c r="C175" s="8">
        <v>526.66700000000003</v>
      </c>
      <c r="D175" s="10">
        <v>526.66700000000003</v>
      </c>
    </row>
    <row r="176" spans="1:4" ht="20.25" customHeight="1" x14ac:dyDescent="0.25">
      <c r="A176" s="9" t="s">
        <v>179</v>
      </c>
      <c r="B176" s="8">
        <v>126</v>
      </c>
      <c r="C176" s="8">
        <v>98.347800000000007</v>
      </c>
      <c r="D176" s="10">
        <v>12391.823</v>
      </c>
    </row>
    <row r="177" spans="1:4" ht="20.25" customHeight="1" x14ac:dyDescent="0.25">
      <c r="A177" s="9" t="s">
        <v>180</v>
      </c>
      <c r="B177" s="8">
        <v>264</v>
      </c>
      <c r="C177" s="8">
        <v>59.369300000000003</v>
      </c>
      <c r="D177" s="10">
        <v>15673.495000000001</v>
      </c>
    </row>
    <row r="178" spans="1:4" ht="20.25" customHeight="1" x14ac:dyDescent="0.25">
      <c r="A178" s="9" t="s">
        <v>181</v>
      </c>
      <c r="B178" s="8">
        <v>2</v>
      </c>
      <c r="C178" s="8">
        <v>310</v>
      </c>
      <c r="D178" s="10">
        <v>620</v>
      </c>
    </row>
    <row r="179" spans="1:4" ht="20.25" customHeight="1" x14ac:dyDescent="0.25">
      <c r="A179" s="9" t="s">
        <v>182</v>
      </c>
      <c r="B179" s="8">
        <v>2</v>
      </c>
      <c r="C179" s="8">
        <v>200.69</v>
      </c>
      <c r="D179" s="10">
        <v>401.38</v>
      </c>
    </row>
    <row r="180" spans="1:4" ht="20.25" customHeight="1" x14ac:dyDescent="0.25">
      <c r="A180" s="9" t="s">
        <v>183</v>
      </c>
      <c r="B180" s="8">
        <v>36</v>
      </c>
      <c r="C180" s="8">
        <v>5.6896500000000003</v>
      </c>
      <c r="D180" s="10">
        <v>204.827</v>
      </c>
    </row>
    <row r="181" spans="1:4" ht="20.25" customHeight="1" x14ac:dyDescent="0.25">
      <c r="A181" s="9" t="s">
        <v>184</v>
      </c>
      <c r="B181" s="8">
        <v>1620</v>
      </c>
      <c r="C181" s="8">
        <v>2.2438099999999999</v>
      </c>
      <c r="D181" s="10">
        <v>3634.9720000000002</v>
      </c>
    </row>
    <row r="182" spans="1:4" ht="20.25" customHeight="1" x14ac:dyDescent="0.25">
      <c r="A182" s="9" t="s">
        <v>185</v>
      </c>
      <c r="B182" s="8">
        <v>60</v>
      </c>
      <c r="C182" s="8">
        <v>34.333300000000001</v>
      </c>
      <c r="D182" s="10">
        <v>2059.998</v>
      </c>
    </row>
    <row r="183" spans="1:4" ht="20.25" customHeight="1" x14ac:dyDescent="0.25">
      <c r="A183" s="9" t="s">
        <v>186</v>
      </c>
      <c r="B183" s="8">
        <v>1760</v>
      </c>
      <c r="C183" s="8">
        <v>4.9000000000000004</v>
      </c>
      <c r="D183" s="10">
        <v>8624</v>
      </c>
    </row>
    <row r="184" spans="1:4" ht="20.25" customHeight="1" x14ac:dyDescent="0.25">
      <c r="A184" s="9" t="s">
        <v>187</v>
      </c>
      <c r="B184" s="8">
        <v>59.4</v>
      </c>
      <c r="C184" s="8">
        <v>36.876899999999999</v>
      </c>
      <c r="D184" s="10">
        <v>2190.4879999999998</v>
      </c>
    </row>
    <row r="185" spans="1:4" ht="20.25" customHeight="1" x14ac:dyDescent="0.25">
      <c r="A185" s="9" t="s">
        <v>188</v>
      </c>
      <c r="B185" s="8">
        <v>30.2</v>
      </c>
      <c r="C185" s="8">
        <v>50.357100000000003</v>
      </c>
      <c r="D185" s="10">
        <v>1520.7840000000001</v>
      </c>
    </row>
    <row r="186" spans="1:4" ht="20.25" customHeight="1" x14ac:dyDescent="0.25">
      <c r="A186" s="9" t="s">
        <v>189</v>
      </c>
      <c r="B186" s="8">
        <v>15.25</v>
      </c>
      <c r="C186" s="8">
        <v>3262.76</v>
      </c>
      <c r="D186" s="10">
        <v>49757.09</v>
      </c>
    </row>
    <row r="187" spans="1:4" ht="20.25" customHeight="1" x14ac:dyDescent="0.25">
      <c r="A187" s="9" t="s">
        <v>190</v>
      </c>
      <c r="B187" s="8">
        <v>30.4</v>
      </c>
      <c r="C187" s="8">
        <v>55.563600000000001</v>
      </c>
      <c r="D187" s="10">
        <v>1689.133</v>
      </c>
    </row>
    <row r="188" spans="1:4" ht="20.25" customHeight="1" x14ac:dyDescent="0.25">
      <c r="A188" s="9" t="s">
        <v>445</v>
      </c>
      <c r="B188" s="8">
        <v>2</v>
      </c>
      <c r="C188" s="8">
        <v>73.75</v>
      </c>
      <c r="D188" s="10">
        <v>147.5</v>
      </c>
    </row>
    <row r="189" spans="1:4" ht="20.25" customHeight="1" x14ac:dyDescent="0.25">
      <c r="A189" s="9" t="s">
        <v>446</v>
      </c>
      <c r="B189" s="8">
        <v>0</v>
      </c>
      <c r="C189" s="8">
        <v>121.8</v>
      </c>
      <c r="D189" s="10">
        <v>0</v>
      </c>
    </row>
    <row r="190" spans="1:4" ht="20.25" customHeight="1" x14ac:dyDescent="0.25">
      <c r="A190" s="9" t="s">
        <v>191</v>
      </c>
      <c r="B190" s="8">
        <v>0.8</v>
      </c>
      <c r="C190" s="8">
        <v>956.6</v>
      </c>
      <c r="D190" s="10">
        <v>765.28</v>
      </c>
    </row>
    <row r="191" spans="1:4" ht="20.25" customHeight="1" x14ac:dyDescent="0.25">
      <c r="A191" s="9" t="s">
        <v>192</v>
      </c>
      <c r="B191" s="8">
        <v>3</v>
      </c>
      <c r="C191" s="8">
        <v>320</v>
      </c>
      <c r="D191" s="10">
        <v>960</v>
      </c>
    </row>
    <row r="192" spans="1:4" ht="20.25" customHeight="1" x14ac:dyDescent="0.25">
      <c r="A192" s="9" t="s">
        <v>193</v>
      </c>
      <c r="B192" s="8">
        <v>19</v>
      </c>
      <c r="C192" s="8">
        <v>185</v>
      </c>
      <c r="D192" s="10">
        <v>3515</v>
      </c>
    </row>
    <row r="193" spans="1:4" ht="20.25" customHeight="1" x14ac:dyDescent="0.25">
      <c r="A193" s="9" t="s">
        <v>194</v>
      </c>
      <c r="B193" s="8">
        <v>3</v>
      </c>
      <c r="C193" s="8">
        <v>100</v>
      </c>
      <c r="D193" s="10">
        <v>300</v>
      </c>
    </row>
    <row r="194" spans="1:4" ht="20.25" customHeight="1" x14ac:dyDescent="0.25">
      <c r="A194" s="9" t="s">
        <v>195</v>
      </c>
      <c r="B194" s="8">
        <v>1.5</v>
      </c>
      <c r="C194" s="8">
        <v>2510</v>
      </c>
      <c r="D194" s="10">
        <v>3765</v>
      </c>
    </row>
    <row r="195" spans="1:4" ht="20.25" customHeight="1" x14ac:dyDescent="0.25">
      <c r="A195" s="9" t="s">
        <v>196</v>
      </c>
      <c r="B195" s="8">
        <v>39.1</v>
      </c>
      <c r="C195" s="8">
        <v>258.8</v>
      </c>
      <c r="D195" s="10">
        <v>10119.08</v>
      </c>
    </row>
    <row r="196" spans="1:4" ht="20.25" customHeight="1" x14ac:dyDescent="0.25">
      <c r="A196" s="9" t="s">
        <v>197</v>
      </c>
      <c r="B196" s="8">
        <v>0</v>
      </c>
      <c r="C196" s="8">
        <v>160.667</v>
      </c>
      <c r="D196" s="10">
        <v>0</v>
      </c>
    </row>
    <row r="197" spans="1:4" ht="20.25" customHeight="1" x14ac:dyDescent="0.25">
      <c r="A197" s="9" t="s">
        <v>198</v>
      </c>
      <c r="B197" s="8">
        <v>10.5</v>
      </c>
      <c r="C197" s="8">
        <v>330.32600000000002</v>
      </c>
      <c r="D197" s="10">
        <v>3468.4229999999998</v>
      </c>
    </row>
    <row r="198" spans="1:4" ht="20.25" customHeight="1" x14ac:dyDescent="0.25">
      <c r="A198" s="9" t="s">
        <v>199</v>
      </c>
      <c r="B198" s="8">
        <v>41.6</v>
      </c>
      <c r="C198" s="8">
        <v>98.428600000000003</v>
      </c>
      <c r="D198" s="10">
        <v>4094.63</v>
      </c>
    </row>
    <row r="199" spans="1:4" ht="20.25" customHeight="1" x14ac:dyDescent="0.25">
      <c r="A199" s="9" t="s">
        <v>447</v>
      </c>
      <c r="B199" s="8">
        <v>2</v>
      </c>
      <c r="C199" s="8">
        <v>80</v>
      </c>
      <c r="D199" s="10">
        <v>160</v>
      </c>
    </row>
    <row r="200" spans="1:4" ht="20.25" customHeight="1" x14ac:dyDescent="0.25">
      <c r="A200" s="9" t="s">
        <v>200</v>
      </c>
      <c r="B200" s="8">
        <v>14.2</v>
      </c>
      <c r="C200" s="8">
        <v>811.30399999999997</v>
      </c>
      <c r="D200" s="10">
        <v>11520.517</v>
      </c>
    </row>
    <row r="201" spans="1:4" ht="20.25" customHeight="1" x14ac:dyDescent="0.25">
      <c r="A201" s="9" t="s">
        <v>201</v>
      </c>
      <c r="B201" s="8">
        <v>10.7</v>
      </c>
      <c r="C201" s="8">
        <v>512.5</v>
      </c>
      <c r="D201" s="10">
        <v>5483.75</v>
      </c>
    </row>
    <row r="202" spans="1:4" ht="20.25" customHeight="1" x14ac:dyDescent="0.25">
      <c r="A202" s="9" t="s">
        <v>202</v>
      </c>
      <c r="B202" s="8">
        <v>0</v>
      </c>
      <c r="C202" s="8">
        <v>47.2727</v>
      </c>
      <c r="D202" s="10">
        <v>0</v>
      </c>
    </row>
    <row r="203" spans="1:4" ht="20.25" customHeight="1" x14ac:dyDescent="0.25">
      <c r="A203" s="9" t="s">
        <v>203</v>
      </c>
      <c r="B203" s="8">
        <v>1</v>
      </c>
      <c r="C203" s="8">
        <v>159</v>
      </c>
      <c r="D203" s="10">
        <v>159</v>
      </c>
    </row>
    <row r="204" spans="1:4" ht="20.25" customHeight="1" x14ac:dyDescent="0.25">
      <c r="A204" s="9" t="s">
        <v>205</v>
      </c>
      <c r="B204" s="8">
        <v>3</v>
      </c>
      <c r="C204" s="8">
        <v>47.619</v>
      </c>
      <c r="D204" s="10">
        <v>142.857</v>
      </c>
    </row>
    <row r="205" spans="1:4" ht="20.25" customHeight="1" x14ac:dyDescent="0.25">
      <c r="A205" s="9" t="s">
        <v>206</v>
      </c>
      <c r="B205" s="8">
        <v>7.9</v>
      </c>
      <c r="C205" s="8">
        <v>680.31700000000001</v>
      </c>
      <c r="D205" s="10">
        <v>5374.5039999999999</v>
      </c>
    </row>
    <row r="206" spans="1:4" ht="20.25" customHeight="1" x14ac:dyDescent="0.25">
      <c r="A206" s="9" t="s">
        <v>207</v>
      </c>
      <c r="B206" s="8">
        <v>0.86</v>
      </c>
      <c r="C206" s="8">
        <v>267.8</v>
      </c>
      <c r="D206" s="10">
        <v>230.30799999999999</v>
      </c>
    </row>
    <row r="207" spans="1:4" ht="20.25" customHeight="1" x14ac:dyDescent="0.25">
      <c r="A207" s="9" t="s">
        <v>448</v>
      </c>
      <c r="B207" s="8">
        <v>4</v>
      </c>
      <c r="C207" s="8">
        <v>20</v>
      </c>
      <c r="D207" s="10">
        <v>80</v>
      </c>
    </row>
    <row r="208" spans="1:4" ht="20.25" customHeight="1" x14ac:dyDescent="0.25">
      <c r="A208" s="9" t="s">
        <v>208</v>
      </c>
      <c r="B208" s="8">
        <v>7</v>
      </c>
      <c r="C208" s="8">
        <v>44.378599999999999</v>
      </c>
      <c r="D208" s="10">
        <v>310.64999999999998</v>
      </c>
    </row>
    <row r="209" spans="1:4" ht="20.25" customHeight="1" x14ac:dyDescent="0.25">
      <c r="A209" s="9" t="s">
        <v>209</v>
      </c>
      <c r="B209" s="8">
        <v>1.212</v>
      </c>
      <c r="C209" s="8">
        <v>1708.11</v>
      </c>
      <c r="D209" s="10">
        <v>2070.2289999999998</v>
      </c>
    </row>
    <row r="210" spans="1:4" ht="20.25" customHeight="1" x14ac:dyDescent="0.25">
      <c r="A210" s="9" t="s">
        <v>211</v>
      </c>
      <c r="B210" s="8">
        <v>3</v>
      </c>
      <c r="C210" s="8">
        <v>341.66699999999997</v>
      </c>
      <c r="D210" s="10">
        <v>1025.001</v>
      </c>
    </row>
    <row r="211" spans="1:4" ht="20.25" customHeight="1" x14ac:dyDescent="0.25">
      <c r="A211" s="9" t="s">
        <v>212</v>
      </c>
      <c r="B211" s="8">
        <v>0</v>
      </c>
      <c r="C211" s="8">
        <v>183.261</v>
      </c>
      <c r="D211" s="10">
        <v>0</v>
      </c>
    </row>
    <row r="212" spans="1:4" ht="20.25" customHeight="1" x14ac:dyDescent="0.25">
      <c r="A212" s="9" t="s">
        <v>449</v>
      </c>
      <c r="B212" s="8">
        <v>0</v>
      </c>
      <c r="C212" s="8">
        <v>210.916</v>
      </c>
      <c r="D212" s="10">
        <v>0</v>
      </c>
    </row>
    <row r="213" spans="1:4" ht="20.25" customHeight="1" x14ac:dyDescent="0.25">
      <c r="A213" s="9" t="s">
        <v>214</v>
      </c>
      <c r="B213" s="8">
        <v>1.1000000000000001</v>
      </c>
      <c r="C213" s="8">
        <v>517.58799999999997</v>
      </c>
      <c r="D213" s="10">
        <v>569.34699999999998</v>
      </c>
    </row>
    <row r="214" spans="1:4" ht="20.25" customHeight="1" x14ac:dyDescent="0.25">
      <c r="A214" s="9" t="s">
        <v>215</v>
      </c>
      <c r="B214" s="8">
        <v>0.68</v>
      </c>
      <c r="C214" s="8">
        <v>90</v>
      </c>
      <c r="D214" s="10">
        <v>61.2</v>
      </c>
    </row>
    <row r="215" spans="1:4" ht="20.25" customHeight="1" x14ac:dyDescent="0.25">
      <c r="A215" s="9" t="s">
        <v>216</v>
      </c>
      <c r="B215" s="8">
        <v>30</v>
      </c>
      <c r="C215" s="8">
        <v>27.668199999999999</v>
      </c>
      <c r="D215" s="10">
        <v>830.04600000000005</v>
      </c>
    </row>
    <row r="216" spans="1:4" ht="20.25" customHeight="1" x14ac:dyDescent="0.25">
      <c r="A216" s="9" t="s">
        <v>217</v>
      </c>
      <c r="B216" s="8">
        <v>3</v>
      </c>
      <c r="C216" s="8">
        <v>690</v>
      </c>
      <c r="D216" s="10">
        <v>2070</v>
      </c>
    </row>
    <row r="217" spans="1:4" ht="20.25" customHeight="1" x14ac:dyDescent="0.25">
      <c r="A217" s="9" t="s">
        <v>218</v>
      </c>
      <c r="B217" s="8">
        <v>0</v>
      </c>
      <c r="C217" s="8">
        <v>100</v>
      </c>
      <c r="D217" s="10">
        <v>0</v>
      </c>
    </row>
    <row r="218" spans="1:4" ht="20.25" customHeight="1" x14ac:dyDescent="0.25">
      <c r="A218" s="9" t="s">
        <v>450</v>
      </c>
      <c r="B218" s="8">
        <v>4.6500000000000004</v>
      </c>
      <c r="C218" s="8">
        <v>40.844200000000001</v>
      </c>
      <c r="D218" s="10">
        <v>189.92599999999999</v>
      </c>
    </row>
    <row r="219" spans="1:4" ht="20.25" customHeight="1" x14ac:dyDescent="0.25">
      <c r="A219" s="9" t="s">
        <v>221</v>
      </c>
      <c r="B219" s="8">
        <v>0</v>
      </c>
      <c r="C219" s="8">
        <v>404.11</v>
      </c>
      <c r="D219" s="10">
        <v>0</v>
      </c>
    </row>
    <row r="220" spans="1:4" ht="20.25" customHeight="1" x14ac:dyDescent="0.25">
      <c r="A220" s="9" t="s">
        <v>222</v>
      </c>
      <c r="B220" s="8">
        <v>0</v>
      </c>
      <c r="C220" s="8">
        <v>110</v>
      </c>
      <c r="D220" s="10">
        <v>0</v>
      </c>
    </row>
    <row r="221" spans="1:4" ht="20.25" customHeight="1" x14ac:dyDescent="0.25">
      <c r="A221" s="9" t="s">
        <v>223</v>
      </c>
      <c r="B221" s="8">
        <v>4.75</v>
      </c>
      <c r="C221" s="8">
        <v>315.137</v>
      </c>
      <c r="D221" s="10">
        <v>1496.9010000000001</v>
      </c>
    </row>
    <row r="222" spans="1:4" ht="20.25" customHeight="1" x14ac:dyDescent="0.25">
      <c r="A222" s="9" t="s">
        <v>224</v>
      </c>
      <c r="B222" s="8">
        <v>34</v>
      </c>
      <c r="C222" s="8">
        <v>27.2727</v>
      </c>
      <c r="D222" s="10">
        <v>927.27200000000005</v>
      </c>
    </row>
    <row r="223" spans="1:4" ht="20.25" customHeight="1" x14ac:dyDescent="0.25">
      <c r="A223" s="9" t="s">
        <v>225</v>
      </c>
      <c r="B223" s="8">
        <v>0.42</v>
      </c>
      <c r="C223" s="8">
        <v>892.16700000000003</v>
      </c>
      <c r="D223" s="10">
        <v>374.71</v>
      </c>
    </row>
    <row r="224" spans="1:4" ht="20.25" customHeight="1" x14ac:dyDescent="0.25">
      <c r="A224" s="9" t="s">
        <v>451</v>
      </c>
      <c r="B224" s="8">
        <v>3</v>
      </c>
      <c r="C224" s="8">
        <v>145</v>
      </c>
      <c r="D224" s="10">
        <v>435</v>
      </c>
    </row>
    <row r="225" spans="1:4" ht="20.25" customHeight="1" x14ac:dyDescent="0.25">
      <c r="A225" s="9" t="s">
        <v>226</v>
      </c>
      <c r="B225" s="8">
        <v>0.3</v>
      </c>
      <c r="C225" s="8">
        <v>165</v>
      </c>
      <c r="D225" s="10">
        <v>49.5</v>
      </c>
    </row>
    <row r="226" spans="1:4" ht="20.25" customHeight="1" x14ac:dyDescent="0.25">
      <c r="A226" s="9" t="s">
        <v>227</v>
      </c>
      <c r="B226" s="8">
        <v>8.01</v>
      </c>
      <c r="C226" s="8">
        <v>64.666700000000006</v>
      </c>
      <c r="D226" s="10">
        <v>517.98</v>
      </c>
    </row>
    <row r="227" spans="1:4" ht="20.25" customHeight="1" x14ac:dyDescent="0.25">
      <c r="A227" s="9" t="s">
        <v>228</v>
      </c>
      <c r="B227" s="8">
        <v>1.5</v>
      </c>
      <c r="C227" s="8">
        <v>78.8125</v>
      </c>
      <c r="D227" s="10">
        <v>118.21899999999999</v>
      </c>
    </row>
    <row r="228" spans="1:4" ht="20.25" customHeight="1" x14ac:dyDescent="0.25">
      <c r="A228" s="9" t="s">
        <v>229</v>
      </c>
      <c r="B228" s="8">
        <v>11</v>
      </c>
      <c r="C228" s="8">
        <v>139.12</v>
      </c>
      <c r="D228" s="10">
        <v>1530.32</v>
      </c>
    </row>
    <row r="229" spans="1:4" ht="20.25" customHeight="1" x14ac:dyDescent="0.25">
      <c r="A229" s="9" t="s">
        <v>230</v>
      </c>
      <c r="B229" s="8">
        <v>11</v>
      </c>
      <c r="C229" s="8">
        <v>183.102</v>
      </c>
      <c r="D229" s="10">
        <v>2014.1220000000001</v>
      </c>
    </row>
    <row r="230" spans="1:4" ht="20.25" customHeight="1" x14ac:dyDescent="0.25">
      <c r="A230" s="9" t="s">
        <v>231</v>
      </c>
      <c r="B230" s="8">
        <v>4</v>
      </c>
      <c r="C230" s="8">
        <v>170.92599999999999</v>
      </c>
      <c r="D230" s="10">
        <v>683.70399999999995</v>
      </c>
    </row>
    <row r="231" spans="1:4" ht="20.25" customHeight="1" x14ac:dyDescent="0.25">
      <c r="A231" s="9" t="s">
        <v>232</v>
      </c>
      <c r="B231" s="8">
        <v>50.7</v>
      </c>
      <c r="C231" s="8">
        <v>42.425800000000002</v>
      </c>
      <c r="D231" s="10">
        <v>2150.9879999999998</v>
      </c>
    </row>
    <row r="232" spans="1:4" ht="20.25" customHeight="1" x14ac:dyDescent="0.25">
      <c r="A232" s="9" t="s">
        <v>233</v>
      </c>
      <c r="B232" s="8">
        <v>0</v>
      </c>
      <c r="C232" s="8">
        <v>1050</v>
      </c>
      <c r="D232" s="10">
        <v>0</v>
      </c>
    </row>
    <row r="233" spans="1:4" ht="20.25" customHeight="1" x14ac:dyDescent="0.25">
      <c r="A233" s="9" t="s">
        <v>234</v>
      </c>
      <c r="B233" s="8">
        <v>5</v>
      </c>
      <c r="C233" s="8">
        <v>99.608699999999999</v>
      </c>
      <c r="D233" s="10">
        <v>498.04399999999998</v>
      </c>
    </row>
    <row r="234" spans="1:4" ht="20.25" customHeight="1" x14ac:dyDescent="0.25">
      <c r="A234" s="9" t="s">
        <v>238</v>
      </c>
      <c r="B234" s="8">
        <v>1</v>
      </c>
      <c r="C234" s="8">
        <v>180</v>
      </c>
      <c r="D234" s="10">
        <v>180</v>
      </c>
    </row>
    <row r="235" spans="1:4" ht="20.25" customHeight="1" x14ac:dyDescent="0.25">
      <c r="A235" s="9" t="s">
        <v>239</v>
      </c>
      <c r="B235" s="8">
        <v>0</v>
      </c>
      <c r="C235" s="8">
        <v>665.30600000000004</v>
      </c>
      <c r="D235" s="10">
        <v>0</v>
      </c>
    </row>
    <row r="236" spans="1:4" ht="20.25" customHeight="1" x14ac:dyDescent="0.25">
      <c r="A236" s="9" t="s">
        <v>240</v>
      </c>
      <c r="B236" s="8">
        <v>0</v>
      </c>
      <c r="C236" s="8">
        <v>71.9178</v>
      </c>
      <c r="D236" s="10">
        <v>0</v>
      </c>
    </row>
    <row r="237" spans="1:4" ht="20.25" customHeight="1" x14ac:dyDescent="0.25">
      <c r="A237" s="9" t="s">
        <v>241</v>
      </c>
      <c r="B237" s="8">
        <v>0</v>
      </c>
      <c r="C237" s="8">
        <v>69.022599999999997</v>
      </c>
      <c r="D237" s="10">
        <v>0</v>
      </c>
    </row>
    <row r="238" spans="1:4" ht="20.25" customHeight="1" x14ac:dyDescent="0.25">
      <c r="A238" s="9" t="s">
        <v>452</v>
      </c>
      <c r="B238" s="8">
        <v>0</v>
      </c>
      <c r="C238" s="8">
        <v>180</v>
      </c>
      <c r="D238" s="10">
        <v>0</v>
      </c>
    </row>
    <row r="239" spans="1:4" ht="20.25" customHeight="1" x14ac:dyDescent="0.25">
      <c r="A239" s="9" t="s">
        <v>242</v>
      </c>
      <c r="B239" s="8">
        <v>40</v>
      </c>
      <c r="C239" s="8">
        <v>4</v>
      </c>
      <c r="D239" s="10">
        <v>160</v>
      </c>
    </row>
    <row r="240" spans="1:4" ht="20.25" customHeight="1" x14ac:dyDescent="0.25">
      <c r="A240" s="9" t="s">
        <v>243</v>
      </c>
      <c r="B240" s="8">
        <v>21.5</v>
      </c>
      <c r="C240" s="8">
        <v>82</v>
      </c>
      <c r="D240" s="10">
        <v>1763</v>
      </c>
    </row>
    <row r="241" spans="1:4" ht="20.25" customHeight="1" x14ac:dyDescent="0.25">
      <c r="A241" s="9" t="s">
        <v>244</v>
      </c>
      <c r="B241" s="8">
        <v>9</v>
      </c>
      <c r="C241" s="8">
        <v>127.22199999999999</v>
      </c>
      <c r="D241" s="10">
        <v>1144.998</v>
      </c>
    </row>
    <row r="242" spans="1:4" ht="20.25" customHeight="1" x14ac:dyDescent="0.25">
      <c r="A242" s="9" t="s">
        <v>245</v>
      </c>
      <c r="B242" s="8">
        <v>4</v>
      </c>
      <c r="C242" s="8">
        <v>92.277799999999999</v>
      </c>
      <c r="D242" s="10">
        <v>369.11099999999999</v>
      </c>
    </row>
    <row r="243" spans="1:4" ht="20.25" customHeight="1" x14ac:dyDescent="0.25">
      <c r="A243" s="9" t="s">
        <v>246</v>
      </c>
      <c r="B243" s="8">
        <v>5</v>
      </c>
      <c r="C243" s="8">
        <v>144.23500000000001</v>
      </c>
      <c r="D243" s="10">
        <v>721.17499999999995</v>
      </c>
    </row>
    <row r="244" spans="1:4" ht="20.25" customHeight="1" x14ac:dyDescent="0.25">
      <c r="A244" s="9" t="s">
        <v>453</v>
      </c>
      <c r="B244" s="8">
        <v>0</v>
      </c>
      <c r="C244" s="8">
        <v>3500</v>
      </c>
      <c r="D244" s="10">
        <v>0</v>
      </c>
    </row>
    <row r="245" spans="1:4" ht="20.25" customHeight="1" x14ac:dyDescent="0.25">
      <c r="A245" s="9" t="s">
        <v>247</v>
      </c>
      <c r="B245" s="8">
        <v>2.4500000000000002</v>
      </c>
      <c r="C245" s="8">
        <v>152.38</v>
      </c>
      <c r="D245" s="10">
        <v>373.33100000000002</v>
      </c>
    </row>
    <row r="246" spans="1:4" ht="20.25" customHeight="1" x14ac:dyDescent="0.25">
      <c r="A246" s="9" t="s">
        <v>249</v>
      </c>
      <c r="B246" s="8">
        <v>4.5</v>
      </c>
      <c r="C246" s="8">
        <v>55.084400000000002</v>
      </c>
      <c r="D246" s="10">
        <v>247.88</v>
      </c>
    </row>
    <row r="247" spans="1:4" ht="20.25" customHeight="1" x14ac:dyDescent="0.25">
      <c r="A247" s="9" t="s">
        <v>250</v>
      </c>
      <c r="B247" s="8">
        <v>2</v>
      </c>
      <c r="C247" s="8">
        <v>136</v>
      </c>
      <c r="D247" s="10">
        <v>272</v>
      </c>
    </row>
    <row r="248" spans="1:4" ht="20.25" customHeight="1" x14ac:dyDescent="0.25">
      <c r="A248" s="9" t="s">
        <v>454</v>
      </c>
      <c r="B248" s="8">
        <v>0</v>
      </c>
      <c r="C248" s="8">
        <v>360</v>
      </c>
      <c r="D248" s="10">
        <v>0</v>
      </c>
    </row>
    <row r="249" spans="1:4" ht="20.25" customHeight="1" x14ac:dyDescent="0.25">
      <c r="A249" s="9" t="s">
        <v>251</v>
      </c>
      <c r="B249" s="8">
        <v>561</v>
      </c>
      <c r="C249" s="8">
        <v>0</v>
      </c>
      <c r="D249" s="10">
        <v>0</v>
      </c>
    </row>
    <row r="250" spans="1:4" ht="20.25" customHeight="1" x14ac:dyDescent="0.25">
      <c r="A250" s="9" t="s">
        <v>252</v>
      </c>
      <c r="B250" s="8">
        <v>40.6</v>
      </c>
      <c r="C250" s="8">
        <v>93.571399999999997</v>
      </c>
      <c r="D250" s="10">
        <v>3798.9989999999998</v>
      </c>
    </row>
    <row r="251" spans="1:4" ht="20.25" customHeight="1" x14ac:dyDescent="0.25">
      <c r="A251" s="9" t="s">
        <v>253</v>
      </c>
      <c r="B251" s="8">
        <v>5</v>
      </c>
      <c r="C251" s="8">
        <v>120.87</v>
      </c>
      <c r="D251" s="10">
        <v>604.35</v>
      </c>
    </row>
    <row r="252" spans="1:4" ht="20.25" customHeight="1" x14ac:dyDescent="0.25">
      <c r="A252" s="9" t="s">
        <v>254</v>
      </c>
      <c r="B252" s="8">
        <v>1</v>
      </c>
      <c r="C252" s="8">
        <v>113.111</v>
      </c>
      <c r="D252" s="10">
        <v>113.111</v>
      </c>
    </row>
    <row r="253" spans="1:4" ht="20.25" customHeight="1" x14ac:dyDescent="0.25">
      <c r="A253" s="9" t="s">
        <v>255</v>
      </c>
      <c r="B253" s="8">
        <v>0</v>
      </c>
      <c r="C253" s="8">
        <v>53.75</v>
      </c>
      <c r="D253" s="10">
        <v>0</v>
      </c>
    </row>
    <row r="254" spans="1:4" ht="20.25" customHeight="1" x14ac:dyDescent="0.25">
      <c r="A254" s="9" t="s">
        <v>256</v>
      </c>
      <c r="B254" s="8">
        <v>4</v>
      </c>
      <c r="C254" s="8">
        <v>101</v>
      </c>
      <c r="D254" s="10">
        <v>404</v>
      </c>
    </row>
    <row r="255" spans="1:4" ht="20.25" customHeight="1" x14ac:dyDescent="0.25">
      <c r="A255" s="9" t="s">
        <v>257</v>
      </c>
      <c r="B255" s="8">
        <v>2</v>
      </c>
      <c r="C255" s="8">
        <v>417.65300000000002</v>
      </c>
      <c r="D255" s="10">
        <v>835.30600000000004</v>
      </c>
    </row>
    <row r="256" spans="1:4" ht="20.25" customHeight="1" x14ac:dyDescent="0.25">
      <c r="A256" s="9" t="s">
        <v>258</v>
      </c>
      <c r="B256" s="8">
        <v>11</v>
      </c>
      <c r="C256" s="8">
        <v>148.46799999999999</v>
      </c>
      <c r="D256" s="10">
        <v>1633.1479999999999</v>
      </c>
    </row>
    <row r="257" spans="1:4" ht="20.25" customHeight="1" x14ac:dyDescent="0.25">
      <c r="A257" s="9" t="s">
        <v>455</v>
      </c>
      <c r="B257" s="8">
        <v>2.4</v>
      </c>
      <c r="C257" s="8">
        <v>60</v>
      </c>
      <c r="D257" s="10">
        <v>144</v>
      </c>
    </row>
    <row r="258" spans="1:4" ht="20.25" customHeight="1" x14ac:dyDescent="0.25">
      <c r="A258" s="9" t="s">
        <v>456</v>
      </c>
      <c r="B258" s="8">
        <v>0</v>
      </c>
      <c r="C258" s="8">
        <v>1166.67</v>
      </c>
      <c r="D258" s="10">
        <v>0</v>
      </c>
    </row>
    <row r="259" spans="1:4" ht="20.25" customHeight="1" x14ac:dyDescent="0.25">
      <c r="A259" s="9" t="s">
        <v>260</v>
      </c>
      <c r="B259" s="8">
        <v>3</v>
      </c>
      <c r="C259" s="8">
        <v>66.428600000000003</v>
      </c>
      <c r="D259" s="10">
        <v>199.286</v>
      </c>
    </row>
    <row r="260" spans="1:4" ht="20.25" customHeight="1" x14ac:dyDescent="0.25">
      <c r="A260" s="9" t="s">
        <v>261</v>
      </c>
      <c r="B260" s="8">
        <v>1</v>
      </c>
      <c r="C260" s="8">
        <v>68.802999999999997</v>
      </c>
      <c r="D260" s="10">
        <v>68.802999999999997</v>
      </c>
    </row>
    <row r="261" spans="1:4" ht="20.25" customHeight="1" x14ac:dyDescent="0.25">
      <c r="A261" s="9" t="s">
        <v>262</v>
      </c>
      <c r="B261" s="8">
        <v>0</v>
      </c>
      <c r="C261" s="8">
        <v>60.710900000000002</v>
      </c>
      <c r="D261" s="10">
        <v>0</v>
      </c>
    </row>
    <row r="262" spans="1:4" ht="20.25" customHeight="1" x14ac:dyDescent="0.25">
      <c r="A262" s="9" t="s">
        <v>263</v>
      </c>
      <c r="B262" s="8">
        <v>5</v>
      </c>
      <c r="C262" s="8">
        <v>195.4</v>
      </c>
      <c r="D262" s="10">
        <v>977</v>
      </c>
    </row>
    <row r="263" spans="1:4" ht="20.25" customHeight="1" x14ac:dyDescent="0.25">
      <c r="A263" s="9" t="s">
        <v>457</v>
      </c>
      <c r="B263" s="8">
        <v>0</v>
      </c>
      <c r="C263" s="8">
        <v>300</v>
      </c>
      <c r="D263" s="10">
        <v>0</v>
      </c>
    </row>
    <row r="264" spans="1:4" ht="20.25" customHeight="1" x14ac:dyDescent="0.25">
      <c r="A264" s="9" t="s">
        <v>264</v>
      </c>
      <c r="B264" s="8">
        <v>0</v>
      </c>
      <c r="C264" s="8">
        <v>783.51900000000001</v>
      </c>
      <c r="D264" s="10">
        <v>0</v>
      </c>
    </row>
    <row r="265" spans="1:4" ht="20.25" customHeight="1" x14ac:dyDescent="0.25">
      <c r="A265" s="9" t="s">
        <v>265</v>
      </c>
      <c r="B265" s="8">
        <v>0</v>
      </c>
      <c r="C265" s="8">
        <v>891.25</v>
      </c>
      <c r="D265" s="10">
        <v>0</v>
      </c>
    </row>
    <row r="266" spans="1:4" ht="20.25" customHeight="1" x14ac:dyDescent="0.25">
      <c r="A266" s="9" t="s">
        <v>266</v>
      </c>
      <c r="B266" s="8">
        <v>68</v>
      </c>
      <c r="C266" s="8">
        <v>2.4691399999999999</v>
      </c>
      <c r="D266" s="10">
        <v>167.90199999999999</v>
      </c>
    </row>
    <row r="267" spans="1:4" ht="20.25" customHeight="1" x14ac:dyDescent="0.25">
      <c r="A267" s="9" t="s">
        <v>267</v>
      </c>
      <c r="B267" s="8">
        <v>1154</v>
      </c>
      <c r="C267" s="8">
        <v>20.000900000000001</v>
      </c>
      <c r="D267" s="10">
        <v>23081.039000000001</v>
      </c>
    </row>
    <row r="268" spans="1:4" ht="20.25" customHeight="1" x14ac:dyDescent="0.25">
      <c r="A268" s="9" t="s">
        <v>268</v>
      </c>
      <c r="B268" s="8">
        <v>24</v>
      </c>
      <c r="C268" s="8">
        <v>48</v>
      </c>
      <c r="D268" s="10">
        <v>1152</v>
      </c>
    </row>
    <row r="269" spans="1:4" ht="20.25" customHeight="1" x14ac:dyDescent="0.25">
      <c r="A269" s="9" t="s">
        <v>269</v>
      </c>
      <c r="B269" s="8">
        <v>3</v>
      </c>
      <c r="C269" s="8">
        <v>340.87</v>
      </c>
      <c r="D269" s="10">
        <v>1022.61</v>
      </c>
    </row>
    <row r="270" spans="1:4" ht="20.25" customHeight="1" x14ac:dyDescent="0.25">
      <c r="A270" s="9" t="s">
        <v>270</v>
      </c>
      <c r="B270" s="8">
        <v>8</v>
      </c>
      <c r="C270" s="8">
        <v>43.716700000000003</v>
      </c>
      <c r="D270" s="10">
        <v>349.73399999999998</v>
      </c>
    </row>
    <row r="271" spans="1:4" ht="20.25" customHeight="1" x14ac:dyDescent="0.25">
      <c r="A271" s="9" t="s">
        <v>271</v>
      </c>
      <c r="B271" s="8">
        <v>19.420000000000002</v>
      </c>
      <c r="C271" s="8">
        <v>24.161999999999999</v>
      </c>
      <c r="D271" s="10">
        <v>469.226</v>
      </c>
    </row>
    <row r="272" spans="1:4" ht="20.25" customHeight="1" x14ac:dyDescent="0.25">
      <c r="A272" s="9" t="s">
        <v>272</v>
      </c>
      <c r="B272" s="8">
        <v>0</v>
      </c>
      <c r="C272" s="8">
        <v>182.22200000000001</v>
      </c>
      <c r="D272" s="10">
        <v>0</v>
      </c>
    </row>
    <row r="273" spans="1:4" ht="20.25" customHeight="1" x14ac:dyDescent="0.25">
      <c r="A273" s="9" t="s">
        <v>273</v>
      </c>
      <c r="B273" s="8">
        <v>0</v>
      </c>
      <c r="C273" s="8">
        <v>210</v>
      </c>
      <c r="D273" s="10">
        <v>0</v>
      </c>
    </row>
    <row r="274" spans="1:4" ht="20.25" customHeight="1" x14ac:dyDescent="0.25">
      <c r="A274" s="9" t="s">
        <v>274</v>
      </c>
      <c r="B274" s="8">
        <v>2</v>
      </c>
      <c r="C274" s="8">
        <v>500</v>
      </c>
      <c r="D274" s="10">
        <v>1000</v>
      </c>
    </row>
    <row r="275" spans="1:4" ht="20.25" customHeight="1" x14ac:dyDescent="0.25">
      <c r="A275" s="9" t="s">
        <v>275</v>
      </c>
      <c r="B275" s="8">
        <v>100</v>
      </c>
      <c r="C275" s="8">
        <v>1.6</v>
      </c>
      <c r="D275" s="10">
        <v>160</v>
      </c>
    </row>
    <row r="276" spans="1:4" ht="20.25" customHeight="1" x14ac:dyDescent="0.25">
      <c r="A276" s="9" t="s">
        <v>458</v>
      </c>
      <c r="B276" s="8">
        <v>0</v>
      </c>
      <c r="C276" s="8">
        <v>181.667</v>
      </c>
      <c r="D276" s="10">
        <v>0</v>
      </c>
    </row>
    <row r="277" spans="1:4" ht="20.25" customHeight="1" x14ac:dyDescent="0.25">
      <c r="A277" s="9" t="s">
        <v>276</v>
      </c>
      <c r="B277" s="8">
        <v>24</v>
      </c>
      <c r="C277" s="8">
        <v>23.413</v>
      </c>
      <c r="D277" s="10">
        <v>561.91200000000003</v>
      </c>
    </row>
    <row r="278" spans="1:4" ht="20.25" customHeight="1" x14ac:dyDescent="0.25">
      <c r="A278" s="9" t="s">
        <v>277</v>
      </c>
      <c r="B278" s="8">
        <v>1</v>
      </c>
      <c r="C278" s="8">
        <v>356</v>
      </c>
      <c r="D278" s="10">
        <v>356</v>
      </c>
    </row>
    <row r="279" spans="1:4" ht="20.25" customHeight="1" x14ac:dyDescent="0.25">
      <c r="A279" s="9" t="s">
        <v>459</v>
      </c>
      <c r="B279" s="8">
        <v>0</v>
      </c>
      <c r="C279" s="8">
        <v>137.5</v>
      </c>
      <c r="D279" s="10">
        <v>0</v>
      </c>
    </row>
    <row r="280" spans="1:4" ht="20.25" customHeight="1" x14ac:dyDescent="0.25">
      <c r="A280" s="9" t="s">
        <v>278</v>
      </c>
      <c r="B280" s="8">
        <v>14</v>
      </c>
      <c r="C280" s="8">
        <v>47.717399999999998</v>
      </c>
      <c r="D280" s="10">
        <v>668.04399999999998</v>
      </c>
    </row>
    <row r="281" spans="1:4" ht="20.25" customHeight="1" x14ac:dyDescent="0.25">
      <c r="A281" s="9" t="s">
        <v>279</v>
      </c>
      <c r="B281" s="8">
        <v>97.5</v>
      </c>
      <c r="C281" s="8">
        <v>131.292</v>
      </c>
      <c r="D281" s="10">
        <v>12800.97</v>
      </c>
    </row>
    <row r="282" spans="1:4" ht="20.25" customHeight="1" x14ac:dyDescent="0.25">
      <c r="A282" s="9" t="s">
        <v>280</v>
      </c>
      <c r="B282" s="8">
        <v>172</v>
      </c>
      <c r="C282" s="8">
        <v>122.41500000000001</v>
      </c>
      <c r="D282" s="10">
        <v>21055.38</v>
      </c>
    </row>
    <row r="283" spans="1:4" ht="20.25" customHeight="1" x14ac:dyDescent="0.25">
      <c r="A283" s="9" t="s">
        <v>460</v>
      </c>
      <c r="B283" s="8">
        <v>0</v>
      </c>
      <c r="C283" s="8">
        <v>820</v>
      </c>
      <c r="D283" s="10">
        <v>0</v>
      </c>
    </row>
    <row r="284" spans="1:4" ht="20.25" customHeight="1" x14ac:dyDescent="0.25">
      <c r="A284" s="9" t="s">
        <v>281</v>
      </c>
      <c r="B284" s="8">
        <v>4</v>
      </c>
      <c r="C284" s="8">
        <v>400.34500000000003</v>
      </c>
      <c r="D284" s="10">
        <v>1601.38</v>
      </c>
    </row>
    <row r="285" spans="1:4" ht="20.25" customHeight="1" x14ac:dyDescent="0.25">
      <c r="A285" s="9" t="s">
        <v>282</v>
      </c>
      <c r="B285" s="8">
        <v>9</v>
      </c>
      <c r="C285" s="8">
        <v>284.79500000000002</v>
      </c>
      <c r="D285" s="10">
        <v>2563.1550000000002</v>
      </c>
    </row>
    <row r="286" spans="1:4" ht="20.25" customHeight="1" x14ac:dyDescent="0.25">
      <c r="A286" s="9" t="s">
        <v>461</v>
      </c>
      <c r="B286" s="8">
        <v>4</v>
      </c>
      <c r="C286" s="8">
        <v>220</v>
      </c>
      <c r="D286" s="10">
        <v>880</v>
      </c>
    </row>
    <row r="287" spans="1:4" ht="20.25" customHeight="1" x14ac:dyDescent="0.25">
      <c r="A287" s="9" t="s">
        <v>283</v>
      </c>
      <c r="B287" s="8">
        <v>20</v>
      </c>
      <c r="C287" s="8">
        <v>50</v>
      </c>
      <c r="D287" s="10">
        <v>1000</v>
      </c>
    </row>
    <row r="288" spans="1:4" ht="20.25" customHeight="1" x14ac:dyDescent="0.25">
      <c r="A288" s="9" t="s">
        <v>462</v>
      </c>
      <c r="B288" s="8">
        <v>5400</v>
      </c>
      <c r="C288" s="8">
        <v>11.8</v>
      </c>
      <c r="D288" s="10">
        <v>63720</v>
      </c>
    </row>
    <row r="289" spans="1:4" ht="20.25" customHeight="1" x14ac:dyDescent="0.25">
      <c r="A289" s="9" t="s">
        <v>463</v>
      </c>
      <c r="B289" s="8">
        <v>6000</v>
      </c>
      <c r="C289" s="8">
        <v>7.08</v>
      </c>
      <c r="D289" s="10">
        <v>42480</v>
      </c>
    </row>
    <row r="290" spans="1:4" ht="20.25" customHeight="1" x14ac:dyDescent="0.25">
      <c r="A290" s="9" t="s">
        <v>464</v>
      </c>
      <c r="B290" s="8">
        <v>10100</v>
      </c>
      <c r="C290" s="8">
        <v>2.36</v>
      </c>
      <c r="D290" s="10">
        <v>23836</v>
      </c>
    </row>
    <row r="291" spans="1:4" ht="20.25" customHeight="1" x14ac:dyDescent="0.25">
      <c r="A291" s="9" t="s">
        <v>465</v>
      </c>
      <c r="B291" s="8">
        <v>10410</v>
      </c>
      <c r="C291" s="8">
        <v>1.65</v>
      </c>
      <c r="D291" s="10">
        <v>17176.5</v>
      </c>
    </row>
    <row r="292" spans="1:4" ht="20.25" customHeight="1" x14ac:dyDescent="0.25">
      <c r="A292" s="9" t="s">
        <v>466</v>
      </c>
      <c r="B292" s="8">
        <v>5300</v>
      </c>
      <c r="C292" s="8">
        <v>4.13</v>
      </c>
      <c r="D292" s="10">
        <v>21889</v>
      </c>
    </row>
    <row r="293" spans="1:4" ht="20.25" customHeight="1" x14ac:dyDescent="0.25">
      <c r="A293" s="9" t="s">
        <v>467</v>
      </c>
      <c r="B293" s="8">
        <v>5600</v>
      </c>
      <c r="C293" s="8">
        <v>3.54</v>
      </c>
      <c r="D293" s="10">
        <v>19824</v>
      </c>
    </row>
    <row r="294" spans="1:4" ht="20.25" customHeight="1" x14ac:dyDescent="0.25">
      <c r="A294" s="9" t="s">
        <v>468</v>
      </c>
      <c r="B294" s="8">
        <v>4475</v>
      </c>
      <c r="C294" s="8">
        <v>5.9</v>
      </c>
      <c r="D294" s="10">
        <v>26402.5</v>
      </c>
    </row>
    <row r="295" spans="1:4" ht="20.25" customHeight="1" x14ac:dyDescent="0.25">
      <c r="A295" s="9" t="s">
        <v>469</v>
      </c>
      <c r="B295" s="8">
        <v>3900</v>
      </c>
      <c r="C295" s="8">
        <v>4.72</v>
      </c>
      <c r="D295" s="10">
        <v>18408</v>
      </c>
    </row>
    <row r="296" spans="1:4" ht="20.25" customHeight="1" x14ac:dyDescent="0.25">
      <c r="A296" s="9" t="s">
        <v>470</v>
      </c>
      <c r="B296" s="8">
        <v>5350</v>
      </c>
      <c r="C296" s="8">
        <v>8.7200000000000006</v>
      </c>
      <c r="D296" s="10">
        <v>46652</v>
      </c>
    </row>
    <row r="297" spans="1:4" ht="20.25" customHeight="1" x14ac:dyDescent="0.25">
      <c r="A297" s="9" t="s">
        <v>471</v>
      </c>
      <c r="B297" s="8">
        <v>5350</v>
      </c>
      <c r="C297" s="8">
        <v>7.08</v>
      </c>
      <c r="D297" s="10">
        <v>37878</v>
      </c>
    </row>
    <row r="298" spans="1:4" ht="20.25" customHeight="1" x14ac:dyDescent="0.25">
      <c r="A298" s="9" t="s">
        <v>472</v>
      </c>
      <c r="B298" s="8">
        <v>0</v>
      </c>
      <c r="C298" s="8">
        <v>30</v>
      </c>
      <c r="D298" s="10">
        <v>0</v>
      </c>
    </row>
    <row r="299" spans="1:4" ht="20.25" customHeight="1" x14ac:dyDescent="0.25">
      <c r="A299" s="9" t="s">
        <v>473</v>
      </c>
      <c r="B299" s="8">
        <v>0</v>
      </c>
      <c r="C299" s="8">
        <v>30</v>
      </c>
      <c r="D299" s="10">
        <v>0</v>
      </c>
    </row>
    <row r="300" spans="1:4" ht="20.25" customHeight="1" x14ac:dyDescent="0.25">
      <c r="A300" s="9" t="s">
        <v>284</v>
      </c>
      <c r="B300" s="8">
        <v>7</v>
      </c>
      <c r="C300" s="8">
        <v>46.628599999999999</v>
      </c>
      <c r="D300" s="10">
        <v>326.39999999999998</v>
      </c>
    </row>
    <row r="301" spans="1:4" ht="20.25" customHeight="1" x14ac:dyDescent="0.25">
      <c r="A301" s="9" t="s">
        <v>285</v>
      </c>
      <c r="B301" s="8">
        <v>25</v>
      </c>
      <c r="C301" s="8">
        <v>47.230800000000002</v>
      </c>
      <c r="D301" s="10">
        <v>1180.77</v>
      </c>
    </row>
    <row r="302" spans="1:4" ht="20.25" customHeight="1" x14ac:dyDescent="0.25">
      <c r="A302" s="9" t="s">
        <v>286</v>
      </c>
      <c r="B302" s="8">
        <v>40</v>
      </c>
      <c r="C302" s="8">
        <v>74.268299999999996</v>
      </c>
      <c r="D302" s="10">
        <v>2970.732</v>
      </c>
    </row>
    <row r="303" spans="1:4" ht="20.25" customHeight="1" x14ac:dyDescent="0.25">
      <c r="A303" s="9" t="s">
        <v>287</v>
      </c>
      <c r="B303" s="8">
        <v>47</v>
      </c>
      <c r="C303" s="8">
        <v>65.997399999999999</v>
      </c>
      <c r="D303" s="10">
        <v>3101.8780000000002</v>
      </c>
    </row>
    <row r="304" spans="1:4" ht="20.25" customHeight="1" x14ac:dyDescent="0.25">
      <c r="A304" s="9" t="s">
        <v>474</v>
      </c>
      <c r="B304" s="8">
        <v>0</v>
      </c>
      <c r="C304" s="8">
        <v>231.08500000000001</v>
      </c>
      <c r="D304" s="10">
        <v>0</v>
      </c>
    </row>
    <row r="305" spans="1:4" ht="20.25" customHeight="1" x14ac:dyDescent="0.25">
      <c r="A305" s="9" t="s">
        <v>475</v>
      </c>
      <c r="B305" s="8">
        <v>0</v>
      </c>
      <c r="C305" s="8">
        <v>82.5</v>
      </c>
      <c r="D305" s="10">
        <v>0</v>
      </c>
    </row>
    <row r="306" spans="1:4" ht="20.25" customHeight="1" x14ac:dyDescent="0.25">
      <c r="A306" s="9" t="s">
        <v>289</v>
      </c>
      <c r="B306" s="8">
        <v>6</v>
      </c>
      <c r="C306" s="8">
        <v>90</v>
      </c>
      <c r="D306" s="10">
        <v>540</v>
      </c>
    </row>
    <row r="307" spans="1:4" ht="20.25" customHeight="1" x14ac:dyDescent="0.25">
      <c r="A307" s="9" t="s">
        <v>290</v>
      </c>
      <c r="B307" s="8">
        <v>0.59</v>
      </c>
      <c r="C307" s="8">
        <v>620</v>
      </c>
      <c r="D307" s="10">
        <v>365.8</v>
      </c>
    </row>
    <row r="308" spans="1:4" ht="20.25" customHeight="1" x14ac:dyDescent="0.25">
      <c r="A308" s="9" t="s">
        <v>291</v>
      </c>
      <c r="B308" s="8">
        <v>10</v>
      </c>
      <c r="C308" s="8">
        <v>47.15</v>
      </c>
      <c r="D308" s="10">
        <v>471.5</v>
      </c>
    </row>
    <row r="309" spans="1:4" ht="20.25" customHeight="1" x14ac:dyDescent="0.25">
      <c r="A309" s="9" t="s">
        <v>292</v>
      </c>
      <c r="B309" s="8">
        <v>3</v>
      </c>
      <c r="C309" s="8">
        <v>669</v>
      </c>
      <c r="D309" s="10">
        <v>2007</v>
      </c>
    </row>
    <row r="310" spans="1:4" ht="20.25" customHeight="1" x14ac:dyDescent="0.25">
      <c r="A310" s="9" t="s">
        <v>294</v>
      </c>
      <c r="B310" s="8">
        <v>2</v>
      </c>
      <c r="C310" s="8">
        <v>507.483</v>
      </c>
      <c r="D310" s="10">
        <v>1014.966</v>
      </c>
    </row>
    <row r="311" spans="1:4" ht="20.25" customHeight="1" x14ac:dyDescent="0.25">
      <c r="A311" s="9" t="s">
        <v>295</v>
      </c>
      <c r="B311" s="8">
        <v>39.4</v>
      </c>
      <c r="C311" s="8">
        <v>99.333299999999994</v>
      </c>
      <c r="D311" s="10">
        <v>3913.732</v>
      </c>
    </row>
    <row r="312" spans="1:4" ht="20.25" customHeight="1" x14ac:dyDescent="0.25">
      <c r="A312" s="9" t="s">
        <v>296</v>
      </c>
      <c r="B312" s="8">
        <v>40</v>
      </c>
      <c r="C312" s="8">
        <v>42.012500000000003</v>
      </c>
      <c r="D312" s="10">
        <v>1680.5</v>
      </c>
    </row>
    <row r="313" spans="1:4" ht="20.25" customHeight="1" x14ac:dyDescent="0.25">
      <c r="A313" s="9" t="s">
        <v>476</v>
      </c>
      <c r="B313" s="8">
        <v>0</v>
      </c>
      <c r="C313" s="8">
        <v>150</v>
      </c>
      <c r="D313" s="10">
        <v>0</v>
      </c>
    </row>
    <row r="314" spans="1:4" ht="20.25" customHeight="1" x14ac:dyDescent="0.25">
      <c r="A314" s="9" t="s">
        <v>297</v>
      </c>
      <c r="B314" s="8">
        <v>0</v>
      </c>
      <c r="C314" s="8">
        <v>119.301</v>
      </c>
      <c r="D314" s="10">
        <v>0</v>
      </c>
    </row>
    <row r="315" spans="1:4" ht="20.25" customHeight="1" x14ac:dyDescent="0.25">
      <c r="A315" s="9" t="s">
        <v>477</v>
      </c>
      <c r="B315" s="8">
        <v>0</v>
      </c>
      <c r="C315" s="8">
        <v>180</v>
      </c>
      <c r="D315" s="10">
        <v>0</v>
      </c>
    </row>
    <row r="316" spans="1:4" ht="20.25" customHeight="1" x14ac:dyDescent="0.25">
      <c r="A316" s="9" t="s">
        <v>478</v>
      </c>
      <c r="B316" s="8">
        <v>2</v>
      </c>
      <c r="C316" s="8">
        <v>33.333300000000001</v>
      </c>
      <c r="D316" s="10">
        <v>66.667000000000002</v>
      </c>
    </row>
    <row r="317" spans="1:4" ht="20.25" customHeight="1" x14ac:dyDescent="0.25">
      <c r="A317" s="9" t="s">
        <v>298</v>
      </c>
      <c r="B317" s="8">
        <v>0</v>
      </c>
      <c r="C317" s="8">
        <v>248.333</v>
      </c>
      <c r="D317" s="10">
        <v>0</v>
      </c>
    </row>
    <row r="318" spans="1:4" ht="20.25" customHeight="1" x14ac:dyDescent="0.25">
      <c r="A318" s="9" t="s">
        <v>299</v>
      </c>
      <c r="B318" s="8">
        <v>1.5</v>
      </c>
      <c r="C318" s="8">
        <v>2295</v>
      </c>
      <c r="D318" s="10">
        <v>3442.5</v>
      </c>
    </row>
    <row r="319" spans="1:4" ht="20.25" customHeight="1" x14ac:dyDescent="0.25">
      <c r="A319" s="9" t="s">
        <v>300</v>
      </c>
      <c r="B319" s="8">
        <v>0</v>
      </c>
      <c r="C319" s="8">
        <v>480</v>
      </c>
      <c r="D319" s="10">
        <v>0</v>
      </c>
    </row>
    <row r="320" spans="1:4" ht="20.25" customHeight="1" x14ac:dyDescent="0.25">
      <c r="A320" s="9" t="s">
        <v>301</v>
      </c>
      <c r="B320" s="8">
        <v>2</v>
      </c>
      <c r="C320" s="8">
        <v>258.39999999999998</v>
      </c>
      <c r="D320" s="10">
        <v>516.79999999999995</v>
      </c>
    </row>
    <row r="321" spans="1:4" ht="20.25" customHeight="1" x14ac:dyDescent="0.25">
      <c r="A321" s="9" t="s">
        <v>302</v>
      </c>
      <c r="B321" s="8">
        <v>96</v>
      </c>
      <c r="C321" s="8">
        <v>6.75</v>
      </c>
      <c r="D321" s="10">
        <v>648</v>
      </c>
    </row>
    <row r="322" spans="1:4" ht="20.25" customHeight="1" x14ac:dyDescent="0.25">
      <c r="A322" s="9" t="s">
        <v>303</v>
      </c>
      <c r="B322" s="8">
        <v>106</v>
      </c>
      <c r="C322" s="8">
        <v>6.5</v>
      </c>
      <c r="D322" s="10">
        <v>689</v>
      </c>
    </row>
    <row r="323" spans="1:4" ht="20.25" customHeight="1" x14ac:dyDescent="0.25">
      <c r="A323" s="9" t="s">
        <v>304</v>
      </c>
      <c r="B323" s="8">
        <v>9</v>
      </c>
      <c r="C323" s="8">
        <v>190</v>
      </c>
      <c r="D323" s="10">
        <v>1710</v>
      </c>
    </row>
    <row r="324" spans="1:4" ht="20.25" customHeight="1" x14ac:dyDescent="0.25">
      <c r="A324" s="9" t="s">
        <v>479</v>
      </c>
      <c r="B324" s="8">
        <v>0</v>
      </c>
      <c r="C324" s="8">
        <v>135</v>
      </c>
      <c r="D324" s="10">
        <v>0</v>
      </c>
    </row>
    <row r="325" spans="1:4" ht="20.25" customHeight="1" x14ac:dyDescent="0.25">
      <c r="A325" s="9" t="s">
        <v>305</v>
      </c>
      <c r="B325" s="8">
        <v>55</v>
      </c>
      <c r="C325" s="8">
        <v>15.3546</v>
      </c>
      <c r="D325" s="10">
        <v>844.50300000000004</v>
      </c>
    </row>
    <row r="326" spans="1:4" ht="20.25" customHeight="1" x14ac:dyDescent="0.25">
      <c r="A326" s="9" t="s">
        <v>307</v>
      </c>
      <c r="B326" s="8">
        <v>0</v>
      </c>
      <c r="C326" s="8">
        <v>393.959</v>
      </c>
      <c r="D326" s="10">
        <v>0</v>
      </c>
    </row>
    <row r="327" spans="1:4" ht="20.25" customHeight="1" x14ac:dyDescent="0.25">
      <c r="A327" s="9" t="s">
        <v>308</v>
      </c>
      <c r="B327" s="8">
        <v>1.84</v>
      </c>
      <c r="C327" s="8">
        <v>72.549000000000007</v>
      </c>
      <c r="D327" s="10">
        <v>133.49</v>
      </c>
    </row>
    <row r="328" spans="1:4" ht="20.25" customHeight="1" x14ac:dyDescent="0.25">
      <c r="A328" s="9" t="s">
        <v>309</v>
      </c>
      <c r="B328" s="8">
        <v>15</v>
      </c>
      <c r="C328" s="8">
        <v>25</v>
      </c>
      <c r="D328" s="10">
        <v>375</v>
      </c>
    </row>
    <row r="329" spans="1:4" ht="20.25" customHeight="1" x14ac:dyDescent="0.25">
      <c r="A329" s="9" t="s">
        <v>480</v>
      </c>
      <c r="B329" s="8">
        <v>2</v>
      </c>
      <c r="C329" s="8">
        <v>200</v>
      </c>
      <c r="D329" s="10">
        <v>400</v>
      </c>
    </row>
    <row r="330" spans="1:4" ht="20.25" customHeight="1" x14ac:dyDescent="0.25">
      <c r="A330" s="9" t="s">
        <v>310</v>
      </c>
      <c r="B330" s="8">
        <v>52.05</v>
      </c>
      <c r="C330" s="8">
        <v>93.111099999999993</v>
      </c>
      <c r="D330" s="10">
        <v>4846.433</v>
      </c>
    </row>
    <row r="331" spans="1:4" ht="20.25" customHeight="1" x14ac:dyDescent="0.25">
      <c r="A331" s="9" t="s">
        <v>312</v>
      </c>
      <c r="B331" s="8">
        <v>0</v>
      </c>
      <c r="C331" s="8">
        <v>68.178600000000003</v>
      </c>
      <c r="D331" s="10">
        <v>0</v>
      </c>
    </row>
    <row r="332" spans="1:4" ht="20.25" customHeight="1" x14ac:dyDescent="0.25">
      <c r="A332" s="9" t="s">
        <v>313</v>
      </c>
      <c r="B332" s="8">
        <v>7.94</v>
      </c>
      <c r="C332" s="8">
        <v>101.714</v>
      </c>
      <c r="D332" s="10">
        <v>807.60900000000004</v>
      </c>
    </row>
    <row r="333" spans="1:4" ht="20.25" customHeight="1" x14ac:dyDescent="0.25">
      <c r="A333" s="9" t="s">
        <v>314</v>
      </c>
      <c r="B333" s="8">
        <v>2</v>
      </c>
      <c r="C333" s="8">
        <v>111.90900000000001</v>
      </c>
      <c r="D333" s="10">
        <v>223.81800000000001</v>
      </c>
    </row>
    <row r="334" spans="1:4" ht="20.25" customHeight="1" x14ac:dyDescent="0.25">
      <c r="A334" s="9" t="s">
        <v>315</v>
      </c>
      <c r="B334" s="8">
        <v>10</v>
      </c>
      <c r="C334" s="8">
        <v>110</v>
      </c>
      <c r="D334" s="10">
        <v>1100</v>
      </c>
    </row>
    <row r="335" spans="1:4" ht="20.25" customHeight="1" x14ac:dyDescent="0.25">
      <c r="A335" s="9" t="s">
        <v>316</v>
      </c>
      <c r="B335" s="8">
        <v>500</v>
      </c>
      <c r="C335" s="8">
        <v>7.0625</v>
      </c>
      <c r="D335" s="10">
        <v>3531.25</v>
      </c>
    </row>
    <row r="336" spans="1:4" ht="20.25" customHeight="1" x14ac:dyDescent="0.25">
      <c r="A336" s="9" t="s">
        <v>317</v>
      </c>
      <c r="B336" s="8">
        <v>64.22</v>
      </c>
      <c r="C336" s="8">
        <v>263.29500000000002</v>
      </c>
      <c r="D336" s="10">
        <v>16908.805</v>
      </c>
    </row>
    <row r="337" spans="1:4" ht="20.25" customHeight="1" x14ac:dyDescent="0.25">
      <c r="A337" s="9" t="s">
        <v>318</v>
      </c>
      <c r="B337" s="8">
        <v>11</v>
      </c>
      <c r="C337" s="8">
        <v>37.220999999999997</v>
      </c>
      <c r="D337" s="10">
        <v>409.43099999999998</v>
      </c>
    </row>
    <row r="338" spans="1:4" ht="20.25" customHeight="1" x14ac:dyDescent="0.25">
      <c r="A338" s="9" t="s">
        <v>319</v>
      </c>
      <c r="B338" s="8">
        <v>5.48</v>
      </c>
      <c r="C338" s="8">
        <v>94.136399999999995</v>
      </c>
      <c r="D338" s="10">
        <v>515.86699999999996</v>
      </c>
    </row>
    <row r="339" spans="1:4" ht="20.25" customHeight="1" x14ac:dyDescent="0.25">
      <c r="A339" s="9" t="s">
        <v>320</v>
      </c>
      <c r="B339" s="8">
        <v>9</v>
      </c>
      <c r="C339" s="8">
        <v>76.009500000000003</v>
      </c>
      <c r="D339" s="10">
        <v>684.08600000000001</v>
      </c>
    </row>
    <row r="340" spans="1:4" ht="20.25" customHeight="1" x14ac:dyDescent="0.25">
      <c r="A340" s="9" t="s">
        <v>321</v>
      </c>
      <c r="B340" s="8">
        <v>2</v>
      </c>
      <c r="C340" s="8">
        <v>142.785</v>
      </c>
      <c r="D340" s="10">
        <v>285.57</v>
      </c>
    </row>
    <row r="341" spans="1:4" ht="20.25" customHeight="1" x14ac:dyDescent="0.25">
      <c r="A341" s="9" t="s">
        <v>322</v>
      </c>
      <c r="B341" s="8">
        <v>5</v>
      </c>
      <c r="C341" s="8">
        <v>43.774999999999999</v>
      </c>
      <c r="D341" s="10">
        <v>218.875</v>
      </c>
    </row>
    <row r="342" spans="1:4" ht="20.25" customHeight="1" x14ac:dyDescent="0.25">
      <c r="A342" s="9" t="s">
        <v>323</v>
      </c>
      <c r="B342" s="8">
        <v>0</v>
      </c>
      <c r="C342" s="8">
        <v>170</v>
      </c>
      <c r="D342" s="10">
        <v>0</v>
      </c>
    </row>
    <row r="343" spans="1:4" ht="20.25" customHeight="1" x14ac:dyDescent="0.25">
      <c r="A343" s="9" t="s">
        <v>324</v>
      </c>
      <c r="B343" s="8">
        <v>24.65</v>
      </c>
      <c r="C343" s="8">
        <v>140.5</v>
      </c>
      <c r="D343" s="10">
        <v>3463.3249999999998</v>
      </c>
    </row>
    <row r="344" spans="1:4" ht="20.25" customHeight="1" x14ac:dyDescent="0.25">
      <c r="A344" s="9" t="s">
        <v>325</v>
      </c>
      <c r="B344" s="8">
        <v>0.91</v>
      </c>
      <c r="C344" s="8">
        <v>373.75</v>
      </c>
      <c r="D344" s="10">
        <v>340.113</v>
      </c>
    </row>
    <row r="345" spans="1:4" ht="20.25" customHeight="1" x14ac:dyDescent="0.25">
      <c r="A345" s="9" t="s">
        <v>326</v>
      </c>
      <c r="B345" s="8">
        <v>3.3420000000000001</v>
      </c>
      <c r="C345" s="8">
        <v>88.625</v>
      </c>
      <c r="D345" s="10">
        <v>296.185</v>
      </c>
    </row>
    <row r="346" spans="1:4" ht="20.25" customHeight="1" x14ac:dyDescent="0.25">
      <c r="A346" s="9" t="s">
        <v>327</v>
      </c>
      <c r="B346" s="8">
        <v>9</v>
      </c>
      <c r="C346" s="8">
        <v>146.435</v>
      </c>
      <c r="D346" s="10">
        <v>1317.915</v>
      </c>
    </row>
    <row r="347" spans="1:4" ht="20.25" customHeight="1" x14ac:dyDescent="0.25">
      <c r="A347" s="9" t="s">
        <v>328</v>
      </c>
      <c r="B347" s="8">
        <v>1.45</v>
      </c>
      <c r="C347" s="8">
        <v>1227.6400000000001</v>
      </c>
      <c r="D347" s="10">
        <v>1780.078</v>
      </c>
    </row>
    <row r="348" spans="1:4" ht="20.25" customHeight="1" x14ac:dyDescent="0.25">
      <c r="A348" s="9" t="s">
        <v>329</v>
      </c>
      <c r="B348" s="8">
        <v>60</v>
      </c>
      <c r="C348" s="8">
        <v>10.446199999999999</v>
      </c>
      <c r="D348" s="10">
        <v>626.77200000000005</v>
      </c>
    </row>
    <row r="349" spans="1:4" ht="20.25" customHeight="1" x14ac:dyDescent="0.25">
      <c r="A349" s="9" t="s">
        <v>330</v>
      </c>
      <c r="B349" s="8">
        <v>0</v>
      </c>
      <c r="C349" s="8">
        <v>3.4666700000000001</v>
      </c>
      <c r="D349" s="10">
        <v>0</v>
      </c>
    </row>
    <row r="350" spans="1:4" ht="20.25" customHeight="1" x14ac:dyDescent="0.25">
      <c r="A350" s="9" t="s">
        <v>331</v>
      </c>
      <c r="B350" s="8">
        <v>23</v>
      </c>
      <c r="C350" s="8">
        <v>117.687</v>
      </c>
      <c r="D350" s="10">
        <v>2706.8009999999999</v>
      </c>
    </row>
    <row r="351" spans="1:4" ht="20.25" customHeight="1" x14ac:dyDescent="0.25">
      <c r="A351" s="9" t="s">
        <v>332</v>
      </c>
      <c r="B351" s="8">
        <v>0</v>
      </c>
      <c r="C351" s="8">
        <v>141.471</v>
      </c>
      <c r="D351" s="10">
        <v>0</v>
      </c>
    </row>
    <row r="352" spans="1:4" ht="20.25" customHeight="1" x14ac:dyDescent="0.25">
      <c r="A352" s="9" t="s">
        <v>333</v>
      </c>
      <c r="B352" s="8">
        <v>0</v>
      </c>
      <c r="C352" s="8">
        <v>196.20599999999999</v>
      </c>
      <c r="D352" s="10">
        <v>0</v>
      </c>
    </row>
    <row r="353" spans="1:4" ht="20.25" customHeight="1" x14ac:dyDescent="0.25">
      <c r="A353" s="9" t="s">
        <v>481</v>
      </c>
      <c r="B353" s="8">
        <v>5</v>
      </c>
      <c r="C353" s="8">
        <v>18</v>
      </c>
      <c r="D353" s="10">
        <v>90</v>
      </c>
    </row>
    <row r="354" spans="1:4" ht="20.25" customHeight="1" x14ac:dyDescent="0.25">
      <c r="A354" s="9" t="s">
        <v>334</v>
      </c>
      <c r="B354" s="8">
        <v>22</v>
      </c>
      <c r="C354" s="8">
        <v>15</v>
      </c>
      <c r="D354" s="10">
        <v>330</v>
      </c>
    </row>
    <row r="355" spans="1:4" ht="20.25" customHeight="1" x14ac:dyDescent="0.25">
      <c r="A355" s="9" t="s">
        <v>335</v>
      </c>
      <c r="B355" s="8">
        <v>34</v>
      </c>
      <c r="C355" s="8">
        <v>13.333299999999999</v>
      </c>
      <c r="D355" s="10">
        <v>453.33199999999999</v>
      </c>
    </row>
    <row r="356" spans="1:4" ht="20.25" customHeight="1" x14ac:dyDescent="0.25">
      <c r="A356" s="9" t="s">
        <v>337</v>
      </c>
      <c r="B356" s="8">
        <v>6</v>
      </c>
      <c r="C356" s="8">
        <v>90</v>
      </c>
      <c r="D356" s="10">
        <v>540</v>
      </c>
    </row>
    <row r="357" spans="1:4" ht="20.25" customHeight="1" x14ac:dyDescent="0.25">
      <c r="A357" s="9" t="s">
        <v>482</v>
      </c>
      <c r="B357" s="8">
        <v>0</v>
      </c>
      <c r="C357" s="8">
        <v>130</v>
      </c>
      <c r="D357" s="10">
        <v>0</v>
      </c>
    </row>
    <row r="358" spans="1:4" ht="20.25" customHeight="1" x14ac:dyDescent="0.25">
      <c r="A358" s="9" t="s">
        <v>483</v>
      </c>
      <c r="B358" s="8">
        <v>0</v>
      </c>
      <c r="C358" s="8">
        <v>120</v>
      </c>
      <c r="D358" s="10">
        <v>0</v>
      </c>
    </row>
    <row r="359" spans="1:4" ht="20.25" customHeight="1" x14ac:dyDescent="0.25">
      <c r="A359" s="9" t="s">
        <v>484</v>
      </c>
      <c r="B359" s="8">
        <v>0</v>
      </c>
      <c r="C359" s="8">
        <v>150</v>
      </c>
      <c r="D359" s="10">
        <v>0</v>
      </c>
    </row>
    <row r="360" spans="1:4" ht="20.25" customHeight="1" x14ac:dyDescent="0.25">
      <c r="A360" s="9" t="s">
        <v>485</v>
      </c>
      <c r="B360" s="8">
        <v>0</v>
      </c>
      <c r="C360" s="8">
        <v>45</v>
      </c>
      <c r="D360" s="10">
        <v>0</v>
      </c>
    </row>
    <row r="361" spans="1:4" ht="20.25" customHeight="1" x14ac:dyDescent="0.25">
      <c r="A361" s="9" t="s">
        <v>338</v>
      </c>
      <c r="B361" s="8">
        <v>475</v>
      </c>
      <c r="C361" s="8">
        <v>0.77083299999999999</v>
      </c>
      <c r="D361" s="10">
        <v>366.14600000000002</v>
      </c>
    </row>
    <row r="362" spans="1:4" ht="20.25" customHeight="1" x14ac:dyDescent="0.25">
      <c r="A362" s="9" t="s">
        <v>339</v>
      </c>
      <c r="B362" s="8">
        <v>609</v>
      </c>
      <c r="C362" s="8">
        <v>5.5</v>
      </c>
      <c r="D362" s="10">
        <v>3349.5</v>
      </c>
    </row>
    <row r="363" spans="1:4" ht="20.25" customHeight="1" x14ac:dyDescent="0.25">
      <c r="A363" s="9" t="s">
        <v>340</v>
      </c>
      <c r="B363" s="8">
        <v>643</v>
      </c>
      <c r="C363" s="8">
        <v>5.5</v>
      </c>
      <c r="D363" s="10">
        <v>3536.5</v>
      </c>
    </row>
    <row r="364" spans="1:4" ht="20.25" customHeight="1" x14ac:dyDescent="0.25">
      <c r="A364" s="9" t="s">
        <v>342</v>
      </c>
      <c r="B364" s="8">
        <v>252</v>
      </c>
      <c r="C364" s="8">
        <v>3.9565199999999998</v>
      </c>
      <c r="D364" s="10">
        <v>997.04300000000001</v>
      </c>
    </row>
    <row r="365" spans="1:4" ht="20.25" customHeight="1" x14ac:dyDescent="0.25">
      <c r="A365" s="9" t="s">
        <v>343</v>
      </c>
      <c r="B365" s="8">
        <v>4</v>
      </c>
      <c r="C365" s="8">
        <v>368.75</v>
      </c>
      <c r="D365" s="10">
        <v>1475</v>
      </c>
    </row>
    <row r="366" spans="1:4" ht="20.25" customHeight="1" x14ac:dyDescent="0.25">
      <c r="A366" s="9" t="s">
        <v>344</v>
      </c>
      <c r="B366" s="8">
        <v>41</v>
      </c>
      <c r="C366" s="8">
        <v>45</v>
      </c>
      <c r="D366" s="10">
        <v>1845</v>
      </c>
    </row>
    <row r="367" spans="1:4" ht="20.25" customHeight="1" x14ac:dyDescent="0.25">
      <c r="A367" s="9" t="s">
        <v>345</v>
      </c>
      <c r="B367" s="8">
        <v>20</v>
      </c>
      <c r="C367" s="8">
        <v>52.083300000000001</v>
      </c>
      <c r="D367" s="10">
        <v>1041.6659999999999</v>
      </c>
    </row>
    <row r="368" spans="1:4" ht="20.25" customHeight="1" x14ac:dyDescent="0.25">
      <c r="A368" s="9" t="s">
        <v>346</v>
      </c>
      <c r="B368" s="8">
        <v>34</v>
      </c>
      <c r="C368" s="8">
        <v>67.5</v>
      </c>
      <c r="D368" s="10">
        <v>2295</v>
      </c>
    </row>
    <row r="369" spans="1:4" ht="20.25" customHeight="1" x14ac:dyDescent="0.25">
      <c r="A369" s="9" t="s">
        <v>347</v>
      </c>
      <c r="B369" s="8">
        <v>31</v>
      </c>
      <c r="C369" s="8">
        <v>90</v>
      </c>
      <c r="D369" s="10">
        <v>2790</v>
      </c>
    </row>
    <row r="370" spans="1:4" ht="20.25" customHeight="1" x14ac:dyDescent="0.25">
      <c r="A370" s="9" t="s">
        <v>348</v>
      </c>
      <c r="B370" s="8">
        <v>12</v>
      </c>
      <c r="C370" s="8">
        <v>120</v>
      </c>
      <c r="D370" s="10">
        <v>1440</v>
      </c>
    </row>
    <row r="371" spans="1:4" ht="20.25" customHeight="1" x14ac:dyDescent="0.25">
      <c r="A371" s="9" t="s">
        <v>486</v>
      </c>
      <c r="B371" s="8">
        <v>6</v>
      </c>
      <c r="C371" s="8">
        <v>11.650499999999999</v>
      </c>
      <c r="D371" s="10">
        <v>69.903000000000006</v>
      </c>
    </row>
    <row r="372" spans="1:4" ht="20.25" customHeight="1" x14ac:dyDescent="0.25">
      <c r="A372" s="9" t="s">
        <v>349</v>
      </c>
      <c r="B372" s="8">
        <v>8</v>
      </c>
      <c r="C372" s="8">
        <v>39.378399999999999</v>
      </c>
      <c r="D372" s="10">
        <v>315.02699999999999</v>
      </c>
    </row>
    <row r="373" spans="1:4" ht="20.25" customHeight="1" x14ac:dyDescent="0.25">
      <c r="A373" s="9" t="s">
        <v>350</v>
      </c>
      <c r="B373" s="8">
        <v>133.5</v>
      </c>
      <c r="C373" s="8">
        <v>45</v>
      </c>
      <c r="D373" s="10">
        <v>6007.5</v>
      </c>
    </row>
    <row r="374" spans="1:4" ht="20.25" customHeight="1" x14ac:dyDescent="0.25">
      <c r="A374" s="9" t="s">
        <v>351</v>
      </c>
      <c r="B374" s="8">
        <v>1258</v>
      </c>
      <c r="C374" s="8">
        <v>2.5833300000000001</v>
      </c>
      <c r="D374" s="10">
        <v>3249.8290000000002</v>
      </c>
    </row>
    <row r="375" spans="1:4" ht="20.25" customHeight="1" x14ac:dyDescent="0.25">
      <c r="A375" s="9" t="s">
        <v>352</v>
      </c>
      <c r="B375" s="8">
        <v>29</v>
      </c>
      <c r="C375" s="8">
        <v>18.0944</v>
      </c>
      <c r="D375" s="10">
        <v>524.73800000000006</v>
      </c>
    </row>
    <row r="376" spans="1:4" ht="20.25" customHeight="1" x14ac:dyDescent="0.25">
      <c r="A376" s="9" t="s">
        <v>487</v>
      </c>
      <c r="B376" s="8">
        <v>0</v>
      </c>
      <c r="C376" s="8">
        <v>153.88900000000001</v>
      </c>
      <c r="D376" s="10">
        <v>0</v>
      </c>
    </row>
    <row r="377" spans="1:4" ht="20.25" customHeight="1" x14ac:dyDescent="0.25">
      <c r="A377" s="9" t="s">
        <v>353</v>
      </c>
      <c r="B377" s="8">
        <v>6</v>
      </c>
      <c r="C377" s="8">
        <v>178.65600000000001</v>
      </c>
      <c r="D377" s="10">
        <v>1071.9359999999999</v>
      </c>
    </row>
    <row r="378" spans="1:4" ht="20.25" customHeight="1" x14ac:dyDescent="0.25">
      <c r="A378" s="9" t="s">
        <v>488</v>
      </c>
      <c r="B378" s="8">
        <v>0</v>
      </c>
      <c r="C378" s="8">
        <v>180.65199999999999</v>
      </c>
      <c r="D378" s="10">
        <v>0</v>
      </c>
    </row>
    <row r="379" spans="1:4" ht="20.25" customHeight="1" x14ac:dyDescent="0.25">
      <c r="A379" s="9" t="s">
        <v>354</v>
      </c>
      <c r="B379" s="8">
        <v>18</v>
      </c>
      <c r="C379" s="8">
        <v>167.65600000000001</v>
      </c>
      <c r="D379" s="10">
        <v>3017.808</v>
      </c>
    </row>
    <row r="380" spans="1:4" ht="20.25" customHeight="1" x14ac:dyDescent="0.25">
      <c r="A380" s="9" t="s">
        <v>355</v>
      </c>
      <c r="B380" s="8">
        <v>15.75</v>
      </c>
      <c r="C380" s="8">
        <v>220</v>
      </c>
      <c r="D380" s="10">
        <v>3465</v>
      </c>
    </row>
    <row r="381" spans="1:4" ht="20.25" customHeight="1" x14ac:dyDescent="0.25">
      <c r="A381" s="9" t="s">
        <v>356</v>
      </c>
      <c r="B381" s="8">
        <v>19</v>
      </c>
      <c r="C381" s="8">
        <v>94.691400000000002</v>
      </c>
      <c r="D381" s="10">
        <v>1799.1369999999999</v>
      </c>
    </row>
    <row r="382" spans="1:4" ht="20.25" customHeight="1" x14ac:dyDescent="0.25">
      <c r="A382" s="9" t="s">
        <v>489</v>
      </c>
      <c r="B382" s="8">
        <v>2.2999999999999998</v>
      </c>
      <c r="C382" s="8">
        <v>28.1356</v>
      </c>
      <c r="D382" s="10">
        <v>64.712000000000003</v>
      </c>
    </row>
    <row r="383" spans="1:4" ht="20.25" customHeight="1" x14ac:dyDescent="0.25">
      <c r="A383" s="9" t="s">
        <v>357</v>
      </c>
      <c r="B383" s="8">
        <v>1</v>
      </c>
      <c r="C383" s="8">
        <v>35.71</v>
      </c>
      <c r="D383" s="10">
        <v>35.71</v>
      </c>
    </row>
    <row r="384" spans="1:4" ht="20.25" customHeight="1" x14ac:dyDescent="0.25">
      <c r="A384" s="9" t="s">
        <v>358</v>
      </c>
      <c r="B384" s="8">
        <v>0</v>
      </c>
      <c r="C384" s="8">
        <v>64</v>
      </c>
      <c r="D384" s="10">
        <v>0</v>
      </c>
    </row>
    <row r="385" spans="1:4" ht="20.25" customHeight="1" x14ac:dyDescent="0.25">
      <c r="A385" s="9" t="s">
        <v>359</v>
      </c>
      <c r="B385" s="8">
        <v>9</v>
      </c>
      <c r="C385" s="8">
        <v>11.666700000000001</v>
      </c>
      <c r="D385" s="10">
        <v>105</v>
      </c>
    </row>
    <row r="386" spans="1:4" ht="20.25" customHeight="1" x14ac:dyDescent="0.25">
      <c r="A386" s="9" t="s">
        <v>360</v>
      </c>
      <c r="B386" s="8">
        <v>2</v>
      </c>
      <c r="C386" s="8">
        <v>60</v>
      </c>
      <c r="D386" s="10">
        <v>120</v>
      </c>
    </row>
    <row r="387" spans="1:4" ht="20.25" customHeight="1" x14ac:dyDescent="0.25">
      <c r="A387" s="9" t="s">
        <v>361</v>
      </c>
      <c r="B387" s="8">
        <v>5</v>
      </c>
      <c r="C387" s="8">
        <v>267.08300000000003</v>
      </c>
      <c r="D387" s="10">
        <v>1335.415</v>
      </c>
    </row>
    <row r="388" spans="1:4" ht="20.25" customHeight="1" x14ac:dyDescent="0.25">
      <c r="A388" s="9" t="s">
        <v>363</v>
      </c>
      <c r="B388" s="8">
        <v>47</v>
      </c>
      <c r="C388" s="8">
        <v>33.038600000000002</v>
      </c>
      <c r="D388" s="10">
        <v>1552.8140000000001</v>
      </c>
    </row>
    <row r="389" spans="1:4" ht="20.25" customHeight="1" x14ac:dyDescent="0.25">
      <c r="A389" s="9" t="s">
        <v>364</v>
      </c>
      <c r="B389" s="8">
        <v>1.03</v>
      </c>
      <c r="C389" s="8">
        <v>692.33299999999997</v>
      </c>
      <c r="D389" s="10">
        <v>713.10299999999995</v>
      </c>
    </row>
    <row r="390" spans="1:4" ht="20.25" customHeight="1" x14ac:dyDescent="0.25">
      <c r="A390" s="9" t="s">
        <v>365</v>
      </c>
      <c r="B390" s="8">
        <v>0</v>
      </c>
      <c r="C390" s="8">
        <v>211</v>
      </c>
      <c r="D390" s="10">
        <v>0</v>
      </c>
    </row>
    <row r="391" spans="1:4" ht="20.25" customHeight="1" x14ac:dyDescent="0.25">
      <c r="A391" s="9" t="s">
        <v>366</v>
      </c>
      <c r="B391" s="8">
        <v>0</v>
      </c>
      <c r="C391" s="8">
        <v>526</v>
      </c>
      <c r="D391" s="10">
        <v>0</v>
      </c>
    </row>
    <row r="392" spans="1:4" ht="20.25" customHeight="1" x14ac:dyDescent="0.25">
      <c r="A392" s="9" t="s">
        <v>367</v>
      </c>
      <c r="B392" s="8">
        <v>66</v>
      </c>
      <c r="C392" s="8">
        <v>28.273499999999999</v>
      </c>
      <c r="D392" s="10">
        <v>1866.0509999999999</v>
      </c>
    </row>
    <row r="393" spans="1:4" ht="20.25" customHeight="1" x14ac:dyDescent="0.25">
      <c r="A393" s="9" t="s">
        <v>368</v>
      </c>
      <c r="B393" s="8">
        <v>61</v>
      </c>
      <c r="C393" s="8">
        <v>40.25</v>
      </c>
      <c r="D393" s="10">
        <v>2455.25</v>
      </c>
    </row>
    <row r="394" spans="1:4" ht="20.25" customHeight="1" x14ac:dyDescent="0.25">
      <c r="A394" s="9" t="s">
        <v>369</v>
      </c>
      <c r="B394" s="8">
        <v>93.81</v>
      </c>
      <c r="C394" s="8">
        <v>45.049199999999999</v>
      </c>
      <c r="D394" s="10">
        <v>4226.0649999999996</v>
      </c>
    </row>
    <row r="395" spans="1:4" ht="20.25" customHeight="1" x14ac:dyDescent="0.25">
      <c r="A395" s="9" t="s">
        <v>370</v>
      </c>
      <c r="B395" s="8">
        <v>97</v>
      </c>
      <c r="C395" s="8">
        <v>153.82300000000001</v>
      </c>
      <c r="D395" s="10">
        <v>14920.831</v>
      </c>
    </row>
    <row r="396" spans="1:4" ht="20.25" customHeight="1" x14ac:dyDescent="0.25">
      <c r="A396" s="9" t="s">
        <v>371</v>
      </c>
      <c r="B396" s="8">
        <v>16</v>
      </c>
      <c r="C396" s="8">
        <v>63</v>
      </c>
      <c r="D396" s="10">
        <v>1008</v>
      </c>
    </row>
    <row r="397" spans="1:4" ht="20.25" customHeight="1" x14ac:dyDescent="0.25">
      <c r="A397" s="9" t="s">
        <v>490</v>
      </c>
      <c r="B397" s="8">
        <v>0</v>
      </c>
      <c r="C397" s="8">
        <v>485</v>
      </c>
      <c r="D397" s="10">
        <v>0</v>
      </c>
    </row>
    <row r="398" spans="1:4" ht="20.25" customHeight="1" x14ac:dyDescent="0.25">
      <c r="A398" s="9" t="s">
        <v>491</v>
      </c>
      <c r="B398" s="8">
        <v>0</v>
      </c>
      <c r="C398" s="8">
        <v>310</v>
      </c>
      <c r="D398" s="10">
        <v>0</v>
      </c>
    </row>
    <row r="399" spans="1:4" ht="20.25" customHeight="1" x14ac:dyDescent="0.25">
      <c r="A399" s="9" t="s">
        <v>372</v>
      </c>
      <c r="B399" s="8">
        <v>0</v>
      </c>
      <c r="C399" s="8">
        <v>100</v>
      </c>
      <c r="D399" s="10">
        <v>0</v>
      </c>
    </row>
    <row r="400" spans="1:4" ht="20.25" customHeight="1" x14ac:dyDescent="0.25">
      <c r="A400" s="9" t="s">
        <v>374</v>
      </c>
      <c r="B400" s="8">
        <v>3</v>
      </c>
      <c r="C400" s="8">
        <v>83.151300000000006</v>
      </c>
      <c r="D400" s="10">
        <v>249.45400000000001</v>
      </c>
    </row>
    <row r="401" spans="1:4" ht="20.25" customHeight="1" x14ac:dyDescent="0.25">
      <c r="A401" s="9" t="s">
        <v>375</v>
      </c>
      <c r="B401" s="8">
        <v>9</v>
      </c>
      <c r="C401" s="8">
        <v>49.3339</v>
      </c>
      <c r="D401" s="10">
        <v>444.005</v>
      </c>
    </row>
    <row r="402" spans="1:4" ht="20.25" customHeight="1" x14ac:dyDescent="0.25">
      <c r="A402" s="9" t="s">
        <v>492</v>
      </c>
      <c r="B402" s="8">
        <v>2</v>
      </c>
      <c r="C402" s="8">
        <v>115</v>
      </c>
      <c r="D402" s="10">
        <v>230</v>
      </c>
    </row>
    <row r="403" spans="1:4" ht="20.25" customHeight="1" x14ac:dyDescent="0.25">
      <c r="A403" s="9" t="s">
        <v>493</v>
      </c>
      <c r="B403" s="8">
        <v>0</v>
      </c>
      <c r="C403" s="8">
        <v>0.87401600000000002</v>
      </c>
      <c r="D403" s="10">
        <v>0</v>
      </c>
    </row>
    <row r="404" spans="1:4" ht="20.25" customHeight="1" x14ac:dyDescent="0.25">
      <c r="A404" s="9" t="s">
        <v>376</v>
      </c>
      <c r="B404" s="8">
        <v>4.2</v>
      </c>
      <c r="C404" s="8">
        <v>108.998</v>
      </c>
      <c r="D404" s="10">
        <v>457.79199999999997</v>
      </c>
    </row>
    <row r="405" spans="1:4" ht="20.25" customHeight="1" x14ac:dyDescent="0.25">
      <c r="A405" s="9" t="s">
        <v>377</v>
      </c>
      <c r="B405" s="8">
        <v>28</v>
      </c>
      <c r="C405" s="8">
        <v>14.7826</v>
      </c>
      <c r="D405" s="10">
        <v>413.91300000000001</v>
      </c>
    </row>
    <row r="406" spans="1:4" ht="20.25" customHeight="1" x14ac:dyDescent="0.25">
      <c r="A406" s="9" t="s">
        <v>378</v>
      </c>
      <c r="B406" s="8">
        <v>0</v>
      </c>
      <c r="C406" s="8">
        <v>161.185</v>
      </c>
      <c r="D406" s="10">
        <v>0</v>
      </c>
    </row>
    <row r="407" spans="1:4" ht="20.25" customHeight="1" x14ac:dyDescent="0.25">
      <c r="A407" s="9" t="s">
        <v>379</v>
      </c>
      <c r="B407" s="8">
        <v>4.0999999999999996</v>
      </c>
      <c r="C407" s="8">
        <v>611.10799999999995</v>
      </c>
      <c r="D407" s="10">
        <v>2505.5430000000001</v>
      </c>
    </row>
    <row r="408" spans="1:4" ht="20.25" customHeight="1" x14ac:dyDescent="0.25">
      <c r="A408" s="9" t="s">
        <v>380</v>
      </c>
      <c r="B408" s="8">
        <v>81</v>
      </c>
      <c r="C408" s="8">
        <v>25.2515</v>
      </c>
      <c r="D408" s="10">
        <v>2045.3720000000001</v>
      </c>
    </row>
    <row r="409" spans="1:4" ht="20.25" customHeight="1" x14ac:dyDescent="0.25">
      <c r="A409" s="9" t="s">
        <v>381</v>
      </c>
      <c r="B409" s="8">
        <v>8</v>
      </c>
      <c r="C409" s="8">
        <v>22.75</v>
      </c>
      <c r="D409" s="10">
        <v>182</v>
      </c>
    </row>
    <row r="410" spans="1:4" ht="20.25" customHeight="1" x14ac:dyDescent="0.25">
      <c r="A410" s="9" t="s">
        <v>382</v>
      </c>
      <c r="B410" s="8">
        <v>8</v>
      </c>
      <c r="C410" s="8">
        <v>18</v>
      </c>
      <c r="D410" s="10">
        <v>144</v>
      </c>
    </row>
    <row r="411" spans="1:4" ht="20.25" customHeight="1" x14ac:dyDescent="0.25">
      <c r="A411" s="9" t="s">
        <v>383</v>
      </c>
      <c r="B411" s="8">
        <v>1</v>
      </c>
      <c r="C411" s="8">
        <v>320</v>
      </c>
      <c r="D411" s="10">
        <v>320</v>
      </c>
    </row>
    <row r="412" spans="1:4" ht="20.25" customHeight="1" x14ac:dyDescent="0.25">
      <c r="A412" s="9" t="s">
        <v>384</v>
      </c>
      <c r="B412" s="8">
        <v>1.5</v>
      </c>
      <c r="C412" s="8">
        <v>1895</v>
      </c>
      <c r="D412" s="10">
        <v>2842.5</v>
      </c>
    </row>
    <row r="413" spans="1:4" ht="20.25" customHeight="1" x14ac:dyDescent="0.25">
      <c r="A413" s="9" t="s">
        <v>385</v>
      </c>
      <c r="B413" s="8">
        <v>0</v>
      </c>
      <c r="C413" s="8">
        <v>40</v>
      </c>
      <c r="D413" s="10">
        <v>0</v>
      </c>
    </row>
    <row r="414" spans="1:4" ht="20.25" customHeight="1" x14ac:dyDescent="0.25">
      <c r="A414" s="9" t="s">
        <v>387</v>
      </c>
      <c r="B414" s="8">
        <v>36</v>
      </c>
      <c r="C414" s="8">
        <v>156.762</v>
      </c>
      <c r="D414" s="10">
        <v>5643.4319999999998</v>
      </c>
    </row>
    <row r="415" spans="1:4" ht="20.25" customHeight="1" x14ac:dyDescent="0.25">
      <c r="A415" s="9" t="s">
        <v>388</v>
      </c>
      <c r="B415" s="8">
        <v>0</v>
      </c>
      <c r="C415" s="8">
        <v>90</v>
      </c>
      <c r="D415" s="10">
        <v>0</v>
      </c>
    </row>
    <row r="416" spans="1:4" ht="20.25" customHeight="1" x14ac:dyDescent="0.25">
      <c r="A416" s="9" t="s">
        <v>389</v>
      </c>
      <c r="B416" s="8">
        <v>1498</v>
      </c>
      <c r="C416" s="8">
        <v>0.67785700000000004</v>
      </c>
      <c r="D416" s="10">
        <v>1015.43</v>
      </c>
    </row>
    <row r="417" spans="1:4" ht="20.25" customHeight="1" x14ac:dyDescent="0.25">
      <c r="A417" s="9" t="s">
        <v>390</v>
      </c>
      <c r="B417" s="8">
        <v>11</v>
      </c>
      <c r="C417" s="8">
        <v>69.334000000000003</v>
      </c>
      <c r="D417" s="10">
        <v>762.67399999999998</v>
      </c>
    </row>
    <row r="418" spans="1:4" ht="20.25" customHeight="1" x14ac:dyDescent="0.25">
      <c r="A418" s="9" t="s">
        <v>494</v>
      </c>
      <c r="B418" s="8">
        <v>8</v>
      </c>
      <c r="C418" s="8">
        <v>150.4</v>
      </c>
      <c r="D418" s="10">
        <v>1203.2</v>
      </c>
    </row>
    <row r="419" spans="1:4" ht="20.25" customHeight="1" x14ac:dyDescent="0.25">
      <c r="A419" s="9" t="s">
        <v>391</v>
      </c>
      <c r="B419" s="8">
        <v>29</v>
      </c>
      <c r="C419" s="8">
        <v>13</v>
      </c>
      <c r="D419" s="10">
        <v>377</v>
      </c>
    </row>
    <row r="420" spans="1:4" ht="20.25" customHeight="1" x14ac:dyDescent="0.25">
      <c r="A420" s="9" t="s">
        <v>393</v>
      </c>
      <c r="B420" s="8">
        <v>0</v>
      </c>
      <c r="C420" s="8">
        <v>143</v>
      </c>
      <c r="D420" s="10">
        <v>0</v>
      </c>
    </row>
    <row r="421" spans="1:4" ht="20.25" customHeight="1" x14ac:dyDescent="0.25">
      <c r="A421" s="9" t="s">
        <v>394</v>
      </c>
      <c r="B421" s="8">
        <v>70</v>
      </c>
      <c r="C421" s="8">
        <v>113</v>
      </c>
      <c r="D421" s="10">
        <v>7910</v>
      </c>
    </row>
    <row r="422" spans="1:4" ht="20.25" customHeight="1" x14ac:dyDescent="0.25">
      <c r="A422" s="9" t="s">
        <v>395</v>
      </c>
      <c r="B422" s="8">
        <v>48.7</v>
      </c>
      <c r="C422" s="8">
        <v>192.71199999999999</v>
      </c>
      <c r="D422" s="10">
        <v>9385.0740000000005</v>
      </c>
    </row>
    <row r="423" spans="1:4" ht="20.25" customHeight="1" x14ac:dyDescent="0.25">
      <c r="A423" s="9" t="s">
        <v>396</v>
      </c>
      <c r="B423" s="8">
        <v>0</v>
      </c>
      <c r="C423" s="8">
        <v>78</v>
      </c>
      <c r="D423" s="10">
        <v>0</v>
      </c>
    </row>
    <row r="424" spans="1:4" ht="20.25" customHeight="1" x14ac:dyDescent="0.25">
      <c r="A424" s="9" t="s">
        <v>495</v>
      </c>
      <c r="B424" s="8">
        <v>0</v>
      </c>
      <c r="C424" s="8">
        <v>614</v>
      </c>
      <c r="D424" s="10">
        <v>0</v>
      </c>
    </row>
    <row r="425" spans="1:4" ht="20.25" customHeight="1" x14ac:dyDescent="0.25">
      <c r="A425" s="9" t="s">
        <v>397</v>
      </c>
      <c r="B425" s="8">
        <v>53.814</v>
      </c>
      <c r="C425" s="8">
        <v>39.7714</v>
      </c>
      <c r="D425" s="10">
        <v>2140.2579999999998</v>
      </c>
    </row>
    <row r="426" spans="1:4" ht="20.25" customHeight="1" x14ac:dyDescent="0.25">
      <c r="A426" s="9" t="s">
        <v>398</v>
      </c>
      <c r="B426" s="8">
        <v>147.30199999999999</v>
      </c>
      <c r="C426" s="8">
        <v>133.864</v>
      </c>
      <c r="D426" s="10">
        <v>19718.435000000001</v>
      </c>
    </row>
    <row r="427" spans="1:4" ht="20.25" customHeight="1" x14ac:dyDescent="0.25">
      <c r="A427" s="9" t="s">
        <v>399</v>
      </c>
      <c r="B427" s="8">
        <v>2.5</v>
      </c>
      <c r="C427" s="8">
        <v>452.52300000000002</v>
      </c>
      <c r="D427" s="10">
        <v>1131.308</v>
      </c>
    </row>
    <row r="428" spans="1:4" ht="20.25" customHeight="1" x14ac:dyDescent="0.25">
      <c r="A428" s="9" t="s">
        <v>400</v>
      </c>
      <c r="B428" s="8">
        <v>4</v>
      </c>
      <c r="C428" s="8">
        <v>30</v>
      </c>
      <c r="D428" s="10">
        <v>120</v>
      </c>
    </row>
    <row r="429" spans="1:4" ht="20.25" customHeight="1" x14ac:dyDescent="0.25">
      <c r="A429" s="9" t="s">
        <v>401</v>
      </c>
      <c r="B429" s="8">
        <v>0</v>
      </c>
      <c r="C429" s="8">
        <v>478.83300000000003</v>
      </c>
      <c r="D429" s="10">
        <v>0</v>
      </c>
    </row>
    <row r="430" spans="1:4" ht="20.25" customHeight="1" x14ac:dyDescent="0.25">
      <c r="A430" s="9" t="s">
        <v>496</v>
      </c>
      <c r="B430" s="8">
        <v>10</v>
      </c>
      <c r="C430" s="8">
        <v>45.238100000000003</v>
      </c>
      <c r="D430" s="10">
        <v>452.38099999999997</v>
      </c>
    </row>
    <row r="431" spans="1:4" ht="20.25" customHeight="1" x14ac:dyDescent="0.25">
      <c r="A431" s="9" t="s">
        <v>402</v>
      </c>
      <c r="B431" s="8">
        <v>5</v>
      </c>
      <c r="C431" s="8">
        <v>164.54400000000001</v>
      </c>
      <c r="D431" s="10">
        <v>822.72</v>
      </c>
    </row>
    <row r="432" spans="1:4" ht="20.25" customHeight="1" x14ac:dyDescent="0.25">
      <c r="A432" s="9" t="s">
        <v>403</v>
      </c>
      <c r="B432" s="8">
        <v>4</v>
      </c>
      <c r="C432" s="8">
        <v>182</v>
      </c>
      <c r="D432" s="10">
        <v>728</v>
      </c>
    </row>
    <row r="433" spans="1:4" ht="20.25" customHeight="1" x14ac:dyDescent="0.25">
      <c r="A433" s="9" t="s">
        <v>404</v>
      </c>
      <c r="B433" s="8">
        <v>0.4</v>
      </c>
      <c r="C433" s="8">
        <v>4419.6099999999997</v>
      </c>
      <c r="D433" s="10">
        <v>1767.8440000000001</v>
      </c>
    </row>
    <row r="434" spans="1:4" ht="20.25" customHeight="1" x14ac:dyDescent="0.25">
      <c r="A434" s="9" t="s">
        <v>405</v>
      </c>
      <c r="B434" s="8">
        <v>3</v>
      </c>
      <c r="C434" s="8">
        <v>34.17</v>
      </c>
      <c r="D434" s="10">
        <v>102.51</v>
      </c>
    </row>
    <row r="435" spans="1:4" ht="20.25" customHeight="1" x14ac:dyDescent="0.25">
      <c r="A435" s="9" t="s">
        <v>497</v>
      </c>
      <c r="B435" s="8">
        <v>0.1</v>
      </c>
      <c r="C435" s="8">
        <v>2199</v>
      </c>
      <c r="D435" s="10">
        <v>219.9</v>
      </c>
    </row>
    <row r="436" spans="1:4" ht="20.25" customHeight="1" x14ac:dyDescent="0.25">
      <c r="A436" s="9" t="s">
        <v>406</v>
      </c>
      <c r="B436" s="8">
        <v>20</v>
      </c>
      <c r="C436" s="8">
        <v>38.8889</v>
      </c>
      <c r="D436" s="10">
        <v>777.77800000000002</v>
      </c>
    </row>
    <row r="437" spans="1:4" ht="20.25" customHeight="1" x14ac:dyDescent="0.25">
      <c r="A437" s="9" t="s">
        <v>407</v>
      </c>
      <c r="B437" s="8">
        <v>0</v>
      </c>
      <c r="C437" s="8">
        <v>211.25</v>
      </c>
      <c r="D437" s="10">
        <v>0</v>
      </c>
    </row>
    <row r="438" spans="1:4" ht="20.25" customHeight="1" x14ac:dyDescent="0.25">
      <c r="A438" s="9" t="s">
        <v>408</v>
      </c>
      <c r="B438" s="8">
        <v>0</v>
      </c>
      <c r="C438" s="8">
        <v>37.512700000000002</v>
      </c>
      <c r="D438" s="10">
        <v>0</v>
      </c>
    </row>
    <row r="439" spans="1:4" ht="20.25" customHeight="1" x14ac:dyDescent="0.25">
      <c r="A439" s="9" t="s">
        <v>409</v>
      </c>
      <c r="B439" s="8">
        <v>53.8</v>
      </c>
      <c r="C439" s="8">
        <v>51.571399999999997</v>
      </c>
      <c r="D439" s="10">
        <v>2774.5410000000002</v>
      </c>
    </row>
    <row r="440" spans="1:4" ht="20.25" customHeight="1" x14ac:dyDescent="0.25">
      <c r="A440" s="9" t="s">
        <v>498</v>
      </c>
      <c r="B440" s="8">
        <v>8</v>
      </c>
      <c r="C440" s="8">
        <v>90</v>
      </c>
      <c r="D440" s="10">
        <v>720</v>
      </c>
    </row>
    <row r="441" spans="1:4" ht="20.25" customHeight="1" x14ac:dyDescent="0.25">
      <c r="A441" s="9" t="s">
        <v>410</v>
      </c>
      <c r="B441" s="8">
        <v>4</v>
      </c>
      <c r="C441" s="8">
        <v>140.90899999999999</v>
      </c>
      <c r="D441" s="10">
        <v>563.63599999999997</v>
      </c>
    </row>
    <row r="442" spans="1:4" ht="20.25" customHeight="1" x14ac:dyDescent="0.25">
      <c r="A442" s="9" t="s">
        <v>411</v>
      </c>
      <c r="B442" s="8">
        <v>11</v>
      </c>
      <c r="C442" s="8">
        <v>115.714</v>
      </c>
      <c r="D442" s="10">
        <v>1272.854</v>
      </c>
    </row>
    <row r="443" spans="1:4" ht="20.25" customHeight="1" x14ac:dyDescent="0.25">
      <c r="A443" s="9" t="s">
        <v>412</v>
      </c>
      <c r="B443" s="8">
        <v>6</v>
      </c>
      <c r="C443" s="8">
        <v>162.5</v>
      </c>
      <c r="D443" s="10">
        <v>975</v>
      </c>
    </row>
    <row r="444" spans="1:4" ht="20.25" customHeight="1" x14ac:dyDescent="0.25">
      <c r="A444" s="9" t="s">
        <v>413</v>
      </c>
      <c r="B444" s="8">
        <v>29</v>
      </c>
      <c r="C444" s="8">
        <v>64.285700000000006</v>
      </c>
      <c r="D444" s="10">
        <v>1864.2850000000001</v>
      </c>
    </row>
    <row r="445" spans="1:4" ht="20.25" customHeight="1" x14ac:dyDescent="0.25">
      <c r="A445" s="9" t="s">
        <v>414</v>
      </c>
      <c r="B445" s="8">
        <v>0</v>
      </c>
      <c r="C445" s="8">
        <v>70</v>
      </c>
      <c r="D445" s="10">
        <v>0</v>
      </c>
    </row>
    <row r="446" spans="1:4" ht="20.25" customHeight="1" x14ac:dyDescent="0.25">
      <c r="A446" s="9" t="s">
        <v>415</v>
      </c>
      <c r="B446" s="8">
        <v>14</v>
      </c>
      <c r="C446" s="8">
        <v>61.5625</v>
      </c>
      <c r="D446" s="10">
        <v>861.875</v>
      </c>
    </row>
    <row r="447" spans="1:4" ht="20.25" customHeight="1" x14ac:dyDescent="0.25">
      <c r="A447" s="14" t="s">
        <v>416</v>
      </c>
      <c r="B447" s="15">
        <v>36</v>
      </c>
      <c r="C447" s="15">
        <v>40</v>
      </c>
      <c r="D447" s="16">
        <v>1440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32C5-13AA-4D30-91C3-F3F681D22299}">
  <sheetPr filterMode="1"/>
  <dimension ref="A1:N840"/>
  <sheetViews>
    <sheetView tabSelected="1" workbookViewId="0">
      <pane ySplit="1" topLeftCell="A70" activePane="bottomLeft" state="frozen"/>
      <selection pane="bottomLeft" activeCell="A329" sqref="A329"/>
    </sheetView>
  </sheetViews>
  <sheetFormatPr defaultRowHeight="15" outlineLevelCol="1" x14ac:dyDescent="0.25"/>
  <cols>
    <col min="1" max="1" width="30.5703125" bestFit="1" customWidth="1"/>
    <col min="2" max="2" width="9.7109375" bestFit="1" customWidth="1"/>
    <col min="3" max="3" width="11" bestFit="1" customWidth="1"/>
    <col min="4" max="4" width="20.7109375" bestFit="1" customWidth="1"/>
    <col min="5" max="5" width="12.42578125" bestFit="1" customWidth="1"/>
    <col min="6" max="6" width="13.85546875" bestFit="1" customWidth="1"/>
    <col min="7" max="7" width="12.85546875" bestFit="1" customWidth="1"/>
    <col min="8" max="8" width="19.85546875" bestFit="1" customWidth="1"/>
    <col min="11" max="11" width="9.140625" outlineLevel="1"/>
  </cols>
  <sheetData>
    <row r="1" spans="1:14" x14ac:dyDescent="0.25">
      <c r="A1" s="17" t="s">
        <v>0</v>
      </c>
      <c r="B1" s="17" t="s">
        <v>499</v>
      </c>
      <c r="C1" s="17" t="s">
        <v>500</v>
      </c>
      <c r="D1" s="17" t="s">
        <v>501</v>
      </c>
      <c r="E1" s="17" t="s">
        <v>502</v>
      </c>
      <c r="F1" s="17" t="s">
        <v>503</v>
      </c>
      <c r="G1" s="17" t="s">
        <v>504</v>
      </c>
      <c r="H1" s="17" t="s">
        <v>505</v>
      </c>
      <c r="K1" s="18" t="s">
        <v>506</v>
      </c>
      <c r="M1" s="19" t="s">
        <v>507</v>
      </c>
    </row>
    <row r="2" spans="1:14" x14ac:dyDescent="0.25">
      <c r="A2" t="str" cm="1">
        <f t="array" ref="A2:A474">_xlfn._xlws.SORT(_xlfn.UNIQUE(K2:K840))</f>
        <v>20-20</v>
      </c>
      <c r="B2" s="20" t="str">
        <f>IF($A2="","",IFERROR(_xlfn.XLOOKUP($A2,'System Generated 2026-08-24'!$A:$A,'System Generated 2026-08-24'!$B:$B),"Missing"))</f>
        <v>Missing</v>
      </c>
      <c r="C2" s="20">
        <f>IF($A2="","",IFERROR(_xlfn.XLOOKUP($A2,Table1[Item],Table1[Current Stock]),"Missing"))</f>
        <v>0</v>
      </c>
      <c r="D2" s="20" t="str">
        <f>IF($A2="","",IF(OR(B2="Missing",C2="Missing"),"N/A",B2-C2))</f>
        <v>N/A</v>
      </c>
      <c r="E2" s="21" t="str">
        <f>IF($A2="","",IFERROR(_xlfn.XLOOKUP($A2,'System Generated 2026-08-24'!$A:$A,'System Generated 2026-08-24'!$E:$E),"Missing"))</f>
        <v>Missing</v>
      </c>
      <c r="F2" s="21">
        <f>IF($A2="","",IFERROR(_xlfn.XLOOKUP($A2,Table1[Item],Table1[Total (₹)]),"Missing"))</f>
        <v>0</v>
      </c>
      <c r="G2" s="21" t="str">
        <f>IF($A2="","",IF(OR(E2="Missing",F2="Missing"),"N/A",E2-F2))</f>
        <v>N/A</v>
      </c>
      <c r="H2" t="str">
        <f>IF($A2="","",IF(B2="Missing","Missing in App",IF(C2="Missing","Missing in Hotel Data",IF(D2=0,"Match","Discrepancy"))))</f>
        <v>Missing in App</v>
      </c>
      <c r="K2" t="str">
        <f>'System Generated 2026-08-24'!A2</f>
        <v>3cp</v>
      </c>
      <c r="M2" t="s">
        <v>508</v>
      </c>
      <c r="N2">
        <f>COUNTIF(A2:A480,"?*")</f>
        <v>473</v>
      </c>
    </row>
    <row r="3" spans="1:14" hidden="1" x14ac:dyDescent="0.25">
      <c r="A3" t="str">
        <v>3cp</v>
      </c>
      <c r="B3" s="20">
        <f>IF($A3="","",IFERROR(_xlfn.XLOOKUP($A3,'System Generated 2026-08-24'!$A:$A,'System Generated 2026-08-24'!$B:$B),"Missing"))</f>
        <v>675</v>
      </c>
      <c r="C3" s="20">
        <f>IF($A3="","",IFERROR(_xlfn.XLOOKUP($A3,Table1[Item],Table1[Current Stock]),"Missing"))</f>
        <v>675</v>
      </c>
      <c r="D3" s="20">
        <f t="shared" ref="D3:D66" si="0">IF($A3="","",IF(OR(B3="Missing",C3="Missing"),"N/A",B3-C3))</f>
        <v>0</v>
      </c>
      <c r="E3" s="21">
        <f>IF($A3="","",IFERROR(_xlfn.XLOOKUP($A3,'System Generated 2026-08-24'!$A:$A,'System Generated 2026-08-24'!$E:$E),"Missing"))</f>
        <v>5522.48</v>
      </c>
      <c r="F3" s="21">
        <f>IF($A3="","",IFERROR(_xlfn.XLOOKUP($A3,Table1[Item],Table1[Total (₹)]),"Missing"))</f>
        <v>5522.4790000000003</v>
      </c>
      <c r="G3" s="21">
        <f t="shared" ref="G3:G66" si="1">IF($A3="","",IF(OR(E3="Missing",F3="Missing"),"N/A",E3-F3))</f>
        <v>9.9999999929423211E-4</v>
      </c>
      <c r="H3" t="str">
        <f t="shared" ref="H3:H66" si="2">IF($A3="","",IF(B3="Missing","Missing in App",IF(C3="Missing","Missing in Hotel Data",IF(D3=0,"Match","Discrepancy"))))</f>
        <v>Match</v>
      </c>
      <c r="K3" t="str">
        <f>'System Generated 2026-08-24'!A3</f>
        <v>5cp</v>
      </c>
      <c r="M3" t="s">
        <v>509</v>
      </c>
      <c r="N3">
        <f>COUNTIF(H2:H480,"Match")</f>
        <v>365</v>
      </c>
    </row>
    <row r="4" spans="1:14" hidden="1" x14ac:dyDescent="0.25">
      <c r="A4" t="str">
        <v>5cp</v>
      </c>
      <c r="B4" s="20">
        <f>IF($A4="","",IFERROR(_xlfn.XLOOKUP($A4,'System Generated 2026-08-24'!$A:$A,'System Generated 2026-08-24'!$B:$B),"Missing"))</f>
        <v>248</v>
      </c>
      <c r="C4" s="20">
        <f>IF($A4="","",IFERROR(_xlfn.XLOOKUP($A4,Table1[Item],Table1[Current Stock]),"Missing"))</f>
        <v>248</v>
      </c>
      <c r="D4" s="20">
        <f t="shared" si="0"/>
        <v>0</v>
      </c>
      <c r="E4" s="21">
        <f>IF($A4="","",IFERROR(_xlfn.XLOOKUP($A4,'System Generated 2026-08-24'!$A:$A,'System Generated 2026-08-24'!$E:$E),"Missing"))</f>
        <v>2976</v>
      </c>
      <c r="F4" s="21">
        <f>IF($A4="","",IFERROR(_xlfn.XLOOKUP($A4,Table1[Item],Table1[Total (₹)]),"Missing"))</f>
        <v>2976</v>
      </c>
      <c r="G4" s="21">
        <f t="shared" si="1"/>
        <v>0</v>
      </c>
      <c r="H4" t="str">
        <f t="shared" si="2"/>
        <v>Match</v>
      </c>
      <c r="K4" t="str">
        <f>'System Generated 2026-08-24'!A4</f>
        <v>8cp</v>
      </c>
      <c r="M4" t="s">
        <v>510</v>
      </c>
      <c r="N4">
        <f>COUNTIF(H2:H480,"Discrepancy")</f>
        <v>1</v>
      </c>
    </row>
    <row r="5" spans="1:14" hidden="1" x14ac:dyDescent="0.25">
      <c r="A5" t="str">
        <v>8cp</v>
      </c>
      <c r="B5" s="20">
        <f>IF($A5="","",IFERROR(_xlfn.XLOOKUP($A5,'System Generated 2026-08-24'!$A:$A,'System Generated 2026-08-24'!$B:$B),"Missing"))</f>
        <v>274</v>
      </c>
      <c r="C5" s="20">
        <f>IF($A5="","",IFERROR(_xlfn.XLOOKUP($A5,Table1[Item],Table1[Current Stock]),"Missing"))</f>
        <v>274</v>
      </c>
      <c r="D5" s="20">
        <f t="shared" si="0"/>
        <v>0</v>
      </c>
      <c r="E5" s="21">
        <f>IF($A5="","",IFERROR(_xlfn.XLOOKUP($A5,'System Generated 2026-08-24'!$A:$A,'System Generated 2026-08-24'!$E:$E),"Missing"))</f>
        <v>4543.41</v>
      </c>
      <c r="F5" s="21">
        <f>IF($A5="","",IFERROR(_xlfn.XLOOKUP($A5,Table1[Item],Table1[Total (₹)]),"Missing"))</f>
        <v>4543.4129999999996</v>
      </c>
      <c r="G5" s="21">
        <f t="shared" si="1"/>
        <v>-2.9999999997016857E-3</v>
      </c>
      <c r="H5" t="str">
        <f t="shared" si="2"/>
        <v>Match</v>
      </c>
      <c r="K5" t="str">
        <f>'System Generated 2026-08-24'!A5</f>
        <v>Almond Syrup</v>
      </c>
      <c r="M5" t="s">
        <v>511</v>
      </c>
      <c r="N5">
        <f>COUNTIF(H2:H480,"Missing in App")</f>
        <v>80</v>
      </c>
    </row>
    <row r="6" spans="1:14" hidden="1" x14ac:dyDescent="0.25">
      <c r="A6" t="str">
        <v>Almond Syrup</v>
      </c>
      <c r="B6" s="20">
        <f>IF($A6="","",IFERROR(_xlfn.XLOOKUP($A6,'System Generated 2026-08-24'!$A:$A,'System Generated 2026-08-24'!$B:$B),"Missing"))</f>
        <v>3</v>
      </c>
      <c r="C6" s="20">
        <f>IF($A6="","",IFERROR(_xlfn.XLOOKUP($A6,Table1[Item],Table1[Current Stock]),"Missing"))</f>
        <v>3</v>
      </c>
      <c r="D6" s="20">
        <f t="shared" si="0"/>
        <v>0</v>
      </c>
      <c r="E6" s="21">
        <f>IF($A6="","",IFERROR(_xlfn.XLOOKUP($A6,'System Generated 2026-08-24'!$A:$A,'System Generated 2026-08-24'!$E:$E),"Missing"))</f>
        <v>1110</v>
      </c>
      <c r="F6" s="21">
        <f>IF($A6="","",IFERROR(_xlfn.XLOOKUP($A6,Table1[Item],Table1[Total (₹)]),"Missing"))</f>
        <v>1110</v>
      </c>
      <c r="G6" s="21">
        <f t="shared" si="1"/>
        <v>0</v>
      </c>
      <c r="H6" t="str">
        <f t="shared" si="2"/>
        <v>Match</v>
      </c>
      <c r="K6" t="str">
        <f>'System Generated 2026-08-24'!A6</f>
        <v>Amchoor Powder</v>
      </c>
      <c r="M6" t="s">
        <v>512</v>
      </c>
      <c r="N6">
        <f>COUNTIF(H2:H480,"Missing in Hotel Data")</f>
        <v>27</v>
      </c>
    </row>
    <row r="7" spans="1:14" hidden="1" x14ac:dyDescent="0.25">
      <c r="A7" t="str">
        <v>Amchoor Powder</v>
      </c>
      <c r="B7" s="20">
        <f>IF($A7="","",IFERROR(_xlfn.XLOOKUP($A7,'System Generated 2026-08-24'!$A:$A,'System Generated 2026-08-24'!$B:$B),"Missing"))</f>
        <v>0</v>
      </c>
      <c r="C7" s="20">
        <f>IF($A7="","",IFERROR(_xlfn.XLOOKUP($A7,Table1[Item],Table1[Current Stock]),"Missing"))</f>
        <v>0</v>
      </c>
      <c r="D7" s="20">
        <f t="shared" si="0"/>
        <v>0</v>
      </c>
      <c r="E7" s="21">
        <f>IF($A7="","",IFERROR(_xlfn.XLOOKUP($A7,'System Generated 2026-08-24'!$A:$A,'System Generated 2026-08-24'!$E:$E),"Missing"))</f>
        <v>0</v>
      </c>
      <c r="F7" s="21">
        <f>IF($A7="","",IFERROR(_xlfn.XLOOKUP($A7,Table1[Item],Table1[Total (₹)]),"Missing"))</f>
        <v>0</v>
      </c>
      <c r="G7" s="21">
        <f t="shared" si="1"/>
        <v>0</v>
      </c>
      <c r="H7" t="str">
        <f t="shared" si="2"/>
        <v>Match</v>
      </c>
      <c r="K7" t="str">
        <f>'System Generated 2026-08-24'!A7</f>
        <v>Amchur Raw</v>
      </c>
    </row>
    <row r="8" spans="1:14" hidden="1" x14ac:dyDescent="0.25">
      <c r="A8" t="str">
        <v>Amchur Raw</v>
      </c>
      <c r="B8" s="20">
        <f>IF($A8="","",IFERROR(_xlfn.XLOOKUP($A8,'System Generated 2026-08-24'!$A:$A,'System Generated 2026-08-24'!$B:$B),"Missing"))</f>
        <v>2</v>
      </c>
      <c r="C8" s="20">
        <f>IF($A8="","",IFERROR(_xlfn.XLOOKUP($A8,Table1[Item],Table1[Current Stock]),"Missing"))</f>
        <v>2</v>
      </c>
      <c r="D8" s="20">
        <f t="shared" si="0"/>
        <v>0</v>
      </c>
      <c r="E8" s="21">
        <f>IF($A8="","",IFERROR(_xlfn.XLOOKUP($A8,'System Generated 2026-08-24'!$A:$A,'System Generated 2026-08-24'!$E:$E),"Missing"))</f>
        <v>1088</v>
      </c>
      <c r="F8" s="21">
        <f>IF($A8="","",IFERROR(_xlfn.XLOOKUP($A8,Table1[Item],Table1[Total (₹)]),"Missing"))</f>
        <v>1088</v>
      </c>
      <c r="G8" s="21">
        <f t="shared" si="1"/>
        <v>0</v>
      </c>
      <c r="H8" t="str">
        <f t="shared" si="2"/>
        <v>Match</v>
      </c>
      <c r="K8" t="str">
        <f>'System Generated 2026-08-24'!A8</f>
        <v>Anar</v>
      </c>
    </row>
    <row r="9" spans="1:14" hidden="1" x14ac:dyDescent="0.25">
      <c r="A9" t="str">
        <v>Anar</v>
      </c>
      <c r="B9" s="20">
        <f>IF($A9="","",IFERROR(_xlfn.XLOOKUP($A9,'System Generated 2026-08-24'!$A:$A,'System Generated 2026-08-24'!$B:$B),"Missing"))</f>
        <v>0</v>
      </c>
      <c r="C9" s="20">
        <f>IF($A9="","",IFERROR(_xlfn.XLOOKUP($A9,Table1[Item],Table1[Current Stock]),"Missing"))</f>
        <v>0</v>
      </c>
      <c r="D9" s="20">
        <f t="shared" si="0"/>
        <v>0</v>
      </c>
      <c r="E9" s="21">
        <f>IF($A9="","",IFERROR(_xlfn.XLOOKUP($A9,'System Generated 2026-08-24'!$A:$A,'System Generated 2026-08-24'!$E:$E),"Missing"))</f>
        <v>0</v>
      </c>
      <c r="F9" s="21">
        <f>IF($A9="","",IFERROR(_xlfn.XLOOKUP($A9,Table1[Item],Table1[Total (₹)]),"Missing"))</f>
        <v>0</v>
      </c>
      <c r="G9" s="21">
        <f t="shared" si="1"/>
        <v>0</v>
      </c>
      <c r="H9" t="str">
        <f t="shared" si="2"/>
        <v>Match</v>
      </c>
      <c r="K9" t="str">
        <f>'System Generated 2026-08-24'!A9</f>
        <v>Anti Flies Floor Cleaner</v>
      </c>
    </row>
    <row r="10" spans="1:14" hidden="1" x14ac:dyDescent="0.25">
      <c r="A10" t="str">
        <v>Anti Flies Floor Cleaner</v>
      </c>
      <c r="B10" s="20">
        <f>IF($A10="","",IFERROR(_xlfn.XLOOKUP($A10,'System Generated 2026-08-24'!$A:$A,'System Generated 2026-08-24'!$B:$B),"Missing"))</f>
        <v>5</v>
      </c>
      <c r="C10" s="20">
        <f>IF($A10="","",IFERROR(_xlfn.XLOOKUP($A10,Table1[Item],Table1[Current Stock]),"Missing"))</f>
        <v>5</v>
      </c>
      <c r="D10" s="20">
        <f t="shared" si="0"/>
        <v>0</v>
      </c>
      <c r="E10" s="21">
        <f>IF($A10="","",IFERROR(_xlfn.XLOOKUP($A10,'System Generated 2026-08-24'!$A:$A,'System Generated 2026-08-24'!$E:$E),"Missing"))</f>
        <v>825</v>
      </c>
      <c r="F10" s="21">
        <f>IF($A10="","",IFERROR(_xlfn.XLOOKUP($A10,Table1[Item],Table1[Total (₹)]),"Missing"))</f>
        <v>825</v>
      </c>
      <c r="G10" s="21">
        <f t="shared" si="1"/>
        <v>0</v>
      </c>
      <c r="H10" t="str">
        <f t="shared" si="2"/>
        <v>Match</v>
      </c>
      <c r="K10" t="str">
        <f>'System Generated 2026-08-24'!A10</f>
        <v>Apples</v>
      </c>
    </row>
    <row r="11" spans="1:14" hidden="1" x14ac:dyDescent="0.25">
      <c r="A11" t="str">
        <v>Apples</v>
      </c>
      <c r="B11" s="20">
        <f>IF($A11="","",IFERROR(_xlfn.XLOOKUP($A11,'System Generated 2026-08-24'!$A:$A,'System Generated 2026-08-24'!$B:$B),"Missing"))</f>
        <v>0</v>
      </c>
      <c r="C11" s="20">
        <f>IF($A11="","",IFERROR(_xlfn.XLOOKUP($A11,Table1[Item],Table1[Current Stock]),"Missing"))</f>
        <v>0</v>
      </c>
      <c r="D11" s="20">
        <f t="shared" si="0"/>
        <v>0</v>
      </c>
      <c r="E11" s="21">
        <f>IF($A11="","",IFERROR(_xlfn.XLOOKUP($A11,'System Generated 2026-08-24'!$A:$A,'System Generated 2026-08-24'!$E:$E),"Missing"))</f>
        <v>0</v>
      </c>
      <c r="F11" s="21">
        <f>IF($A11="","",IFERROR(_xlfn.XLOOKUP($A11,Table1[Item],Table1[Total (₹)]),"Missing"))</f>
        <v>0</v>
      </c>
      <c r="G11" s="21">
        <f t="shared" si="1"/>
        <v>0</v>
      </c>
      <c r="H11" t="str">
        <f t="shared" si="2"/>
        <v>Match</v>
      </c>
      <c r="K11" t="str">
        <f>'System Generated 2026-08-24'!A11</f>
        <v>Aratikayalu</v>
      </c>
    </row>
    <row r="12" spans="1:14" hidden="1" x14ac:dyDescent="0.25">
      <c r="A12" t="str">
        <v>Aratikayalu</v>
      </c>
      <c r="B12" s="20">
        <f>IF($A12="","",IFERROR(_xlfn.XLOOKUP($A12,'System Generated 2026-08-24'!$A:$A,'System Generated 2026-08-24'!$B:$B),"Missing"))</f>
        <v>0</v>
      </c>
      <c r="C12" s="20">
        <f>IF($A12="","",IFERROR(_xlfn.XLOOKUP($A12,Table1[Item],Table1[Current Stock]),"Missing"))</f>
        <v>0</v>
      </c>
      <c r="D12" s="20">
        <f t="shared" si="0"/>
        <v>0</v>
      </c>
      <c r="E12" s="21">
        <f>IF($A12="","",IFERROR(_xlfn.XLOOKUP($A12,'System Generated 2026-08-24'!$A:$A,'System Generated 2026-08-24'!$E:$E),"Missing"))</f>
        <v>0</v>
      </c>
      <c r="F12" s="21">
        <f>IF($A12="","",IFERROR(_xlfn.XLOOKUP($A12,Table1[Item],Table1[Total (₹)]),"Missing"))</f>
        <v>0</v>
      </c>
      <c r="G12" s="21">
        <f t="shared" si="1"/>
        <v>0</v>
      </c>
      <c r="H12" t="str">
        <f t="shared" si="2"/>
        <v>Match</v>
      </c>
      <c r="K12" t="str">
        <f>'System Generated 2026-08-24'!A12</f>
        <v>Aromatic Powder</v>
      </c>
    </row>
    <row r="13" spans="1:14" hidden="1" x14ac:dyDescent="0.25">
      <c r="A13" t="str">
        <v>Aromatic Powder</v>
      </c>
      <c r="B13" s="20">
        <f>IF($A13="","",IFERROR(_xlfn.XLOOKUP($A13,'System Generated 2026-08-24'!$A:$A,'System Generated 2026-08-24'!$B:$B),"Missing"))</f>
        <v>4.0999999999999996</v>
      </c>
      <c r="C13" s="20">
        <f>IF($A13="","",IFERROR(_xlfn.XLOOKUP($A13,Table1[Item],Table1[Current Stock]),"Missing"))</f>
        <v>4.0999999999999996</v>
      </c>
      <c r="D13" s="20">
        <f t="shared" si="0"/>
        <v>0</v>
      </c>
      <c r="E13" s="21">
        <f>IF($A13="","",IFERROR(_xlfn.XLOOKUP($A13,'System Generated 2026-08-24'!$A:$A,'System Generated 2026-08-24'!$E:$E),"Missing"))</f>
        <v>1461.43</v>
      </c>
      <c r="F13" s="21">
        <f>IF($A13="","",IFERROR(_xlfn.XLOOKUP($A13,Table1[Item],Table1[Total (₹)]),"Missing"))</f>
        <v>1461.433</v>
      </c>
      <c r="G13" s="21">
        <f t="shared" si="1"/>
        <v>-2.9999999999290594E-3</v>
      </c>
      <c r="H13" t="str">
        <f t="shared" si="2"/>
        <v>Match</v>
      </c>
      <c r="K13" t="str">
        <f>'System Generated 2026-08-24'!A13</f>
        <v>Atta</v>
      </c>
    </row>
    <row r="14" spans="1:14" hidden="1" x14ac:dyDescent="0.25">
      <c r="A14" t="str">
        <v>Atta</v>
      </c>
      <c r="B14" s="20">
        <f>IF($A14="","",IFERROR(_xlfn.XLOOKUP($A14,'System Generated 2026-08-24'!$A:$A,'System Generated 2026-08-24'!$B:$B),"Missing"))</f>
        <v>186.5</v>
      </c>
      <c r="C14" s="20">
        <f>IF($A14="","",IFERROR(_xlfn.XLOOKUP($A14,Table1[Item],Table1[Current Stock]),"Missing"))</f>
        <v>186.5</v>
      </c>
      <c r="D14" s="20">
        <f t="shared" si="0"/>
        <v>0</v>
      </c>
      <c r="E14" s="21">
        <f>IF($A14="","",IFERROR(_xlfn.XLOOKUP($A14,'System Generated 2026-08-24'!$A:$A,'System Generated 2026-08-24'!$E:$E),"Missing"))</f>
        <v>7208.15</v>
      </c>
      <c r="F14" s="21">
        <f>IF($A14="","",IFERROR(_xlfn.XLOOKUP($A14,Table1[Item],Table1[Total (₹)]),"Missing"))</f>
        <v>7208.15</v>
      </c>
      <c r="G14" s="21">
        <f t="shared" si="1"/>
        <v>0</v>
      </c>
      <c r="H14" t="str">
        <f t="shared" si="2"/>
        <v>Match</v>
      </c>
      <c r="K14" t="str">
        <f>'System Generated 2026-08-24'!A14</f>
        <v>Atukulu</v>
      </c>
    </row>
    <row r="15" spans="1:14" hidden="1" x14ac:dyDescent="0.25">
      <c r="A15" t="str">
        <v>Atukulu</v>
      </c>
      <c r="B15" s="20">
        <f>IF($A15="","",IFERROR(_xlfn.XLOOKUP($A15,'System Generated 2026-08-24'!$A:$A,'System Generated 2026-08-24'!$B:$B),"Missing"))</f>
        <v>19.459</v>
      </c>
      <c r="C15" s="20">
        <f>IF($A15="","",IFERROR(_xlfn.XLOOKUP($A15,Table1[Item],Table1[Current Stock]),"Missing"))</f>
        <v>19.459</v>
      </c>
      <c r="D15" s="20">
        <f t="shared" si="0"/>
        <v>0</v>
      </c>
      <c r="E15" s="21">
        <f>IF($A15="","",IFERROR(_xlfn.XLOOKUP($A15,'System Generated 2026-08-24'!$A:$A,'System Generated 2026-08-24'!$E:$E),"Missing"))</f>
        <v>963.22</v>
      </c>
      <c r="F15" s="21">
        <f>IF($A15="","",IFERROR(_xlfn.XLOOKUP($A15,Table1[Item],Table1[Total (₹)]),"Missing"))</f>
        <v>963.221</v>
      </c>
      <c r="G15" s="21">
        <f t="shared" si="1"/>
        <v>-9.9999999997635314E-4</v>
      </c>
      <c r="H15" t="str">
        <f t="shared" si="2"/>
        <v>Match</v>
      </c>
      <c r="K15" t="str">
        <f>'System Generated 2026-08-24'!A15</f>
        <v>Baby Corn</v>
      </c>
    </row>
    <row r="16" spans="1:14" hidden="1" x14ac:dyDescent="0.25">
      <c r="A16" t="str">
        <v>Baby Corn</v>
      </c>
      <c r="B16" s="20">
        <f>IF($A16="","",IFERROR(_xlfn.XLOOKUP($A16,'System Generated 2026-08-24'!$A:$A,'System Generated 2026-08-24'!$B:$B),"Missing"))</f>
        <v>5</v>
      </c>
      <c r="C16" s="20">
        <f>IF($A16="","",IFERROR(_xlfn.XLOOKUP($A16,Table1[Item],Table1[Current Stock]),"Missing"))</f>
        <v>5</v>
      </c>
      <c r="D16" s="20">
        <f t="shared" si="0"/>
        <v>0</v>
      </c>
      <c r="E16" s="21">
        <f>IF($A16="","",IFERROR(_xlfn.XLOOKUP($A16,'System Generated 2026-08-24'!$A:$A,'System Generated 2026-08-24'!$E:$E),"Missing"))</f>
        <v>600</v>
      </c>
      <c r="F16" s="21">
        <f>IF($A16="","",IFERROR(_xlfn.XLOOKUP($A16,Table1[Item],Table1[Total (₹)]),"Missing"))</f>
        <v>600</v>
      </c>
      <c r="G16" s="21">
        <f t="shared" si="1"/>
        <v>0</v>
      </c>
      <c r="H16" t="str">
        <f t="shared" si="2"/>
        <v>Match</v>
      </c>
      <c r="K16" t="str">
        <f>'System Generated 2026-08-24'!A16</f>
        <v>Badam</v>
      </c>
    </row>
    <row r="17" spans="1:11" hidden="1" x14ac:dyDescent="0.25">
      <c r="A17" t="str">
        <v>Badam</v>
      </c>
      <c r="B17" s="20">
        <f>IF($A17="","",IFERROR(_xlfn.XLOOKUP($A17,'System Generated 2026-08-24'!$A:$A,'System Generated 2026-08-24'!$B:$B),"Missing"))</f>
        <v>2.1800000000000002</v>
      </c>
      <c r="C17" s="20">
        <f>IF($A17="","",IFERROR(_xlfn.XLOOKUP($A17,Table1[Item],Table1[Current Stock]),"Missing"))</f>
        <v>2.1800000000000002</v>
      </c>
      <c r="D17" s="20">
        <f t="shared" si="0"/>
        <v>0</v>
      </c>
      <c r="E17" s="21">
        <f>IF($A17="","",IFERROR(_xlfn.XLOOKUP($A17,'System Generated 2026-08-24'!$A:$A,'System Generated 2026-08-24'!$E:$E),"Missing"))</f>
        <v>2147.3000000000002</v>
      </c>
      <c r="F17" s="21">
        <f>IF($A17="","",IFERROR(_xlfn.XLOOKUP($A17,Table1[Item],Table1[Total (₹)]),"Missing"))</f>
        <v>2147.3000000000002</v>
      </c>
      <c r="G17" s="21">
        <f t="shared" si="1"/>
        <v>0</v>
      </c>
      <c r="H17" t="str">
        <f t="shared" si="2"/>
        <v>Match</v>
      </c>
      <c r="K17" t="str">
        <f>'System Generated 2026-08-24'!A17</f>
        <v>Baking Powder</v>
      </c>
    </row>
    <row r="18" spans="1:11" hidden="1" x14ac:dyDescent="0.25">
      <c r="A18" t="str">
        <v>Baking Powder</v>
      </c>
      <c r="B18" s="20">
        <f>IF($A18="","",IFERROR(_xlfn.XLOOKUP($A18,'System Generated 2026-08-24'!$A:$A,'System Generated 2026-08-24'!$B:$B),"Missing"))</f>
        <v>11</v>
      </c>
      <c r="C18" s="20">
        <f>IF($A18="","",IFERROR(_xlfn.XLOOKUP($A18,Table1[Item],Table1[Current Stock]),"Missing"))</f>
        <v>11</v>
      </c>
      <c r="D18" s="20">
        <f t="shared" si="0"/>
        <v>0</v>
      </c>
      <c r="E18" s="21">
        <f>IF($A18="","",IFERROR(_xlfn.XLOOKUP($A18,'System Generated 2026-08-24'!$A:$A,'System Generated 2026-08-24'!$E:$E),"Missing"))</f>
        <v>396.86</v>
      </c>
      <c r="F18" s="21">
        <f>IF($A18="","",IFERROR(_xlfn.XLOOKUP($A18,Table1[Item],Table1[Total (₹)]),"Missing"))</f>
        <v>396.86</v>
      </c>
      <c r="G18" s="21">
        <f t="shared" si="1"/>
        <v>0</v>
      </c>
      <c r="H18" t="str">
        <f t="shared" si="2"/>
        <v>Match</v>
      </c>
      <c r="K18" t="str">
        <f>'System Generated 2026-08-24'!A18</f>
        <v>Banana</v>
      </c>
    </row>
    <row r="19" spans="1:11" x14ac:dyDescent="0.25">
      <c r="A19" t="str">
        <v>Baking Soda</v>
      </c>
      <c r="B19" s="20" t="str">
        <f>IF($A19="","",IFERROR(_xlfn.XLOOKUP($A19,'System Generated 2026-08-24'!$A:$A,'System Generated 2026-08-24'!$B:$B),"Missing"))</f>
        <v>Missing</v>
      </c>
      <c r="C19" s="20">
        <f>IF($A19="","",IFERROR(_xlfn.XLOOKUP($A19,Table1[Item],Table1[Current Stock]),"Missing"))</f>
        <v>1</v>
      </c>
      <c r="D19" s="20" t="str">
        <f t="shared" si="0"/>
        <v>N/A</v>
      </c>
      <c r="E19" s="21" t="str">
        <f>IF($A19="","",IFERROR(_xlfn.XLOOKUP($A19,'System Generated 2026-08-24'!$A:$A,'System Generated 2026-08-24'!$E:$E),"Missing"))</f>
        <v>Missing</v>
      </c>
      <c r="F19" s="21">
        <f>IF($A19="","",IFERROR(_xlfn.XLOOKUP($A19,Table1[Item],Table1[Total (₹)]),"Missing"))</f>
        <v>37.667000000000002</v>
      </c>
      <c r="G19" s="21" t="str">
        <f t="shared" si="1"/>
        <v>N/A</v>
      </c>
      <c r="H19" t="str">
        <f t="shared" si="2"/>
        <v>Missing in App</v>
      </c>
      <c r="K19" t="str">
        <f>'System Generated 2026-08-24'!A19</f>
        <v>Beans</v>
      </c>
    </row>
    <row r="20" spans="1:11" hidden="1" x14ac:dyDescent="0.25">
      <c r="A20" t="str">
        <v>Banana</v>
      </c>
      <c r="B20" s="20">
        <f>IF($A20="","",IFERROR(_xlfn.XLOOKUP($A20,'System Generated 2026-08-24'!$A:$A,'System Generated 2026-08-24'!$B:$B),"Missing"))</f>
        <v>0</v>
      </c>
      <c r="C20" s="20">
        <f>IF($A20="","",IFERROR(_xlfn.XLOOKUP($A20,Table1[Item],Table1[Current Stock]),"Missing"))</f>
        <v>0</v>
      </c>
      <c r="D20" s="20">
        <f t="shared" si="0"/>
        <v>0</v>
      </c>
      <c r="E20" s="21">
        <f>IF($A20="","",IFERROR(_xlfn.XLOOKUP($A20,'System Generated 2026-08-24'!$A:$A,'System Generated 2026-08-24'!$E:$E),"Missing"))</f>
        <v>0</v>
      </c>
      <c r="F20" s="21">
        <f>IF($A20="","",IFERROR(_xlfn.XLOOKUP($A20,Table1[Item],Table1[Total (₹)]),"Missing"))</f>
        <v>0</v>
      </c>
      <c r="G20" s="21">
        <f t="shared" si="1"/>
        <v>0</v>
      </c>
      <c r="H20" t="str">
        <f t="shared" si="2"/>
        <v>Match</v>
      </c>
      <c r="K20" t="str">
        <f>'System Generated 2026-08-24'!A20</f>
        <v>Bedsheet</v>
      </c>
    </row>
    <row r="21" spans="1:11" x14ac:dyDescent="0.25">
      <c r="A21" t="str">
        <v>Banana Leaf</v>
      </c>
      <c r="B21" s="20" t="str">
        <f>IF($A21="","",IFERROR(_xlfn.XLOOKUP($A21,'System Generated 2026-08-24'!$A:$A,'System Generated 2026-08-24'!$B:$B),"Missing"))</f>
        <v>Missing</v>
      </c>
      <c r="C21" s="20">
        <f>IF($A21="","",IFERROR(_xlfn.XLOOKUP($A21,Table1[Item],Table1[Current Stock]),"Missing"))</f>
        <v>250</v>
      </c>
      <c r="D21" s="20" t="str">
        <f t="shared" si="0"/>
        <v>N/A</v>
      </c>
      <c r="E21" s="21" t="str">
        <f>IF($A21="","",IFERROR(_xlfn.XLOOKUP($A21,'System Generated 2026-08-24'!$A:$A,'System Generated 2026-08-24'!$E:$E),"Missing"))</f>
        <v>Missing</v>
      </c>
      <c r="F21" s="21">
        <f>IF($A21="","",IFERROR(_xlfn.XLOOKUP($A21,Table1[Item],Table1[Total (₹)]),"Missing"))</f>
        <v>1000</v>
      </c>
      <c r="G21" s="21" t="str">
        <f t="shared" si="1"/>
        <v>N/A</v>
      </c>
      <c r="H21" t="str">
        <f t="shared" si="2"/>
        <v>Missing in App</v>
      </c>
      <c r="K21" t="str">
        <f>'System Generated 2026-08-24'!A21</f>
        <v>Beerakaya</v>
      </c>
    </row>
    <row r="22" spans="1:11" x14ac:dyDescent="0.25">
      <c r="A22" t="str">
        <v>Bannana Life</v>
      </c>
      <c r="B22" s="20" t="str">
        <f>IF($A22="","",IFERROR(_xlfn.XLOOKUP($A22,'System Generated 2026-08-24'!$A:$A,'System Generated 2026-08-24'!$B:$B),"Missing"))</f>
        <v>Missing</v>
      </c>
      <c r="C22" s="20">
        <f>IF($A22="","",IFERROR(_xlfn.XLOOKUP($A22,Table1[Item],Table1[Current Stock]),"Missing"))</f>
        <v>0</v>
      </c>
      <c r="D22" s="20" t="str">
        <f t="shared" si="0"/>
        <v>N/A</v>
      </c>
      <c r="E22" s="21" t="str">
        <f>IF($A22="","",IFERROR(_xlfn.XLOOKUP($A22,'System Generated 2026-08-24'!$A:$A,'System Generated 2026-08-24'!$E:$E),"Missing"))</f>
        <v>Missing</v>
      </c>
      <c r="F22" s="21">
        <f>IF($A22="","",IFERROR(_xlfn.XLOOKUP($A22,Table1[Item],Table1[Total (₹)]),"Missing"))</f>
        <v>0</v>
      </c>
      <c r="G22" s="21" t="str">
        <f t="shared" si="1"/>
        <v>N/A</v>
      </c>
      <c r="H22" t="str">
        <f t="shared" si="2"/>
        <v>Missing in App</v>
      </c>
      <c r="K22" t="str">
        <f>'System Generated 2026-08-24'!A22</f>
        <v>Beet Root</v>
      </c>
    </row>
    <row r="23" spans="1:11" hidden="1" x14ac:dyDescent="0.25">
      <c r="A23" t="str">
        <v>Beans</v>
      </c>
      <c r="B23" s="20">
        <f>IF($A23="","",IFERROR(_xlfn.XLOOKUP($A23,'System Generated 2026-08-24'!$A:$A,'System Generated 2026-08-24'!$B:$B),"Missing"))</f>
        <v>5.5</v>
      </c>
      <c r="C23" s="20">
        <f>IF($A23="","",IFERROR(_xlfn.XLOOKUP($A23,Table1[Item],Table1[Current Stock]),"Missing"))</f>
        <v>5.5</v>
      </c>
      <c r="D23" s="20">
        <f t="shared" si="0"/>
        <v>0</v>
      </c>
      <c r="E23" s="21">
        <f>IF($A23="","",IFERROR(_xlfn.XLOOKUP($A23,'System Generated 2026-08-24'!$A:$A,'System Generated 2026-08-24'!$E:$E),"Missing"))</f>
        <v>702.78</v>
      </c>
      <c r="F23" s="21">
        <f>IF($A23="","",IFERROR(_xlfn.XLOOKUP($A23,Table1[Item],Table1[Total (₹)]),"Missing"))</f>
        <v>702.779</v>
      </c>
      <c r="G23" s="21">
        <f t="shared" si="1"/>
        <v>9.9999999997635314E-4</v>
      </c>
      <c r="H23" t="str">
        <f t="shared" si="2"/>
        <v>Match</v>
      </c>
      <c r="K23" t="str">
        <f>'System Generated 2026-08-24'!A23</f>
        <v>Bendi</v>
      </c>
    </row>
    <row r="24" spans="1:11" hidden="1" x14ac:dyDescent="0.25">
      <c r="A24" t="str">
        <v>Bedsheet</v>
      </c>
      <c r="B24" s="20">
        <f>IF($A24="","",IFERROR(_xlfn.XLOOKUP($A24,'System Generated 2026-08-24'!$A:$A,'System Generated 2026-08-24'!$B:$B),"Missing"))</f>
        <v>40</v>
      </c>
      <c r="C24" s="20">
        <f>IF($A24="","",IFERROR(_xlfn.XLOOKUP($A24,Table1[Item],Table1[Current Stock]),"Missing"))</f>
        <v>40</v>
      </c>
      <c r="D24" s="20">
        <f t="shared" si="0"/>
        <v>0</v>
      </c>
      <c r="E24" s="21">
        <f>IF($A24="","",IFERROR(_xlfn.XLOOKUP($A24,'System Generated 2026-08-24'!$A:$A,'System Generated 2026-08-24'!$E:$E),"Missing"))</f>
        <v>6400</v>
      </c>
      <c r="F24" s="21">
        <f>IF($A24="","",IFERROR(_xlfn.XLOOKUP($A24,Table1[Item],Table1[Total (₹)]),"Missing"))</f>
        <v>6400</v>
      </c>
      <c r="G24" s="21">
        <f t="shared" si="1"/>
        <v>0</v>
      </c>
      <c r="H24" t="str">
        <f t="shared" si="2"/>
        <v>Match</v>
      </c>
      <c r="K24" t="str">
        <f>'System Generated 2026-08-24'!A24</f>
        <v>Bharath Gas</v>
      </c>
    </row>
    <row r="25" spans="1:11" hidden="1" x14ac:dyDescent="0.25">
      <c r="A25" t="str">
        <v>Beerakaya</v>
      </c>
      <c r="B25" s="20">
        <f>IF($A25="","",IFERROR(_xlfn.XLOOKUP($A25,'System Generated 2026-08-24'!$A:$A,'System Generated 2026-08-24'!$B:$B),"Missing"))</f>
        <v>8</v>
      </c>
      <c r="C25" s="20">
        <f>IF($A25="","",IFERROR(_xlfn.XLOOKUP($A25,Table1[Item],Table1[Current Stock]),"Missing"))</f>
        <v>8</v>
      </c>
      <c r="D25" s="20">
        <f t="shared" si="0"/>
        <v>0</v>
      </c>
      <c r="E25" s="21">
        <f>IF($A25="","",IFERROR(_xlfn.XLOOKUP($A25,'System Generated 2026-08-24'!$A:$A,'System Generated 2026-08-24'!$E:$E),"Missing"))</f>
        <v>325.33</v>
      </c>
      <c r="F25" s="21">
        <f>IF($A25="","",IFERROR(_xlfn.XLOOKUP($A25,Table1[Item],Table1[Total (₹)]),"Missing"))</f>
        <v>325.334</v>
      </c>
      <c r="G25" s="21">
        <f t="shared" si="1"/>
        <v>-4.0000000000190994E-3</v>
      </c>
      <c r="H25" t="str">
        <f t="shared" si="2"/>
        <v>Match</v>
      </c>
      <c r="K25" t="str">
        <f>'System Generated 2026-08-24'!A25</f>
        <v>Biryani Leaf</v>
      </c>
    </row>
    <row r="26" spans="1:11" hidden="1" x14ac:dyDescent="0.25">
      <c r="A26" t="str">
        <v>Beet Root</v>
      </c>
      <c r="B26" s="20">
        <f>IF($A26="","",IFERROR(_xlfn.XLOOKUP($A26,'System Generated 2026-08-24'!$A:$A,'System Generated 2026-08-24'!$B:$B),"Missing"))</f>
        <v>0.5</v>
      </c>
      <c r="C26" s="20">
        <f>IF($A26="","",IFERROR(_xlfn.XLOOKUP($A26,Table1[Item],Table1[Current Stock]),"Missing"))</f>
        <v>0.5</v>
      </c>
      <c r="D26" s="20">
        <f t="shared" si="0"/>
        <v>0</v>
      </c>
      <c r="E26" s="21">
        <f>IF($A26="","",IFERROR(_xlfn.XLOOKUP($A26,'System Generated 2026-08-24'!$A:$A,'System Generated 2026-08-24'!$E:$E),"Missing"))</f>
        <v>20.45</v>
      </c>
      <c r="F26" s="21">
        <f>IF($A26="","",IFERROR(_xlfn.XLOOKUP($A26,Table1[Item],Table1[Total (₹)]),"Missing"))</f>
        <v>20.454999999999998</v>
      </c>
      <c r="G26" s="21">
        <f t="shared" si="1"/>
        <v>-4.9999999999990052E-3</v>
      </c>
      <c r="H26" t="str">
        <f t="shared" si="2"/>
        <v>Match</v>
      </c>
      <c r="K26" t="str">
        <f>'System Generated 2026-08-24'!A26</f>
        <v>Biryani Rice</v>
      </c>
    </row>
    <row r="27" spans="1:11" x14ac:dyDescent="0.25">
      <c r="A27" t="str">
        <v>Bendakaya</v>
      </c>
      <c r="B27" s="20" t="str">
        <f>IF($A27="","",IFERROR(_xlfn.XLOOKUP($A27,'System Generated 2026-08-24'!$A:$A,'System Generated 2026-08-24'!$B:$B),"Missing"))</f>
        <v>Missing</v>
      </c>
      <c r="C27" s="20">
        <f>IF($A27="","",IFERROR(_xlfn.XLOOKUP($A27,Table1[Item],Table1[Current Stock]),"Missing"))</f>
        <v>0</v>
      </c>
      <c r="D27" s="20" t="str">
        <f t="shared" si="0"/>
        <v>N/A</v>
      </c>
      <c r="E27" s="21" t="str">
        <f>IF($A27="","",IFERROR(_xlfn.XLOOKUP($A27,'System Generated 2026-08-24'!$A:$A,'System Generated 2026-08-24'!$E:$E),"Missing"))</f>
        <v>Missing</v>
      </c>
      <c r="F27" s="21">
        <f>IF($A27="","",IFERROR(_xlfn.XLOOKUP($A27,Table1[Item],Table1[Total (₹)]),"Missing"))</f>
        <v>0</v>
      </c>
      <c r="G27" s="21" t="str">
        <f t="shared" si="1"/>
        <v>N/A</v>
      </c>
      <c r="H27" t="str">
        <f t="shared" si="2"/>
        <v>Missing in App</v>
      </c>
      <c r="K27" t="str">
        <f>'System Generated 2026-08-24'!A27</f>
        <v>Bis Coffe Biscuits</v>
      </c>
    </row>
    <row r="28" spans="1:11" hidden="1" x14ac:dyDescent="0.25">
      <c r="A28" t="str">
        <v>Bendi</v>
      </c>
      <c r="B28" s="20">
        <f>IF($A28="","",IFERROR(_xlfn.XLOOKUP($A28,'System Generated 2026-08-24'!$A:$A,'System Generated 2026-08-24'!$B:$B),"Missing"))</f>
        <v>23</v>
      </c>
      <c r="C28" s="20" t="str">
        <f>IF($A28="","",IFERROR(_xlfn.XLOOKUP($A28,Table1[Item],Table1[Current Stock]),"Missing"))</f>
        <v>Missing</v>
      </c>
      <c r="D28" s="20" t="str">
        <f t="shared" si="0"/>
        <v>N/A</v>
      </c>
      <c r="E28" s="21">
        <f>IF($A28="","",IFERROR(_xlfn.XLOOKUP($A28,'System Generated 2026-08-24'!$A:$A,'System Generated 2026-08-24'!$E:$E),"Missing"))</f>
        <v>690</v>
      </c>
      <c r="F28" s="21" t="str">
        <f>IF($A28="","",IFERROR(_xlfn.XLOOKUP($A28,Table1[Item],Table1[Total (₹)]),"Missing"))</f>
        <v>Missing</v>
      </c>
      <c r="G28" s="21" t="str">
        <f t="shared" si="1"/>
        <v>N/A</v>
      </c>
      <c r="H28" t="str">
        <f t="shared" si="2"/>
        <v>Missing in Hotel Data</v>
      </c>
      <c r="K28" t="str">
        <f>'System Generated 2026-08-24'!A28</f>
        <v>Bis Coffe Paste</v>
      </c>
    </row>
    <row r="29" spans="1:11" hidden="1" x14ac:dyDescent="0.25">
      <c r="A29" t="str">
        <v>Bharath Gas</v>
      </c>
      <c r="B29" s="20">
        <f>IF($A29="","",IFERROR(_xlfn.XLOOKUP($A29,'System Generated 2026-08-24'!$A:$A,'System Generated 2026-08-24'!$B:$B),"Missing"))</f>
        <v>8</v>
      </c>
      <c r="C29" s="20">
        <f>IF($A29="","",IFERROR(_xlfn.XLOOKUP($A29,Table1[Item],Table1[Current Stock]),"Missing"))</f>
        <v>8</v>
      </c>
      <c r="D29" s="20">
        <f t="shared" si="0"/>
        <v>0</v>
      </c>
      <c r="E29" s="21">
        <f>IF($A29="","",IFERROR(_xlfn.XLOOKUP($A29,'System Generated 2026-08-24'!$A:$A,'System Generated 2026-08-24'!$E:$E),"Missing"))</f>
        <v>25966.6</v>
      </c>
      <c r="F29" s="21">
        <f>IF($A29="","",IFERROR(_xlfn.XLOOKUP($A29,Table1[Item],Table1[Total (₹)]),"Missing"))</f>
        <v>25966.639999999999</v>
      </c>
      <c r="G29" s="21">
        <f t="shared" si="1"/>
        <v>-4.0000000000873115E-2</v>
      </c>
      <c r="H29" t="str">
        <f t="shared" si="2"/>
        <v>Match</v>
      </c>
      <c r="K29" t="str">
        <f>'System Generated 2026-08-24'!A29</f>
        <v>Black Grapes</v>
      </c>
    </row>
    <row r="30" spans="1:11" hidden="1" x14ac:dyDescent="0.25">
      <c r="A30" t="str">
        <v>Biryani Leaf</v>
      </c>
      <c r="B30" s="20">
        <f>IF($A30="","",IFERROR(_xlfn.XLOOKUP($A30,'System Generated 2026-08-24'!$A:$A,'System Generated 2026-08-24'!$B:$B),"Missing"))</f>
        <v>1.05</v>
      </c>
      <c r="C30" s="20">
        <f>IF($A30="","",IFERROR(_xlfn.XLOOKUP($A30,Table1[Item],Table1[Current Stock]),"Missing"))</f>
        <v>1.05</v>
      </c>
      <c r="D30" s="20">
        <f t="shared" si="0"/>
        <v>0</v>
      </c>
      <c r="E30" s="21">
        <f>IF($A30="","",IFERROR(_xlfn.XLOOKUP($A30,'System Generated 2026-08-24'!$A:$A,'System Generated 2026-08-24'!$E:$E),"Missing"))</f>
        <v>278.25</v>
      </c>
      <c r="F30" s="21">
        <f>IF($A30="","",IFERROR(_xlfn.XLOOKUP($A30,Table1[Item],Table1[Total (₹)]),"Missing"))</f>
        <v>278.25</v>
      </c>
      <c r="G30" s="21">
        <f t="shared" si="1"/>
        <v>0</v>
      </c>
      <c r="H30" t="str">
        <f t="shared" si="2"/>
        <v>Match</v>
      </c>
      <c r="K30" t="str">
        <f>'System Generated 2026-08-24'!A30</f>
        <v>Black Olives</v>
      </c>
    </row>
    <row r="31" spans="1:11" hidden="1" x14ac:dyDescent="0.25">
      <c r="A31" t="str">
        <v>Biryani Rice</v>
      </c>
      <c r="B31" s="20">
        <f>IF($A31="","",IFERROR(_xlfn.XLOOKUP($A31,'System Generated 2026-08-24'!$A:$A,'System Generated 2026-08-24'!$B:$B),"Missing"))</f>
        <v>355</v>
      </c>
      <c r="C31" s="20">
        <f>IF($A31="","",IFERROR(_xlfn.XLOOKUP($A31,Table1[Item],Table1[Current Stock]),"Missing"))</f>
        <v>355</v>
      </c>
      <c r="D31" s="20">
        <f t="shared" si="0"/>
        <v>0</v>
      </c>
      <c r="E31" s="21">
        <f>IF($A31="","",IFERROR(_xlfn.XLOOKUP($A31,'System Generated 2026-08-24'!$A:$A,'System Generated 2026-08-24'!$E:$E),"Missing"))</f>
        <v>41321.599999999999</v>
      </c>
      <c r="F31" s="21">
        <f>IF($A31="","",IFERROR(_xlfn.XLOOKUP($A31,Table1[Item],Table1[Total (₹)]),"Missing"))</f>
        <v>41321.644999999997</v>
      </c>
      <c r="G31" s="21">
        <f t="shared" si="1"/>
        <v>-4.499999999825377E-2</v>
      </c>
      <c r="H31" t="str">
        <f t="shared" si="2"/>
        <v>Match</v>
      </c>
      <c r="K31" t="str">
        <f>'System Generated 2026-08-24'!A31</f>
        <v>Black Pepper</v>
      </c>
    </row>
    <row r="32" spans="1:11" hidden="1" x14ac:dyDescent="0.25">
      <c r="A32" t="str">
        <v>Bis Coffe Biscuits</v>
      </c>
      <c r="B32" s="20">
        <f>IF($A32="","",IFERROR(_xlfn.XLOOKUP($A32,'System Generated 2026-08-24'!$A:$A,'System Generated 2026-08-24'!$B:$B),"Missing"))</f>
        <v>4</v>
      </c>
      <c r="C32" s="20">
        <f>IF($A32="","",IFERROR(_xlfn.XLOOKUP($A32,Table1[Item],Table1[Current Stock]),"Missing"))</f>
        <v>4</v>
      </c>
      <c r="D32" s="20">
        <f t="shared" si="0"/>
        <v>0</v>
      </c>
      <c r="E32" s="21">
        <f>IF($A32="","",IFERROR(_xlfn.XLOOKUP($A32,'System Generated 2026-08-24'!$A:$A,'System Generated 2026-08-24'!$E:$E),"Missing"))</f>
        <v>274.67</v>
      </c>
      <c r="F32" s="21">
        <f>IF($A32="","",IFERROR(_xlfn.XLOOKUP($A32,Table1[Item],Table1[Total (₹)]),"Missing"))</f>
        <v>274.66699999999997</v>
      </c>
      <c r="G32" s="21">
        <f t="shared" si="1"/>
        <v>3.0000000000427463E-3</v>
      </c>
      <c r="H32" t="str">
        <f t="shared" si="2"/>
        <v>Match</v>
      </c>
      <c r="K32" t="str">
        <f>'System Generated 2026-08-24'!A32</f>
        <v>Black Salt</v>
      </c>
    </row>
    <row r="33" spans="1:11" hidden="1" x14ac:dyDescent="0.25">
      <c r="A33" t="str">
        <v>Bis Coffe Paste</v>
      </c>
      <c r="B33" s="20">
        <f>IF($A33="","",IFERROR(_xlfn.XLOOKUP($A33,'System Generated 2026-08-24'!$A:$A,'System Generated 2026-08-24'!$B:$B),"Missing"))</f>
        <v>1</v>
      </c>
      <c r="C33" s="20">
        <f>IF($A33="","",IFERROR(_xlfn.XLOOKUP($A33,Table1[Item],Table1[Current Stock]),"Missing"))</f>
        <v>1</v>
      </c>
      <c r="D33" s="20">
        <f t="shared" si="0"/>
        <v>0</v>
      </c>
      <c r="E33" s="21">
        <f>IF($A33="","",IFERROR(_xlfn.XLOOKUP($A33,'System Generated 2026-08-24'!$A:$A,'System Generated 2026-08-24'!$E:$E),"Missing"))</f>
        <v>514.47</v>
      </c>
      <c r="F33" s="21">
        <f>IF($A33="","",IFERROR(_xlfn.XLOOKUP($A33,Table1[Item],Table1[Total (₹)]),"Missing"))</f>
        <v>514.47400000000005</v>
      </c>
      <c r="G33" s="21">
        <f t="shared" si="1"/>
        <v>-4.0000000000190994E-3</v>
      </c>
      <c r="H33" t="str">
        <f t="shared" si="2"/>
        <v>Match</v>
      </c>
      <c r="K33" t="str">
        <f>'System Generated 2026-08-24'!A33</f>
        <v>Black Urad Dal</v>
      </c>
    </row>
    <row r="34" spans="1:11" hidden="1" x14ac:dyDescent="0.25">
      <c r="A34" t="str">
        <v>Black Grapes</v>
      </c>
      <c r="B34" s="20">
        <f>IF($A34="","",IFERROR(_xlfn.XLOOKUP($A34,'System Generated 2026-08-24'!$A:$A,'System Generated 2026-08-24'!$B:$B),"Missing"))</f>
        <v>0</v>
      </c>
      <c r="C34" s="20">
        <f>IF($A34="","",IFERROR(_xlfn.XLOOKUP($A34,Table1[Item],Table1[Current Stock]),"Missing"))</f>
        <v>0</v>
      </c>
      <c r="D34" s="20">
        <f t="shared" si="0"/>
        <v>0</v>
      </c>
      <c r="E34" s="21">
        <f>IF($A34="","",IFERROR(_xlfn.XLOOKUP($A34,'System Generated 2026-08-24'!$A:$A,'System Generated 2026-08-24'!$E:$E),"Missing"))</f>
        <v>0</v>
      </c>
      <c r="F34" s="21">
        <f>IF($A34="","",IFERROR(_xlfn.XLOOKUP($A34,Table1[Item],Table1[Total (₹)]),"Missing"))</f>
        <v>0</v>
      </c>
      <c r="G34" s="21">
        <f t="shared" si="1"/>
        <v>0</v>
      </c>
      <c r="H34" t="str">
        <f t="shared" si="2"/>
        <v>Match</v>
      </c>
      <c r="K34" t="str">
        <f>'System Generated 2026-08-24'!A34</f>
        <v>Blue Lagoon</v>
      </c>
    </row>
    <row r="35" spans="1:11" hidden="1" x14ac:dyDescent="0.25">
      <c r="A35" t="str">
        <v>Black Olives</v>
      </c>
      <c r="B35" s="20">
        <f>IF($A35="","",IFERROR(_xlfn.XLOOKUP($A35,'System Generated 2026-08-24'!$A:$A,'System Generated 2026-08-24'!$B:$B),"Missing"))</f>
        <v>4</v>
      </c>
      <c r="C35" s="20">
        <f>IF($A35="","",IFERROR(_xlfn.XLOOKUP($A35,Table1[Item],Table1[Current Stock]),"Missing"))</f>
        <v>4</v>
      </c>
      <c r="D35" s="20">
        <f t="shared" si="0"/>
        <v>0</v>
      </c>
      <c r="E35" s="21">
        <f>IF($A35="","",IFERROR(_xlfn.XLOOKUP($A35,'System Generated 2026-08-24'!$A:$A,'System Generated 2026-08-24'!$E:$E),"Missing"))</f>
        <v>842.5</v>
      </c>
      <c r="F35" s="21">
        <f>IF($A35="","",IFERROR(_xlfn.XLOOKUP($A35,Table1[Item],Table1[Total (₹)]),"Missing"))</f>
        <v>842.5</v>
      </c>
      <c r="G35" s="21">
        <f t="shared" si="1"/>
        <v>0</v>
      </c>
      <c r="H35" t="str">
        <f t="shared" si="2"/>
        <v>Match</v>
      </c>
      <c r="K35" t="str">
        <f>'System Generated 2026-08-24'!A35</f>
        <v>Bobberlu</v>
      </c>
    </row>
    <row r="36" spans="1:11" hidden="1" x14ac:dyDescent="0.25">
      <c r="A36" t="str">
        <v>Black Pepper</v>
      </c>
      <c r="B36" s="20">
        <f>IF($A36="","",IFERROR(_xlfn.XLOOKUP($A36,'System Generated 2026-08-24'!$A:$A,'System Generated 2026-08-24'!$B:$B),"Missing"))</f>
        <v>6.3</v>
      </c>
      <c r="C36" s="20">
        <f>IF($A36="","",IFERROR(_xlfn.XLOOKUP($A36,Table1[Item],Table1[Current Stock]),"Missing"))</f>
        <v>6.3</v>
      </c>
      <c r="D36" s="20">
        <f t="shared" si="0"/>
        <v>0</v>
      </c>
      <c r="E36" s="21">
        <f>IF($A36="","",IFERROR(_xlfn.XLOOKUP($A36,'System Generated 2026-08-24'!$A:$A,'System Generated 2026-08-24'!$E:$E),"Missing"))</f>
        <v>6064.55</v>
      </c>
      <c r="F36" s="21">
        <f>IF($A36="","",IFERROR(_xlfn.XLOOKUP($A36,Table1[Item],Table1[Total (₹)]),"Missing"))</f>
        <v>6064.55</v>
      </c>
      <c r="G36" s="21">
        <f t="shared" si="1"/>
        <v>0</v>
      </c>
      <c r="H36" t="str">
        <f t="shared" si="2"/>
        <v>Match</v>
      </c>
      <c r="K36" t="str">
        <f>'System Generated 2026-08-24'!A36</f>
        <v>Boiled Rice</v>
      </c>
    </row>
    <row r="37" spans="1:11" hidden="1" x14ac:dyDescent="0.25">
      <c r="A37" t="str">
        <v>Black Salt</v>
      </c>
      <c r="B37" s="20">
        <f>IF($A37="","",IFERROR(_xlfn.XLOOKUP($A37,'System Generated 2026-08-24'!$A:$A,'System Generated 2026-08-24'!$B:$B),"Missing"))</f>
        <v>4</v>
      </c>
      <c r="C37" s="20">
        <f>IF($A37="","",IFERROR(_xlfn.XLOOKUP($A37,Table1[Item],Table1[Current Stock]),"Missing"))</f>
        <v>4</v>
      </c>
      <c r="D37" s="20">
        <f t="shared" si="0"/>
        <v>0</v>
      </c>
      <c r="E37" s="21">
        <f>IF($A37="","",IFERROR(_xlfn.XLOOKUP($A37,'System Generated 2026-08-24'!$A:$A,'System Generated 2026-08-24'!$E:$E),"Missing"))</f>
        <v>260.95</v>
      </c>
      <c r="F37" s="21">
        <f>IF($A37="","",IFERROR(_xlfn.XLOOKUP($A37,Table1[Item],Table1[Total (₹)]),"Missing"))</f>
        <v>260.952</v>
      </c>
      <c r="G37" s="21">
        <f t="shared" si="1"/>
        <v>-2.0000000000095497E-3</v>
      </c>
      <c r="H37" t="str">
        <f t="shared" si="2"/>
        <v>Match</v>
      </c>
      <c r="K37" t="str">
        <f>'System Generated 2026-08-24'!A37</f>
        <v>Boost</v>
      </c>
    </row>
    <row r="38" spans="1:11" hidden="1" x14ac:dyDescent="0.25">
      <c r="A38" t="str">
        <v>Black Urad Dal</v>
      </c>
      <c r="B38" s="20">
        <f>IF($A38="","",IFERROR(_xlfn.XLOOKUP($A38,'System Generated 2026-08-24'!$A:$A,'System Generated 2026-08-24'!$B:$B),"Missing"))</f>
        <v>0</v>
      </c>
      <c r="C38" s="20">
        <f>IF($A38="","",IFERROR(_xlfn.XLOOKUP($A38,Table1[Item],Table1[Current Stock]),"Missing"))</f>
        <v>0</v>
      </c>
      <c r="D38" s="20">
        <f t="shared" si="0"/>
        <v>0</v>
      </c>
      <c r="E38" s="21">
        <f>IF($A38="","",IFERROR(_xlfn.XLOOKUP($A38,'System Generated 2026-08-24'!$A:$A,'System Generated 2026-08-24'!$E:$E),"Missing"))</f>
        <v>0</v>
      </c>
      <c r="F38" s="21">
        <f>IF($A38="","",IFERROR(_xlfn.XLOOKUP($A38,Table1[Item],Table1[Total (₹)]),"Missing"))</f>
        <v>0</v>
      </c>
      <c r="G38" s="21">
        <f t="shared" si="1"/>
        <v>0</v>
      </c>
      <c r="H38" t="str">
        <f t="shared" si="2"/>
        <v>Match</v>
      </c>
      <c r="K38" t="str">
        <f>'System Generated 2026-08-24'!A38</f>
        <v>Bournvita</v>
      </c>
    </row>
    <row r="39" spans="1:11" hidden="1" x14ac:dyDescent="0.25">
      <c r="A39" t="str">
        <v>Blue Lagoon</v>
      </c>
      <c r="B39" s="20">
        <f>IF($A39="","",IFERROR(_xlfn.XLOOKUP($A39,'System Generated 2026-08-24'!$A:$A,'System Generated 2026-08-24'!$B:$B),"Missing"))</f>
        <v>1</v>
      </c>
      <c r="C39" s="20">
        <f>IF($A39="","",IFERROR(_xlfn.XLOOKUP($A39,Table1[Item],Table1[Current Stock]),"Missing"))</f>
        <v>1</v>
      </c>
      <c r="D39" s="20">
        <f t="shared" si="0"/>
        <v>0</v>
      </c>
      <c r="E39" s="21">
        <f>IF($A39="","",IFERROR(_xlfn.XLOOKUP($A39,'System Generated 2026-08-24'!$A:$A,'System Generated 2026-08-24'!$E:$E),"Missing"))</f>
        <v>279.08999999999997</v>
      </c>
      <c r="F39" s="21">
        <f>IF($A39="","",IFERROR(_xlfn.XLOOKUP($A39,Table1[Item],Table1[Total (₹)]),"Missing"))</f>
        <v>279.09100000000001</v>
      </c>
      <c r="G39" s="21">
        <f t="shared" si="1"/>
        <v>-1.0000000000331966E-3</v>
      </c>
      <c r="H39" t="str">
        <f t="shared" si="2"/>
        <v>Match</v>
      </c>
      <c r="K39" t="str">
        <f>'System Generated 2026-08-24'!A39</f>
        <v>Box Container 1000 Ml</v>
      </c>
    </row>
    <row r="40" spans="1:11" hidden="1" x14ac:dyDescent="0.25">
      <c r="A40" t="str">
        <v>Bobberlu</v>
      </c>
      <c r="B40" s="20">
        <f>IF($A40="","",IFERROR(_xlfn.XLOOKUP($A40,'System Generated 2026-08-24'!$A:$A,'System Generated 2026-08-24'!$B:$B),"Missing"))</f>
        <v>5</v>
      </c>
      <c r="C40" s="20">
        <f>IF($A40="","",IFERROR(_xlfn.XLOOKUP($A40,Table1[Item],Table1[Current Stock]),"Missing"))</f>
        <v>5</v>
      </c>
      <c r="D40" s="20">
        <f t="shared" si="0"/>
        <v>0</v>
      </c>
      <c r="E40" s="21">
        <f>IF($A40="","",IFERROR(_xlfn.XLOOKUP($A40,'System Generated 2026-08-24'!$A:$A,'System Generated 2026-08-24'!$E:$E),"Missing"))</f>
        <v>502.73</v>
      </c>
      <c r="F40" s="21">
        <f>IF($A40="","",IFERROR(_xlfn.XLOOKUP($A40,Table1[Item],Table1[Total (₹)]),"Missing"))</f>
        <v>502.72500000000002</v>
      </c>
      <c r="G40" s="21">
        <f t="shared" si="1"/>
        <v>4.9999999999954525E-3</v>
      </c>
      <c r="H40" t="str">
        <f t="shared" si="2"/>
        <v>Match</v>
      </c>
      <c r="K40" t="str">
        <f>'System Generated 2026-08-24'!A40</f>
        <v>Box Container 1500ml</v>
      </c>
    </row>
    <row r="41" spans="1:11" hidden="1" x14ac:dyDescent="0.25">
      <c r="A41" t="str">
        <v>Boiled Rice</v>
      </c>
      <c r="B41" s="20">
        <f>IF($A41="","",IFERROR(_xlfn.XLOOKUP($A41,'System Generated 2026-08-24'!$A:$A,'System Generated 2026-08-24'!$B:$B),"Missing"))</f>
        <v>21.55</v>
      </c>
      <c r="C41" s="20">
        <f>IF($A41="","",IFERROR(_xlfn.XLOOKUP($A41,Table1[Item],Table1[Current Stock]),"Missing"))</f>
        <v>21.55</v>
      </c>
      <c r="D41" s="20">
        <f t="shared" si="0"/>
        <v>0</v>
      </c>
      <c r="E41" s="21">
        <f>IF($A41="","",IFERROR(_xlfn.XLOOKUP($A41,'System Generated 2026-08-24'!$A:$A,'System Generated 2026-08-24'!$E:$E),"Missing"))</f>
        <v>980.53</v>
      </c>
      <c r="F41" s="21">
        <f>IF($A41="","",IFERROR(_xlfn.XLOOKUP($A41,Table1[Item],Table1[Total (₹)]),"Missing"))</f>
        <v>980.52499999999998</v>
      </c>
      <c r="G41" s="21">
        <f t="shared" si="1"/>
        <v>4.9999999999954525E-3</v>
      </c>
      <c r="H41" t="str">
        <f t="shared" si="2"/>
        <v>Match</v>
      </c>
      <c r="K41" t="str">
        <f>'System Generated 2026-08-24'!A41</f>
        <v>Box Container 200 Ml</v>
      </c>
    </row>
    <row r="42" spans="1:11" hidden="1" x14ac:dyDescent="0.25">
      <c r="A42" t="str">
        <v>Boost</v>
      </c>
      <c r="B42" s="20">
        <f>IF($A42="","",IFERROR(_xlfn.XLOOKUP($A42,'System Generated 2026-08-24'!$A:$A,'System Generated 2026-08-24'!$B:$B),"Missing"))</f>
        <v>2</v>
      </c>
      <c r="C42" s="20">
        <f>IF($A42="","",IFERROR(_xlfn.XLOOKUP($A42,Table1[Item],Table1[Current Stock]),"Missing"))</f>
        <v>2</v>
      </c>
      <c r="D42" s="20">
        <f t="shared" si="0"/>
        <v>0</v>
      </c>
      <c r="E42" s="21">
        <f>IF($A42="","",IFERROR(_xlfn.XLOOKUP($A42,'System Generated 2026-08-24'!$A:$A,'System Generated 2026-08-24'!$E:$E),"Missing"))</f>
        <v>10.050000000000001</v>
      </c>
      <c r="F42" s="21">
        <f>IF($A42="","",IFERROR(_xlfn.XLOOKUP($A42,Table1[Item],Table1[Total (₹)]),"Missing"))</f>
        <v>10.051</v>
      </c>
      <c r="G42" s="21">
        <f t="shared" si="1"/>
        <v>-9.9999999999944578E-4</v>
      </c>
      <c r="H42" t="str">
        <f t="shared" si="2"/>
        <v>Match</v>
      </c>
      <c r="K42" t="str">
        <f>'System Generated 2026-08-24'!A42</f>
        <v>Box Container 250ml</v>
      </c>
    </row>
    <row r="43" spans="1:11" hidden="1" x14ac:dyDescent="0.25">
      <c r="A43" t="str">
        <v>Bournvita</v>
      </c>
      <c r="B43" s="20">
        <f>IF($A43="","",IFERROR(_xlfn.XLOOKUP($A43,'System Generated 2026-08-24'!$A:$A,'System Generated 2026-08-24'!$B:$B),"Missing"))</f>
        <v>0.5</v>
      </c>
      <c r="C43" s="20">
        <f>IF($A43="","",IFERROR(_xlfn.XLOOKUP($A43,Table1[Item],Table1[Current Stock]),"Missing"))</f>
        <v>0.5</v>
      </c>
      <c r="D43" s="20">
        <f t="shared" si="0"/>
        <v>0</v>
      </c>
      <c r="E43" s="21">
        <f>IF($A43="","",IFERROR(_xlfn.XLOOKUP($A43,'System Generated 2026-08-24'!$A:$A,'System Generated 2026-08-24'!$E:$E),"Missing"))</f>
        <v>121.33</v>
      </c>
      <c r="F43" s="21">
        <f>IF($A43="","",IFERROR(_xlfn.XLOOKUP($A43,Table1[Item],Table1[Total (₹)]),"Missing"))</f>
        <v>121.334</v>
      </c>
      <c r="G43" s="21">
        <f t="shared" si="1"/>
        <v>-4.0000000000048885E-3</v>
      </c>
      <c r="H43" t="str">
        <f t="shared" si="2"/>
        <v>Match</v>
      </c>
      <c r="K43" t="str">
        <f>'System Generated 2026-08-24'!A43</f>
        <v>Box Container 300 Ml</v>
      </c>
    </row>
    <row r="44" spans="1:11" hidden="1" x14ac:dyDescent="0.25">
      <c r="A44" t="str">
        <v>Box Container 1000 Ml</v>
      </c>
      <c r="B44" s="20">
        <f>IF($A44="","",IFERROR(_xlfn.XLOOKUP($A44,'System Generated 2026-08-24'!$A:$A,'System Generated 2026-08-24'!$B:$B),"Missing"))</f>
        <v>0</v>
      </c>
      <c r="C44" s="20">
        <f>IF($A44="","",IFERROR(_xlfn.XLOOKUP($A44,Table1[Item],Table1[Current Stock]),"Missing"))</f>
        <v>0</v>
      </c>
      <c r="D44" s="20">
        <f t="shared" si="0"/>
        <v>0</v>
      </c>
      <c r="E44" s="21">
        <f>IF($A44="","",IFERROR(_xlfn.XLOOKUP($A44,'System Generated 2026-08-24'!$A:$A,'System Generated 2026-08-24'!$E:$E),"Missing"))</f>
        <v>0</v>
      </c>
      <c r="F44" s="21">
        <f>IF($A44="","",IFERROR(_xlfn.XLOOKUP($A44,Table1[Item],Table1[Total (₹)]),"Missing"))</f>
        <v>0</v>
      </c>
      <c r="G44" s="21">
        <f t="shared" si="1"/>
        <v>0</v>
      </c>
      <c r="H44" t="str">
        <f t="shared" si="2"/>
        <v>Match</v>
      </c>
      <c r="K44" t="str">
        <f>'System Generated 2026-08-24'!A44</f>
        <v>Box Container 400ml</v>
      </c>
    </row>
    <row r="45" spans="1:11" hidden="1" x14ac:dyDescent="0.25">
      <c r="A45" t="str">
        <v>Box Container 1500ml</v>
      </c>
      <c r="B45" s="20">
        <f>IF($A45="","",IFERROR(_xlfn.XLOOKUP($A45,'System Generated 2026-08-24'!$A:$A,'System Generated 2026-08-24'!$B:$B),"Missing"))</f>
        <v>280</v>
      </c>
      <c r="C45" s="20">
        <f>IF($A45="","",IFERROR(_xlfn.XLOOKUP($A45,Table1[Item],Table1[Current Stock]),"Missing"))</f>
        <v>280</v>
      </c>
      <c r="D45" s="20">
        <f t="shared" si="0"/>
        <v>0</v>
      </c>
      <c r="E45" s="21">
        <f>IF($A45="","",IFERROR(_xlfn.XLOOKUP($A45,'System Generated 2026-08-24'!$A:$A,'System Generated 2026-08-24'!$E:$E),"Missing"))</f>
        <v>3049.59</v>
      </c>
      <c r="F45" s="21">
        <f>IF($A45="","",IFERROR(_xlfn.XLOOKUP($A45,Table1[Item],Table1[Total (₹)]),"Missing"))</f>
        <v>3049.5920000000001</v>
      </c>
      <c r="G45" s="21">
        <f t="shared" si="1"/>
        <v>-1.9999999999527063E-3</v>
      </c>
      <c r="H45" t="str">
        <f t="shared" si="2"/>
        <v>Match</v>
      </c>
      <c r="K45" t="str">
        <f>'System Generated 2026-08-24'!A45</f>
        <v>Box Container 500 Ml</v>
      </c>
    </row>
    <row r="46" spans="1:11" hidden="1" x14ac:dyDescent="0.25">
      <c r="A46" t="str">
        <v>Box Container 200 Ml</v>
      </c>
      <c r="B46" s="20">
        <f>IF($A46="","",IFERROR(_xlfn.XLOOKUP($A46,'System Generated 2026-08-24'!$A:$A,'System Generated 2026-08-24'!$B:$B),"Missing"))</f>
        <v>100</v>
      </c>
      <c r="C46" s="20">
        <f>IF($A46="","",IFERROR(_xlfn.XLOOKUP($A46,Table1[Item],Table1[Current Stock]),"Missing"))</f>
        <v>100</v>
      </c>
      <c r="D46" s="20">
        <f t="shared" si="0"/>
        <v>0</v>
      </c>
      <c r="E46" s="21">
        <f>IF($A46="","",IFERROR(_xlfn.XLOOKUP($A46,'System Generated 2026-08-24'!$A:$A,'System Generated 2026-08-24'!$E:$E),"Missing"))</f>
        <v>320</v>
      </c>
      <c r="F46" s="21">
        <f>IF($A46="","",IFERROR(_xlfn.XLOOKUP($A46,Table1[Item],Table1[Total (₹)]),"Missing"))</f>
        <v>320</v>
      </c>
      <c r="G46" s="21">
        <f t="shared" si="1"/>
        <v>0</v>
      </c>
      <c r="H46" t="str">
        <f t="shared" si="2"/>
        <v>Match</v>
      </c>
      <c r="K46" t="str">
        <f>'System Generated 2026-08-24'!A46</f>
        <v>Box Container 750ml</v>
      </c>
    </row>
    <row r="47" spans="1:11" hidden="1" x14ac:dyDescent="0.25">
      <c r="A47" t="str">
        <v>Box Container 250ml</v>
      </c>
      <c r="B47" s="20">
        <f>IF($A47="","",IFERROR(_xlfn.XLOOKUP($A47,'System Generated 2026-08-24'!$A:$A,'System Generated 2026-08-24'!$B:$B),"Missing"))</f>
        <v>0</v>
      </c>
      <c r="C47" s="20">
        <f>IF($A47="","",IFERROR(_xlfn.XLOOKUP($A47,Table1[Item],Table1[Current Stock]),"Missing"))</f>
        <v>0</v>
      </c>
      <c r="D47" s="20">
        <f t="shared" si="0"/>
        <v>0</v>
      </c>
      <c r="E47" s="21">
        <f>IF($A47="","",IFERROR(_xlfn.XLOOKUP($A47,'System Generated 2026-08-24'!$A:$A,'System Generated 2026-08-24'!$E:$E),"Missing"))</f>
        <v>0</v>
      </c>
      <c r="F47" s="21">
        <f>IF($A47="","",IFERROR(_xlfn.XLOOKUP($A47,Table1[Item],Table1[Total (₹)]),"Missing"))</f>
        <v>0</v>
      </c>
      <c r="G47" s="21">
        <f t="shared" si="1"/>
        <v>0</v>
      </c>
      <c r="H47" t="str">
        <f t="shared" si="2"/>
        <v>Match</v>
      </c>
      <c r="K47" t="str">
        <f>'System Generated 2026-08-24'!A47</f>
        <v>Bread Crumbs</v>
      </c>
    </row>
    <row r="48" spans="1:11" hidden="1" x14ac:dyDescent="0.25">
      <c r="A48" t="str">
        <v>Box Container 300 Ml</v>
      </c>
      <c r="B48" s="20">
        <f>IF($A48="","",IFERROR(_xlfn.XLOOKUP($A48,'System Generated 2026-08-24'!$A:$A,'System Generated 2026-08-24'!$B:$B),"Missing"))</f>
        <v>232</v>
      </c>
      <c r="C48" s="20">
        <f>IF($A48="","",IFERROR(_xlfn.XLOOKUP($A48,Table1[Item],Table1[Current Stock]),"Missing"))</f>
        <v>232</v>
      </c>
      <c r="D48" s="20">
        <f t="shared" si="0"/>
        <v>0</v>
      </c>
      <c r="E48" s="21">
        <f>IF($A48="","",IFERROR(_xlfn.XLOOKUP($A48,'System Generated 2026-08-24'!$A:$A,'System Generated 2026-08-24'!$E:$E),"Missing"))</f>
        <v>1044</v>
      </c>
      <c r="F48" s="21">
        <f>IF($A48="","",IFERROR(_xlfn.XLOOKUP($A48,Table1[Item],Table1[Total (₹)]),"Missing"))</f>
        <v>1044</v>
      </c>
      <c r="G48" s="21">
        <f t="shared" si="1"/>
        <v>0</v>
      </c>
      <c r="H48" t="str">
        <f t="shared" si="2"/>
        <v>Match</v>
      </c>
      <c r="K48" t="str">
        <f>'System Generated 2026-08-24'!A48</f>
        <v>Bread Pkt</v>
      </c>
    </row>
    <row r="49" spans="1:11" hidden="1" x14ac:dyDescent="0.25">
      <c r="A49" t="str">
        <v>Box Container 400ml</v>
      </c>
      <c r="B49" s="20">
        <f>IF($A49="","",IFERROR(_xlfn.XLOOKUP($A49,'System Generated 2026-08-24'!$A:$A,'System Generated 2026-08-24'!$B:$B),"Missing"))</f>
        <v>300</v>
      </c>
      <c r="C49" s="20">
        <f>IF($A49="","",IFERROR(_xlfn.XLOOKUP($A49,Table1[Item],Table1[Current Stock]),"Missing"))</f>
        <v>300</v>
      </c>
      <c r="D49" s="20">
        <f t="shared" si="0"/>
        <v>0</v>
      </c>
      <c r="E49" s="21">
        <f>IF($A49="","",IFERROR(_xlfn.XLOOKUP($A49,'System Generated 2026-08-24'!$A:$A,'System Generated 2026-08-24'!$E:$E),"Missing"))</f>
        <v>1200</v>
      </c>
      <c r="F49" s="21">
        <f>IF($A49="","",IFERROR(_xlfn.XLOOKUP($A49,Table1[Item],Table1[Total (₹)]),"Missing"))</f>
        <v>1200</v>
      </c>
      <c r="G49" s="21">
        <f t="shared" si="1"/>
        <v>0</v>
      </c>
      <c r="H49" t="str">
        <f t="shared" si="2"/>
        <v>Match</v>
      </c>
      <c r="K49" t="str">
        <f>'System Generated 2026-08-24'!A49</f>
        <v>Brinjal</v>
      </c>
    </row>
    <row r="50" spans="1:11" hidden="1" x14ac:dyDescent="0.25">
      <c r="A50" t="str">
        <v>Box Container 500 Ml</v>
      </c>
      <c r="B50" s="20">
        <f>IF($A50="","",IFERROR(_xlfn.XLOOKUP($A50,'System Generated 2026-08-24'!$A:$A,'System Generated 2026-08-24'!$B:$B),"Missing"))</f>
        <v>0</v>
      </c>
      <c r="C50" s="20">
        <f>IF($A50="","",IFERROR(_xlfn.XLOOKUP($A50,Table1[Item],Table1[Current Stock]),"Missing"))</f>
        <v>0</v>
      </c>
      <c r="D50" s="20">
        <f t="shared" si="0"/>
        <v>0</v>
      </c>
      <c r="E50" s="21">
        <f>IF($A50="","",IFERROR(_xlfn.XLOOKUP($A50,'System Generated 2026-08-24'!$A:$A,'System Generated 2026-08-24'!$E:$E),"Missing"))</f>
        <v>0</v>
      </c>
      <c r="F50" s="21">
        <f>IF($A50="","",IFERROR(_xlfn.XLOOKUP($A50,Table1[Item],Table1[Total (₹)]),"Missing"))</f>
        <v>0</v>
      </c>
      <c r="G50" s="21">
        <f t="shared" si="1"/>
        <v>0</v>
      </c>
      <c r="H50" t="str">
        <f t="shared" si="2"/>
        <v>Match</v>
      </c>
      <c r="K50" t="str">
        <f>'System Generated 2026-08-24'!A50</f>
        <v>Broken Rice</v>
      </c>
    </row>
    <row r="51" spans="1:11" hidden="1" x14ac:dyDescent="0.25">
      <c r="A51" t="str">
        <v>Box Container 750ml</v>
      </c>
      <c r="B51" s="20">
        <f>IF($A51="","",IFERROR(_xlfn.XLOOKUP($A51,'System Generated 2026-08-24'!$A:$A,'System Generated 2026-08-24'!$B:$B),"Missing"))</f>
        <v>500</v>
      </c>
      <c r="C51" s="20">
        <f>IF($A51="","",IFERROR(_xlfn.XLOOKUP($A51,Table1[Item],Table1[Current Stock]),"Missing"))</f>
        <v>500</v>
      </c>
      <c r="D51" s="20">
        <f t="shared" si="0"/>
        <v>0</v>
      </c>
      <c r="E51" s="21">
        <f>IF($A51="","",IFERROR(_xlfn.XLOOKUP($A51,'System Generated 2026-08-24'!$A:$A,'System Generated 2026-08-24'!$E:$E),"Missing"))</f>
        <v>1600</v>
      </c>
      <c r="F51" s="21">
        <f>IF($A51="","",IFERROR(_xlfn.XLOOKUP($A51,Table1[Item],Table1[Total (₹)]),"Missing"))</f>
        <v>1600</v>
      </c>
      <c r="G51" s="21">
        <f t="shared" si="1"/>
        <v>0</v>
      </c>
      <c r="H51" t="str">
        <f t="shared" si="2"/>
        <v>Match</v>
      </c>
      <c r="K51" t="str">
        <f>'System Generated 2026-08-24'!A51</f>
        <v>Brown Onion</v>
      </c>
    </row>
    <row r="52" spans="1:11" hidden="1" x14ac:dyDescent="0.25">
      <c r="A52" t="str">
        <v>Bread Crumbs</v>
      </c>
      <c r="B52" s="20">
        <f>IF($A52="","",IFERROR(_xlfn.XLOOKUP($A52,'System Generated 2026-08-24'!$A:$A,'System Generated 2026-08-24'!$B:$B),"Missing"))</f>
        <v>4</v>
      </c>
      <c r="C52" s="20">
        <f>IF($A52="","",IFERROR(_xlfn.XLOOKUP($A52,Table1[Item],Table1[Current Stock]),"Missing"))</f>
        <v>4</v>
      </c>
      <c r="D52" s="20">
        <f t="shared" si="0"/>
        <v>0</v>
      </c>
      <c r="E52" s="21">
        <f>IF($A52="","",IFERROR(_xlfn.XLOOKUP($A52,'System Generated 2026-08-24'!$A:$A,'System Generated 2026-08-24'!$E:$E),"Missing"))</f>
        <v>751.58</v>
      </c>
      <c r="F52" s="21">
        <f>IF($A52="","",IFERROR(_xlfn.XLOOKUP($A52,Table1[Item],Table1[Total (₹)]),"Missing"))</f>
        <v>751.58</v>
      </c>
      <c r="G52" s="21">
        <f t="shared" si="1"/>
        <v>0</v>
      </c>
      <c r="H52" t="str">
        <f t="shared" si="2"/>
        <v>Match</v>
      </c>
      <c r="K52" t="str">
        <f>'System Generated 2026-08-24'!A52</f>
        <v>Brownie</v>
      </c>
    </row>
    <row r="53" spans="1:11" hidden="1" x14ac:dyDescent="0.25">
      <c r="A53" t="str">
        <v>Bread Pkt</v>
      </c>
      <c r="B53" s="20">
        <f>IF($A53="","",IFERROR(_xlfn.XLOOKUP($A53,'System Generated 2026-08-24'!$A:$A,'System Generated 2026-08-24'!$B:$B),"Missing"))</f>
        <v>2</v>
      </c>
      <c r="C53" s="20">
        <f>IF($A53="","",IFERROR(_xlfn.XLOOKUP($A53,Table1[Item],Table1[Current Stock]),"Missing"))</f>
        <v>2</v>
      </c>
      <c r="D53" s="20">
        <f t="shared" si="0"/>
        <v>0</v>
      </c>
      <c r="E53" s="21">
        <f>IF($A53="","",IFERROR(_xlfn.XLOOKUP($A53,'System Generated 2026-08-24'!$A:$A,'System Generated 2026-08-24'!$E:$E),"Missing"))</f>
        <v>93.35</v>
      </c>
      <c r="F53" s="21">
        <f>IF($A53="","",IFERROR(_xlfn.XLOOKUP($A53,Table1[Item],Table1[Total (₹)]),"Missing"))</f>
        <v>93.349000000000004</v>
      </c>
      <c r="G53" s="21">
        <f t="shared" si="1"/>
        <v>9.9999999999056399E-4</v>
      </c>
      <c r="H53" t="str">
        <f t="shared" si="2"/>
        <v>Match</v>
      </c>
      <c r="K53" t="str">
        <f>'System Generated 2026-08-24'!A53</f>
        <v>Budamadosakaya</v>
      </c>
    </row>
    <row r="54" spans="1:11" hidden="1" x14ac:dyDescent="0.25">
      <c r="A54" t="str">
        <v>Brinjal</v>
      </c>
      <c r="B54" s="20">
        <f>IF($A54="","",IFERROR(_xlfn.XLOOKUP($A54,'System Generated 2026-08-24'!$A:$A,'System Generated 2026-08-24'!$B:$B),"Missing"))</f>
        <v>40</v>
      </c>
      <c r="C54" s="20" t="str">
        <f>IF($A54="","",IFERROR(_xlfn.XLOOKUP($A54,Table1[Item],Table1[Current Stock]),"Missing"))</f>
        <v>Missing</v>
      </c>
      <c r="D54" s="20" t="str">
        <f t="shared" si="0"/>
        <v>N/A</v>
      </c>
      <c r="E54" s="21">
        <f>IF($A54="","",IFERROR(_xlfn.XLOOKUP($A54,'System Generated 2026-08-24'!$A:$A,'System Generated 2026-08-24'!$E:$E),"Missing"))</f>
        <v>1600</v>
      </c>
      <c r="F54" s="21" t="str">
        <f>IF($A54="","",IFERROR(_xlfn.XLOOKUP($A54,Table1[Item],Table1[Total (₹)]),"Missing"))</f>
        <v>Missing</v>
      </c>
      <c r="G54" s="21" t="str">
        <f t="shared" si="1"/>
        <v>N/A</v>
      </c>
      <c r="H54" t="str">
        <f t="shared" si="2"/>
        <v>Missing in Hotel Data</v>
      </c>
      <c r="K54" t="str">
        <f>'System Generated 2026-08-24'!A54</f>
        <v>Buffet Plates</v>
      </c>
    </row>
    <row r="55" spans="1:11" hidden="1" x14ac:dyDescent="0.25">
      <c r="A55" t="str">
        <v>Broken Rice</v>
      </c>
      <c r="B55" s="20">
        <f>IF($A55="","",IFERROR(_xlfn.XLOOKUP($A55,'System Generated 2026-08-24'!$A:$A,'System Generated 2026-08-24'!$B:$B),"Missing"))</f>
        <v>53.5</v>
      </c>
      <c r="C55" s="20">
        <f>IF($A55="","",IFERROR(_xlfn.XLOOKUP($A55,Table1[Item],Table1[Current Stock]),"Missing"))</f>
        <v>53.5</v>
      </c>
      <c r="D55" s="20">
        <f t="shared" si="0"/>
        <v>0</v>
      </c>
      <c r="E55" s="21">
        <f>IF($A55="","",IFERROR(_xlfn.XLOOKUP($A55,'System Generated 2026-08-24'!$A:$A,'System Generated 2026-08-24'!$E:$E),"Missing"))</f>
        <v>1505.65</v>
      </c>
      <c r="F55" s="21">
        <f>IF($A55="","",IFERROR(_xlfn.XLOOKUP($A55,Table1[Item],Table1[Total (₹)]),"Missing"))</f>
        <v>1505.645</v>
      </c>
      <c r="G55" s="21">
        <f t="shared" si="1"/>
        <v>5.0000000001091394E-3</v>
      </c>
      <c r="H55" t="str">
        <f t="shared" si="2"/>
        <v>Match</v>
      </c>
      <c r="K55" t="str">
        <f>'System Generated 2026-08-24'!A55</f>
        <v>Burger Box</v>
      </c>
    </row>
    <row r="56" spans="1:11" hidden="1" x14ac:dyDescent="0.25">
      <c r="A56" t="str">
        <v>Brown Onion</v>
      </c>
      <c r="B56" s="20">
        <f>IF($A56="","",IFERROR(_xlfn.XLOOKUP($A56,'System Generated 2026-08-24'!$A:$A,'System Generated 2026-08-24'!$B:$B),"Missing"))</f>
        <v>38.5</v>
      </c>
      <c r="C56" s="20">
        <f>IF($A56="","",IFERROR(_xlfn.XLOOKUP($A56,Table1[Item],Table1[Current Stock]),"Missing"))</f>
        <v>38.5</v>
      </c>
      <c r="D56" s="20">
        <f t="shared" si="0"/>
        <v>0</v>
      </c>
      <c r="E56" s="21">
        <f>IF($A56="","",IFERROR(_xlfn.XLOOKUP($A56,'System Generated 2026-08-24'!$A:$A,'System Generated 2026-08-24'!$E:$E),"Missing"))</f>
        <v>13159.4</v>
      </c>
      <c r="F56" s="21">
        <f>IF($A56="","",IFERROR(_xlfn.XLOOKUP($A56,Table1[Item],Table1[Total (₹)]),"Missing"))</f>
        <v>13159.377</v>
      </c>
      <c r="G56" s="21">
        <f t="shared" si="1"/>
        <v>2.2999999999228748E-2</v>
      </c>
      <c r="H56" t="str">
        <f t="shared" si="2"/>
        <v>Match</v>
      </c>
      <c r="K56" t="str">
        <f>'System Generated 2026-08-24'!A56</f>
        <v>Burger Bun</v>
      </c>
    </row>
    <row r="57" spans="1:11" x14ac:dyDescent="0.25">
      <c r="A57" t="str">
        <v>Brown Sugar</v>
      </c>
      <c r="B57" s="20" t="str">
        <f>IF($A57="","",IFERROR(_xlfn.XLOOKUP($A57,'System Generated 2026-08-24'!$A:$A,'System Generated 2026-08-24'!$B:$B),"Missing"))</f>
        <v>Missing</v>
      </c>
      <c r="C57" s="20">
        <f>IF($A57="","",IFERROR(_xlfn.XLOOKUP($A57,Table1[Item],Table1[Current Stock]),"Missing"))</f>
        <v>0</v>
      </c>
      <c r="D57" s="20" t="str">
        <f t="shared" si="0"/>
        <v>N/A</v>
      </c>
      <c r="E57" s="21" t="str">
        <f>IF($A57="","",IFERROR(_xlfn.XLOOKUP($A57,'System Generated 2026-08-24'!$A:$A,'System Generated 2026-08-24'!$E:$E),"Missing"))</f>
        <v>Missing</v>
      </c>
      <c r="F57" s="21">
        <f>IF($A57="","",IFERROR(_xlfn.XLOOKUP($A57,Table1[Item],Table1[Total (₹)]),"Missing"))</f>
        <v>0</v>
      </c>
      <c r="G57" s="21" t="str">
        <f t="shared" si="1"/>
        <v>N/A</v>
      </c>
      <c r="H57" t="str">
        <f t="shared" si="2"/>
        <v>Missing in App</v>
      </c>
      <c r="K57" t="str">
        <f>'System Generated 2026-08-24'!A57</f>
        <v>Butter 500 Gm</v>
      </c>
    </row>
    <row r="58" spans="1:11" hidden="1" x14ac:dyDescent="0.25">
      <c r="A58" t="str">
        <v>Brownie</v>
      </c>
      <c r="B58" s="20">
        <f>IF($A58="","",IFERROR(_xlfn.XLOOKUP($A58,'System Generated 2026-08-24'!$A:$A,'System Generated 2026-08-24'!$B:$B),"Missing"))</f>
        <v>2.35</v>
      </c>
      <c r="C58" s="20">
        <f>IF($A58="","",IFERROR(_xlfn.XLOOKUP($A58,Table1[Item],Table1[Current Stock]),"Missing"))</f>
        <v>2.35</v>
      </c>
      <c r="D58" s="20">
        <f t="shared" si="0"/>
        <v>0</v>
      </c>
      <c r="E58" s="21">
        <f>IF($A58="","",IFERROR(_xlfn.XLOOKUP($A58,'System Generated 2026-08-24'!$A:$A,'System Generated 2026-08-24'!$E:$E),"Missing"))</f>
        <v>1079.83</v>
      </c>
      <c r="F58" s="21">
        <f>IF($A58="","",IFERROR(_xlfn.XLOOKUP($A58,Table1[Item],Table1[Total (₹)]),"Missing"))</f>
        <v>1079.83</v>
      </c>
      <c r="G58" s="21">
        <f t="shared" si="1"/>
        <v>0</v>
      </c>
      <c r="H58" t="str">
        <f t="shared" si="2"/>
        <v>Match</v>
      </c>
      <c r="K58" t="str">
        <f>'System Generated 2026-08-24'!A58</f>
        <v>Butter Covers</v>
      </c>
    </row>
    <row r="59" spans="1:11" x14ac:dyDescent="0.25">
      <c r="A59" t="str">
        <v>Brownie Choclat</v>
      </c>
      <c r="B59" s="20" t="str">
        <f>IF($A59="","",IFERROR(_xlfn.XLOOKUP($A59,'System Generated 2026-08-24'!$A:$A,'System Generated 2026-08-24'!$B:$B),"Missing"))</f>
        <v>Missing</v>
      </c>
      <c r="C59" s="20">
        <f>IF($A59="","",IFERROR(_xlfn.XLOOKUP($A59,Table1[Item],Table1[Current Stock]),"Missing"))</f>
        <v>0</v>
      </c>
      <c r="D59" s="20" t="str">
        <f t="shared" si="0"/>
        <v>N/A</v>
      </c>
      <c r="E59" s="21" t="str">
        <f>IF($A59="","",IFERROR(_xlfn.XLOOKUP($A59,'System Generated 2026-08-24'!$A:$A,'System Generated 2026-08-24'!$E:$E),"Missing"))</f>
        <v>Missing</v>
      </c>
      <c r="F59" s="21">
        <f>IF($A59="","",IFERROR(_xlfn.XLOOKUP($A59,Table1[Item],Table1[Total (₹)]),"Missing"))</f>
        <v>0</v>
      </c>
      <c r="G59" s="21" t="str">
        <f t="shared" si="1"/>
        <v>N/A</v>
      </c>
      <c r="H59" t="str">
        <f t="shared" si="2"/>
        <v>Missing in App</v>
      </c>
      <c r="K59" t="str">
        <f>'System Generated 2026-08-24'!A59</f>
        <v>Butter Paper</v>
      </c>
    </row>
    <row r="60" spans="1:11" hidden="1" x14ac:dyDescent="0.25">
      <c r="A60" t="str">
        <v>Budamadosakaya</v>
      </c>
      <c r="B60" s="20">
        <f>IF($A60="","",IFERROR(_xlfn.XLOOKUP($A60,'System Generated 2026-08-24'!$A:$A,'System Generated 2026-08-24'!$B:$B),"Missing"))</f>
        <v>2</v>
      </c>
      <c r="C60" s="20" t="str">
        <f>IF($A60="","",IFERROR(_xlfn.XLOOKUP($A60,Table1[Item],Table1[Current Stock]),"Missing"))</f>
        <v>Missing</v>
      </c>
      <c r="D60" s="20" t="str">
        <f t="shared" si="0"/>
        <v>N/A</v>
      </c>
      <c r="E60" s="21">
        <f>IF($A60="","",IFERROR(_xlfn.XLOOKUP($A60,'System Generated 2026-08-24'!$A:$A,'System Generated 2026-08-24'!$E:$E),"Missing"))</f>
        <v>0</v>
      </c>
      <c r="F60" s="21" t="str">
        <f>IF($A60="","",IFERROR(_xlfn.XLOOKUP($A60,Table1[Item],Table1[Total (₹)]),"Missing"))</f>
        <v>Missing</v>
      </c>
      <c r="G60" s="21" t="str">
        <f t="shared" si="1"/>
        <v>N/A</v>
      </c>
      <c r="H60" t="str">
        <f t="shared" si="2"/>
        <v>Missing in Hotel Data</v>
      </c>
      <c r="K60" t="str">
        <f>'System Generated 2026-08-24'!A60</f>
        <v>Butter Scotch Ice Cream</v>
      </c>
    </row>
    <row r="61" spans="1:11" x14ac:dyDescent="0.25">
      <c r="A61" t="str">
        <v>Budimekaya</v>
      </c>
      <c r="B61" s="20" t="str">
        <f>IF($A61="","",IFERROR(_xlfn.XLOOKUP($A61,'System Generated 2026-08-24'!$A:$A,'System Generated 2026-08-24'!$B:$B),"Missing"))</f>
        <v>Missing</v>
      </c>
      <c r="C61" s="20">
        <f>IF($A61="","",IFERROR(_xlfn.XLOOKUP($A61,Table1[Item],Table1[Current Stock]),"Missing"))</f>
        <v>2.75</v>
      </c>
      <c r="D61" s="20" t="str">
        <f t="shared" si="0"/>
        <v>N/A</v>
      </c>
      <c r="E61" s="21" t="str">
        <f>IF($A61="","",IFERROR(_xlfn.XLOOKUP($A61,'System Generated 2026-08-24'!$A:$A,'System Generated 2026-08-24'!$E:$E),"Missing"))</f>
        <v>Missing</v>
      </c>
      <c r="F61" s="21">
        <f>IF($A61="","",IFERROR(_xlfn.XLOOKUP($A61,Table1[Item],Table1[Total (₹)]),"Missing"))</f>
        <v>82.5</v>
      </c>
      <c r="G61" s="21" t="str">
        <f t="shared" si="1"/>
        <v>N/A</v>
      </c>
      <c r="H61" t="str">
        <f t="shared" si="2"/>
        <v>Missing in App</v>
      </c>
      <c r="K61" t="str">
        <f>'System Generated 2026-08-24'!A61</f>
        <v>Butter Scotch Syrup</v>
      </c>
    </row>
    <row r="62" spans="1:11" hidden="1" x14ac:dyDescent="0.25">
      <c r="A62" t="str">
        <v>Buffet Plates</v>
      </c>
      <c r="B62" s="20">
        <f>IF($A62="","",IFERROR(_xlfn.XLOOKUP($A62,'System Generated 2026-08-24'!$A:$A,'System Generated 2026-08-24'!$B:$B),"Missing"))</f>
        <v>12</v>
      </c>
      <c r="C62" s="20">
        <f>IF($A62="","",IFERROR(_xlfn.XLOOKUP($A62,Table1[Item],Table1[Current Stock]),"Missing"))</f>
        <v>12</v>
      </c>
      <c r="D62" s="20">
        <f t="shared" si="0"/>
        <v>0</v>
      </c>
      <c r="E62" s="21">
        <f>IF($A62="","",IFERROR(_xlfn.XLOOKUP($A62,'System Generated 2026-08-24'!$A:$A,'System Generated 2026-08-24'!$E:$E),"Missing"))</f>
        <v>3360</v>
      </c>
      <c r="F62" s="21">
        <f>IF($A62="","",IFERROR(_xlfn.XLOOKUP($A62,Table1[Item],Table1[Total (₹)]),"Missing"))</f>
        <v>3360</v>
      </c>
      <c r="G62" s="21">
        <f t="shared" si="1"/>
        <v>0</v>
      </c>
      <c r="H62" t="str">
        <f t="shared" si="2"/>
        <v>Match</v>
      </c>
      <c r="K62" t="str">
        <f>'System Generated 2026-08-24'!A62</f>
        <v>Cabbage</v>
      </c>
    </row>
    <row r="63" spans="1:11" hidden="1" x14ac:dyDescent="0.25">
      <c r="A63" t="str">
        <v>Burger Box</v>
      </c>
      <c r="B63" s="20">
        <f>IF($A63="","",IFERROR(_xlfn.XLOOKUP($A63,'System Generated 2026-08-24'!$A:$A,'System Generated 2026-08-24'!$B:$B),"Missing"))</f>
        <v>0</v>
      </c>
      <c r="C63" s="20">
        <f>IF($A63="","",IFERROR(_xlfn.XLOOKUP($A63,Table1[Item],Table1[Current Stock]),"Missing"))</f>
        <v>0</v>
      </c>
      <c r="D63" s="20">
        <f t="shared" si="0"/>
        <v>0</v>
      </c>
      <c r="E63" s="21">
        <f>IF($A63="","",IFERROR(_xlfn.XLOOKUP($A63,'System Generated 2026-08-24'!$A:$A,'System Generated 2026-08-24'!$E:$E),"Missing"))</f>
        <v>0</v>
      </c>
      <c r="F63" s="21">
        <f>IF($A63="","",IFERROR(_xlfn.XLOOKUP($A63,Table1[Item],Table1[Total (₹)]),"Missing"))</f>
        <v>0</v>
      </c>
      <c r="G63" s="21">
        <f t="shared" si="1"/>
        <v>0</v>
      </c>
      <c r="H63" t="str">
        <f t="shared" si="2"/>
        <v>Match</v>
      </c>
      <c r="K63" t="str">
        <f>'System Generated 2026-08-24'!A63</f>
        <v>Caps</v>
      </c>
    </row>
    <row r="64" spans="1:11" hidden="1" x14ac:dyDescent="0.25">
      <c r="A64" t="str">
        <v>Burger Bun</v>
      </c>
      <c r="B64" s="20">
        <f>IF($A64="","",IFERROR(_xlfn.XLOOKUP($A64,'System Generated 2026-08-24'!$A:$A,'System Generated 2026-08-24'!$B:$B),"Missing"))</f>
        <v>0</v>
      </c>
      <c r="C64" s="20">
        <f>IF($A64="","",IFERROR(_xlfn.XLOOKUP($A64,Table1[Item],Table1[Current Stock]),"Missing"))</f>
        <v>0</v>
      </c>
      <c r="D64" s="20">
        <f t="shared" si="0"/>
        <v>0</v>
      </c>
      <c r="E64" s="21">
        <f>IF($A64="","",IFERROR(_xlfn.XLOOKUP($A64,'System Generated 2026-08-24'!$A:$A,'System Generated 2026-08-24'!$E:$E),"Missing"))</f>
        <v>0</v>
      </c>
      <c r="F64" s="21">
        <f>IF($A64="","",IFERROR(_xlfn.XLOOKUP($A64,Table1[Item],Table1[Total (₹)]),"Missing"))</f>
        <v>0</v>
      </c>
      <c r="G64" s="21">
        <f t="shared" si="1"/>
        <v>0</v>
      </c>
      <c r="H64" t="str">
        <f t="shared" si="2"/>
        <v>Match</v>
      </c>
      <c r="K64" t="str">
        <f>'System Generated 2026-08-24'!A64</f>
        <v>Capsicum</v>
      </c>
    </row>
    <row r="65" spans="1:11" hidden="1" x14ac:dyDescent="0.25">
      <c r="A65" t="str">
        <v>Butter 500 Gm</v>
      </c>
      <c r="B65" s="20">
        <f>IF($A65="","",IFERROR(_xlfn.XLOOKUP($A65,'System Generated 2026-08-24'!$A:$A,'System Generated 2026-08-24'!$B:$B),"Missing"))</f>
        <v>58</v>
      </c>
      <c r="C65" s="20">
        <f>IF($A65="","",IFERROR(_xlfn.XLOOKUP($A65,Table1[Item],Table1[Current Stock]),"Missing"))</f>
        <v>58</v>
      </c>
      <c r="D65" s="20">
        <f t="shared" si="0"/>
        <v>0</v>
      </c>
      <c r="E65" s="21">
        <f>IF($A65="","",IFERROR(_xlfn.XLOOKUP($A65,'System Generated 2026-08-24'!$A:$A,'System Generated 2026-08-24'!$E:$E),"Missing"))</f>
        <v>16628.5</v>
      </c>
      <c r="F65" s="21">
        <f>IF($A65="","",IFERROR(_xlfn.XLOOKUP($A65,Table1[Item],Table1[Total (₹)]),"Missing"))</f>
        <v>16628.542000000001</v>
      </c>
      <c r="G65" s="21">
        <f t="shared" si="1"/>
        <v>-4.2000000001280569E-2</v>
      </c>
      <c r="H65" t="str">
        <f t="shared" si="2"/>
        <v>Match</v>
      </c>
      <c r="K65" t="str">
        <f>'System Generated 2026-08-24'!A65</f>
        <v>Caramil Syrup</v>
      </c>
    </row>
    <row r="66" spans="1:11" hidden="1" x14ac:dyDescent="0.25">
      <c r="A66" t="str">
        <v>Butter Covers</v>
      </c>
      <c r="B66" s="20">
        <f>IF($A66="","",IFERROR(_xlfn.XLOOKUP($A66,'System Generated 2026-08-24'!$A:$A,'System Generated 2026-08-24'!$B:$B),"Missing"))</f>
        <v>17</v>
      </c>
      <c r="C66" s="20">
        <f>IF($A66="","",IFERROR(_xlfn.XLOOKUP($A66,Table1[Item],Table1[Current Stock]),"Missing"))</f>
        <v>17</v>
      </c>
      <c r="D66" s="20">
        <f t="shared" si="0"/>
        <v>0</v>
      </c>
      <c r="E66" s="21">
        <f>IF($A66="","",IFERROR(_xlfn.XLOOKUP($A66,'System Generated 2026-08-24'!$A:$A,'System Generated 2026-08-24'!$E:$E),"Missing"))</f>
        <v>5440</v>
      </c>
      <c r="F66" s="21">
        <f>IF($A66="","",IFERROR(_xlfn.XLOOKUP($A66,Table1[Item],Table1[Total (₹)]),"Missing"))</f>
        <v>5440</v>
      </c>
      <c r="G66" s="21">
        <f t="shared" si="1"/>
        <v>0</v>
      </c>
      <c r="H66" t="str">
        <f t="shared" si="2"/>
        <v>Match</v>
      </c>
      <c r="K66" t="str">
        <f>'System Generated 2026-08-24'!A66</f>
        <v>Carrot</v>
      </c>
    </row>
    <row r="67" spans="1:11" hidden="1" x14ac:dyDescent="0.25">
      <c r="A67" t="str">
        <v>Butter Paper</v>
      </c>
      <c r="B67" s="20">
        <f>IF($A67="","",IFERROR(_xlfn.XLOOKUP($A67,'System Generated 2026-08-24'!$A:$A,'System Generated 2026-08-24'!$B:$B),"Missing"))</f>
        <v>1</v>
      </c>
      <c r="C67" s="20">
        <f>IF($A67="","",IFERROR(_xlfn.XLOOKUP($A67,Table1[Item],Table1[Current Stock]),"Missing"))</f>
        <v>1</v>
      </c>
      <c r="D67" s="20">
        <f t="shared" ref="D67:D130" si="3">IF($A67="","",IF(OR(B67="Missing",C67="Missing"),"N/A",B67-C67))</f>
        <v>0</v>
      </c>
      <c r="E67" s="21">
        <f>IF($A67="","",IFERROR(_xlfn.XLOOKUP($A67,'System Generated 2026-08-24'!$A:$A,'System Generated 2026-08-24'!$E:$E),"Missing"))</f>
        <v>95.71</v>
      </c>
      <c r="F67" s="21">
        <f>IF($A67="","",IFERROR(_xlfn.XLOOKUP($A67,Table1[Item],Table1[Total (₹)]),"Missing"))</f>
        <v>95.713999999999999</v>
      </c>
      <c r="G67" s="21">
        <f t="shared" ref="G67:G130" si="4">IF($A67="","",IF(OR(E67="Missing",F67="Missing"),"N/A",E67-F67))</f>
        <v>-4.0000000000048885E-3</v>
      </c>
      <c r="H67" t="str">
        <f t="shared" ref="H67:H130" si="5">IF($A67="","",IF(B67="Missing","Missing in App",IF(C67="Missing","Missing in Hotel Data",IF(D67=0,"Match","Discrepancy"))))</f>
        <v>Match</v>
      </c>
      <c r="K67" t="str">
        <f>'System Generated 2026-08-24'!A67</f>
        <v>Carry Bags 20*24</v>
      </c>
    </row>
    <row r="68" spans="1:11" hidden="1" x14ac:dyDescent="0.25">
      <c r="A68" t="str">
        <v>Butter Scotch Ice Cream</v>
      </c>
      <c r="B68" s="20">
        <f>IF($A68="","",IFERROR(_xlfn.XLOOKUP($A68,'System Generated 2026-08-24'!$A:$A,'System Generated 2026-08-24'!$B:$B),"Missing"))</f>
        <v>1</v>
      </c>
      <c r="C68" s="20">
        <f>IF($A68="","",IFERROR(_xlfn.XLOOKUP($A68,Table1[Item],Table1[Current Stock]),"Missing"))</f>
        <v>1</v>
      </c>
      <c r="D68" s="20">
        <f t="shared" si="3"/>
        <v>0</v>
      </c>
      <c r="E68" s="21">
        <f>IF($A68="","",IFERROR(_xlfn.XLOOKUP($A68,'System Generated 2026-08-24'!$A:$A,'System Generated 2026-08-24'!$E:$E),"Missing"))</f>
        <v>563.71</v>
      </c>
      <c r="F68" s="21">
        <f>IF($A68="","",IFERROR(_xlfn.XLOOKUP($A68,Table1[Item],Table1[Total (₹)]),"Missing"))</f>
        <v>563.70799999999997</v>
      </c>
      <c r="G68" s="21">
        <f t="shared" si="4"/>
        <v>2.0000000000663931E-3</v>
      </c>
      <c r="H68" t="str">
        <f t="shared" si="5"/>
        <v>Match</v>
      </c>
      <c r="K68" t="str">
        <f>'System Generated 2026-08-24'!A68</f>
        <v>Cauliflower</v>
      </c>
    </row>
    <row r="69" spans="1:11" hidden="1" x14ac:dyDescent="0.25">
      <c r="A69" t="str">
        <v>Butter Scotch Syrup</v>
      </c>
      <c r="B69" s="20">
        <f>IF($A69="","",IFERROR(_xlfn.XLOOKUP($A69,'System Generated 2026-08-24'!$A:$A,'System Generated 2026-08-24'!$B:$B),"Missing"))</f>
        <v>0</v>
      </c>
      <c r="C69" s="20">
        <f>IF($A69="","",IFERROR(_xlfn.XLOOKUP($A69,Table1[Item],Table1[Current Stock]),"Missing"))</f>
        <v>0</v>
      </c>
      <c r="D69" s="20">
        <f t="shared" si="3"/>
        <v>0</v>
      </c>
      <c r="E69" s="21">
        <f>IF($A69="","",IFERROR(_xlfn.XLOOKUP($A69,'System Generated 2026-08-24'!$A:$A,'System Generated 2026-08-24'!$E:$E),"Missing"))</f>
        <v>0</v>
      </c>
      <c r="F69" s="21">
        <f>IF($A69="","",IFERROR(_xlfn.XLOOKUP($A69,Table1[Item],Table1[Total (₹)]),"Missing"))</f>
        <v>0</v>
      </c>
      <c r="G69" s="21">
        <f t="shared" si="4"/>
        <v>0</v>
      </c>
      <c r="H69" t="str">
        <f t="shared" si="5"/>
        <v>Match</v>
      </c>
      <c r="K69" t="str">
        <f>'System Generated 2026-08-24'!A69</f>
        <v>Channa Atta</v>
      </c>
    </row>
    <row r="70" spans="1:11" x14ac:dyDescent="0.25">
      <c r="A70" t="str">
        <v>Cabage</v>
      </c>
      <c r="B70" s="20" t="str">
        <f>IF($A70="","",IFERROR(_xlfn.XLOOKUP($A70,'System Generated 2026-08-24'!$A:$A,'System Generated 2026-08-24'!$B:$B),"Missing"))</f>
        <v>Missing</v>
      </c>
      <c r="C70" s="20">
        <f>IF($A70="","",IFERROR(_xlfn.XLOOKUP($A70,Table1[Item],Table1[Current Stock]),"Missing"))</f>
        <v>47</v>
      </c>
      <c r="D70" s="20" t="str">
        <f t="shared" si="3"/>
        <v>N/A</v>
      </c>
      <c r="E70" s="21" t="str">
        <f>IF($A70="","",IFERROR(_xlfn.XLOOKUP($A70,'System Generated 2026-08-24'!$A:$A,'System Generated 2026-08-24'!$E:$E),"Missing"))</f>
        <v>Missing</v>
      </c>
      <c r="F70" s="21">
        <f>IF($A70="","",IFERROR(_xlfn.XLOOKUP($A70,Table1[Item],Table1[Total (₹)]),"Missing"))</f>
        <v>1467.932</v>
      </c>
      <c r="G70" s="21" t="str">
        <f t="shared" si="4"/>
        <v>N/A</v>
      </c>
      <c r="H70" t="str">
        <f t="shared" si="5"/>
        <v>Missing in App</v>
      </c>
      <c r="K70" t="str">
        <f>'System Generated 2026-08-24'!A70</f>
        <v>Channa Dal</v>
      </c>
    </row>
    <row r="71" spans="1:11" hidden="1" x14ac:dyDescent="0.25">
      <c r="A71" t="str">
        <v>Cabbage</v>
      </c>
      <c r="B71" s="20">
        <f>IF($A71="","",IFERROR(_xlfn.XLOOKUP($A71,'System Generated 2026-08-24'!$A:$A,'System Generated 2026-08-24'!$B:$B),"Missing"))</f>
        <v>109</v>
      </c>
      <c r="C71" s="20" t="str">
        <f>IF($A71="","",IFERROR(_xlfn.XLOOKUP($A71,Table1[Item],Table1[Current Stock]),"Missing"))</f>
        <v>Missing</v>
      </c>
      <c r="D71" s="20" t="str">
        <f t="shared" si="3"/>
        <v>N/A</v>
      </c>
      <c r="E71" s="21">
        <f>IF($A71="","",IFERROR(_xlfn.XLOOKUP($A71,'System Generated 2026-08-24'!$A:$A,'System Generated 2026-08-24'!$E:$E),"Missing"))</f>
        <v>3815</v>
      </c>
      <c r="F71" s="21" t="str">
        <f>IF($A71="","",IFERROR(_xlfn.XLOOKUP($A71,Table1[Item],Table1[Total (₹)]),"Missing"))</f>
        <v>Missing</v>
      </c>
      <c r="G71" s="21" t="str">
        <f t="shared" si="4"/>
        <v>N/A</v>
      </c>
      <c r="H71" t="str">
        <f t="shared" si="5"/>
        <v>Missing in Hotel Data</v>
      </c>
      <c r="K71" t="str">
        <f>'System Generated 2026-08-24'!A71</f>
        <v>Chat Masala</v>
      </c>
    </row>
    <row r="72" spans="1:11" hidden="1" x14ac:dyDescent="0.25">
      <c r="A72" t="str">
        <v>Caps</v>
      </c>
      <c r="B72" s="20">
        <f>IF($A72="","",IFERROR(_xlfn.XLOOKUP($A72,'System Generated 2026-08-24'!$A:$A,'System Generated 2026-08-24'!$B:$B),"Missing"))</f>
        <v>62</v>
      </c>
      <c r="C72" s="20">
        <f>IF($A72="","",IFERROR(_xlfn.XLOOKUP($A72,Table1[Item],Table1[Current Stock]),"Missing"))</f>
        <v>62</v>
      </c>
      <c r="D72" s="20">
        <f t="shared" si="3"/>
        <v>0</v>
      </c>
      <c r="E72" s="21">
        <f>IF($A72="","",IFERROR(_xlfn.XLOOKUP($A72,'System Generated 2026-08-24'!$A:$A,'System Generated 2026-08-24'!$E:$E),"Missing"))</f>
        <v>4946.3</v>
      </c>
      <c r="F72" s="21">
        <f>IF($A72="","",IFERROR(_xlfn.XLOOKUP($A72,Table1[Item],Table1[Total (₹)]),"Missing"))</f>
        <v>4946.2979999999998</v>
      </c>
      <c r="G72" s="21">
        <f t="shared" si="4"/>
        <v>2.0000000004074536E-3</v>
      </c>
      <c r="H72" t="str">
        <f t="shared" si="5"/>
        <v>Match</v>
      </c>
      <c r="K72" t="str">
        <f>'System Generated 2026-08-24'!A72</f>
        <v>Cheese 500g</v>
      </c>
    </row>
    <row r="73" spans="1:11" hidden="1" x14ac:dyDescent="0.25">
      <c r="A73" t="str">
        <v>Capsicum</v>
      </c>
      <c r="B73" s="20">
        <f>IF($A73="","",IFERROR(_xlfn.XLOOKUP($A73,'System Generated 2026-08-24'!$A:$A,'System Generated 2026-08-24'!$B:$B),"Missing"))</f>
        <v>9.1</v>
      </c>
      <c r="C73" s="20">
        <f>IF($A73="","",IFERROR(_xlfn.XLOOKUP($A73,Table1[Item],Table1[Current Stock]),"Missing"))</f>
        <v>9.1</v>
      </c>
      <c r="D73" s="20">
        <f t="shared" si="3"/>
        <v>0</v>
      </c>
      <c r="E73" s="21">
        <f>IF($A73="","",IFERROR(_xlfn.XLOOKUP($A73,'System Generated 2026-08-24'!$A:$A,'System Generated 2026-08-24'!$E:$E),"Missing"))</f>
        <v>386.75</v>
      </c>
      <c r="F73" s="21">
        <f>IF($A73="","",IFERROR(_xlfn.XLOOKUP($A73,Table1[Item],Table1[Total (₹)]),"Missing"))</f>
        <v>386.75</v>
      </c>
      <c r="G73" s="21">
        <f t="shared" si="4"/>
        <v>0</v>
      </c>
      <c r="H73" t="str">
        <f t="shared" si="5"/>
        <v>Match</v>
      </c>
      <c r="K73" t="str">
        <f>'System Generated 2026-08-24'!A73</f>
        <v>Cheese Slice</v>
      </c>
    </row>
    <row r="74" spans="1:11" hidden="1" x14ac:dyDescent="0.25">
      <c r="A74" t="str">
        <v>Caramil Syrup</v>
      </c>
      <c r="B74" s="20">
        <f>IF($A74="","",IFERROR(_xlfn.XLOOKUP($A74,'System Generated 2026-08-24'!$A:$A,'System Generated 2026-08-24'!$B:$B),"Missing"))</f>
        <v>0</v>
      </c>
      <c r="C74" s="20">
        <f>IF($A74="","",IFERROR(_xlfn.XLOOKUP($A74,Table1[Item],Table1[Current Stock]),"Missing"))</f>
        <v>0</v>
      </c>
      <c r="D74" s="20">
        <f t="shared" si="3"/>
        <v>0</v>
      </c>
      <c r="E74" s="21">
        <f>IF($A74="","",IFERROR(_xlfn.XLOOKUP($A74,'System Generated 2026-08-24'!$A:$A,'System Generated 2026-08-24'!$E:$E),"Missing"))</f>
        <v>0</v>
      </c>
      <c r="F74" s="21">
        <f>IF($A74="","",IFERROR(_xlfn.XLOOKUP($A74,Table1[Item],Table1[Total (₹)]),"Missing"))</f>
        <v>0</v>
      </c>
      <c r="G74" s="21">
        <f t="shared" si="4"/>
        <v>0</v>
      </c>
      <c r="H74" t="str">
        <f t="shared" si="5"/>
        <v>Match</v>
      </c>
      <c r="K74" t="str">
        <f>'System Generated 2026-08-24'!A74</f>
        <v>Cherries</v>
      </c>
    </row>
    <row r="75" spans="1:11" hidden="1" x14ac:dyDescent="0.25">
      <c r="A75" t="str">
        <v>Carrot</v>
      </c>
      <c r="B75" s="20">
        <f>IF($A75="","",IFERROR(_xlfn.XLOOKUP($A75,'System Generated 2026-08-24'!$A:$A,'System Generated 2026-08-24'!$B:$B),"Missing"))</f>
        <v>18.350000000000001</v>
      </c>
      <c r="C75" s="20">
        <f>IF($A75="","",IFERROR(_xlfn.XLOOKUP($A75,Table1[Item],Table1[Current Stock]),"Missing"))</f>
        <v>18.350000000000001</v>
      </c>
      <c r="D75" s="20">
        <f t="shared" si="3"/>
        <v>0</v>
      </c>
      <c r="E75" s="21">
        <f>IF($A75="","",IFERROR(_xlfn.XLOOKUP($A75,'System Generated 2026-08-24'!$A:$A,'System Generated 2026-08-24'!$E:$E),"Missing"))</f>
        <v>885.19</v>
      </c>
      <c r="F75" s="21">
        <f>IF($A75="","",IFERROR(_xlfn.XLOOKUP($A75,Table1[Item],Table1[Total (₹)]),"Missing"))</f>
        <v>885.19299999999998</v>
      </c>
      <c r="G75" s="21">
        <f t="shared" si="4"/>
        <v>-2.9999999999290594E-3</v>
      </c>
      <c r="H75" t="str">
        <f t="shared" si="5"/>
        <v>Match</v>
      </c>
      <c r="K75" t="str">
        <f>'System Generated 2026-08-24'!A75</f>
        <v>Chicken Big</v>
      </c>
    </row>
    <row r="76" spans="1:11" hidden="1" x14ac:dyDescent="0.25">
      <c r="A76" t="str">
        <v>Carry Bags 20*24</v>
      </c>
      <c r="B76" s="20">
        <f>IF($A76="","",IFERROR(_xlfn.XLOOKUP($A76,'System Generated 2026-08-24'!$A:$A,'System Generated 2026-08-24'!$B:$B),"Missing"))</f>
        <v>11</v>
      </c>
      <c r="C76" s="20">
        <f>IF($A76="","",IFERROR(_xlfn.XLOOKUP($A76,Table1[Item],Table1[Current Stock]),"Missing"))</f>
        <v>11</v>
      </c>
      <c r="D76" s="20">
        <f t="shared" si="3"/>
        <v>0</v>
      </c>
      <c r="E76" s="21">
        <f>IF($A76="","",IFERROR(_xlfn.XLOOKUP($A76,'System Generated 2026-08-24'!$A:$A,'System Generated 2026-08-24'!$E:$E),"Missing"))</f>
        <v>6839.32</v>
      </c>
      <c r="F76" s="21">
        <f>IF($A76="","",IFERROR(_xlfn.XLOOKUP($A76,Table1[Item],Table1[Total (₹)]),"Missing"))</f>
        <v>6839.3159999999998</v>
      </c>
      <c r="G76" s="21">
        <f t="shared" si="4"/>
        <v>3.9999999999054126E-3</v>
      </c>
      <c r="H76" t="str">
        <f t="shared" si="5"/>
        <v>Match</v>
      </c>
      <c r="K76" t="str">
        <f>'System Generated 2026-08-24'!A76</f>
        <v>Chicken Small</v>
      </c>
    </row>
    <row r="77" spans="1:11" hidden="1" x14ac:dyDescent="0.25">
      <c r="A77" t="str">
        <v>Cauliflower</v>
      </c>
      <c r="B77" s="20">
        <f>IF($A77="","",IFERROR(_xlfn.XLOOKUP($A77,'System Generated 2026-08-24'!$A:$A,'System Generated 2026-08-24'!$B:$B),"Missing"))</f>
        <v>6.75</v>
      </c>
      <c r="C77" s="20">
        <f>IF($A77="","",IFERROR(_xlfn.XLOOKUP($A77,Table1[Item],Table1[Current Stock]),"Missing"))</f>
        <v>6.75</v>
      </c>
      <c r="D77" s="20">
        <f t="shared" si="3"/>
        <v>0</v>
      </c>
      <c r="E77" s="21">
        <f>IF($A77="","",IFERROR(_xlfn.XLOOKUP($A77,'System Generated 2026-08-24'!$A:$A,'System Generated 2026-08-24'!$E:$E),"Missing"))</f>
        <v>394.96</v>
      </c>
      <c r="F77" s="21">
        <f>IF($A77="","",IFERROR(_xlfn.XLOOKUP($A77,Table1[Item],Table1[Total (₹)]),"Missing"))</f>
        <v>394.95499999999998</v>
      </c>
      <c r="G77" s="21">
        <f t="shared" si="4"/>
        <v>4.9999999999954525E-3</v>
      </c>
      <c r="H77" t="str">
        <f t="shared" si="5"/>
        <v>Match</v>
      </c>
      <c r="K77" t="str">
        <f>'System Generated 2026-08-24'!A77</f>
        <v>Chicken Staff</v>
      </c>
    </row>
    <row r="78" spans="1:11" x14ac:dyDescent="0.25">
      <c r="A78" t="str">
        <v>Chako Lava Powdar</v>
      </c>
      <c r="B78" s="20" t="str">
        <f>IF($A78="","",IFERROR(_xlfn.XLOOKUP($A78,'System Generated 2026-08-24'!$A:$A,'System Generated 2026-08-24'!$B:$B),"Missing"))</f>
        <v>Missing</v>
      </c>
      <c r="C78" s="20">
        <f>IF($A78="","",IFERROR(_xlfn.XLOOKUP($A78,Table1[Item],Table1[Current Stock]),"Missing"))</f>
        <v>0</v>
      </c>
      <c r="D78" s="20" t="str">
        <f t="shared" si="3"/>
        <v>N/A</v>
      </c>
      <c r="E78" s="21" t="str">
        <f>IF($A78="","",IFERROR(_xlfn.XLOOKUP($A78,'System Generated 2026-08-24'!$A:$A,'System Generated 2026-08-24'!$E:$E),"Missing"))</f>
        <v>Missing</v>
      </c>
      <c r="F78" s="21">
        <f>IF($A78="","",IFERROR(_xlfn.XLOOKUP($A78,Table1[Item],Table1[Total (₹)]),"Missing"))</f>
        <v>0</v>
      </c>
      <c r="G78" s="21" t="str">
        <f t="shared" si="4"/>
        <v>N/A</v>
      </c>
      <c r="H78" t="str">
        <f t="shared" si="5"/>
        <v>Missing in App</v>
      </c>
      <c r="K78" t="str">
        <f>'System Generated 2026-08-24'!A78</f>
        <v>Chikkudikaya</v>
      </c>
    </row>
    <row r="79" spans="1:11" hidden="1" x14ac:dyDescent="0.25">
      <c r="A79" t="str">
        <v>Channa Atta</v>
      </c>
      <c r="B79" s="20">
        <f>IF($A79="","",IFERROR(_xlfn.XLOOKUP($A79,'System Generated 2026-08-24'!$A:$A,'System Generated 2026-08-24'!$B:$B),"Missing"))</f>
        <v>30.1</v>
      </c>
      <c r="C79" s="20">
        <f>IF($A79="","",IFERROR(_xlfn.XLOOKUP($A79,Table1[Item],Table1[Current Stock]),"Missing"))</f>
        <v>30.1</v>
      </c>
      <c r="D79" s="20">
        <f t="shared" si="3"/>
        <v>0</v>
      </c>
      <c r="E79" s="21">
        <f>IF($A79="","",IFERROR(_xlfn.XLOOKUP($A79,'System Generated 2026-08-24'!$A:$A,'System Generated 2026-08-24'!$E:$E),"Missing"))</f>
        <v>2573.5500000000002</v>
      </c>
      <c r="F79" s="21">
        <f>IF($A79="","",IFERROR(_xlfn.XLOOKUP($A79,Table1[Item],Table1[Total (₹)]),"Missing"))</f>
        <v>2573.5500000000002</v>
      </c>
      <c r="G79" s="21">
        <f t="shared" si="4"/>
        <v>0</v>
      </c>
      <c r="H79" t="str">
        <f t="shared" si="5"/>
        <v>Match</v>
      </c>
      <c r="K79" t="str">
        <f>'System Generated 2026-08-24'!A79</f>
        <v>Chilly Flakes Kg</v>
      </c>
    </row>
    <row r="80" spans="1:11" hidden="1" x14ac:dyDescent="0.25">
      <c r="A80" t="str">
        <v>Channa Dal</v>
      </c>
      <c r="B80" s="20">
        <f>IF($A80="","",IFERROR(_xlfn.XLOOKUP($A80,'System Generated 2026-08-24'!$A:$A,'System Generated 2026-08-24'!$B:$B),"Missing"))</f>
        <v>24.39</v>
      </c>
      <c r="C80" s="20">
        <f>IF($A80="","",IFERROR(_xlfn.XLOOKUP($A80,Table1[Item],Table1[Current Stock]),"Missing"))</f>
        <v>24.39</v>
      </c>
      <c r="D80" s="20">
        <f t="shared" si="3"/>
        <v>0</v>
      </c>
      <c r="E80" s="21">
        <f>IF($A80="","",IFERROR(_xlfn.XLOOKUP($A80,'System Generated 2026-08-24'!$A:$A,'System Generated 2026-08-24'!$E:$E),"Missing"))</f>
        <v>1804.86</v>
      </c>
      <c r="F80" s="21">
        <f>IF($A80="","",IFERROR(_xlfn.XLOOKUP($A80,Table1[Item],Table1[Total (₹)]),"Missing"))</f>
        <v>1804.86</v>
      </c>
      <c r="G80" s="21">
        <f t="shared" si="4"/>
        <v>0</v>
      </c>
      <c r="H80" t="str">
        <f t="shared" si="5"/>
        <v>Match</v>
      </c>
      <c r="K80" t="str">
        <f>'System Generated 2026-08-24'!A80</f>
        <v>Chilly Flakes Sachets</v>
      </c>
    </row>
    <row r="81" spans="1:11" hidden="1" x14ac:dyDescent="0.25">
      <c r="A81" t="str">
        <v>Chat Masala</v>
      </c>
      <c r="B81" s="20">
        <f>IF($A81="","",IFERROR(_xlfn.XLOOKUP($A81,'System Generated 2026-08-24'!$A:$A,'System Generated 2026-08-24'!$B:$B),"Missing"))</f>
        <v>3.7</v>
      </c>
      <c r="C81" s="20">
        <f>IF($A81="","",IFERROR(_xlfn.XLOOKUP($A81,Table1[Item],Table1[Current Stock]),"Missing"))</f>
        <v>3.7</v>
      </c>
      <c r="D81" s="20">
        <f t="shared" si="3"/>
        <v>0</v>
      </c>
      <c r="E81" s="21">
        <f>IF($A81="","",IFERROR(_xlfn.XLOOKUP($A81,'System Generated 2026-08-24'!$A:$A,'System Generated 2026-08-24'!$E:$E),"Missing"))</f>
        <v>2235.86</v>
      </c>
      <c r="F81" s="21">
        <f>IF($A81="","",IFERROR(_xlfn.XLOOKUP($A81,Table1[Item],Table1[Total (₹)]),"Missing"))</f>
        <v>2235.8580000000002</v>
      </c>
      <c r="G81" s="21">
        <f t="shared" si="4"/>
        <v>1.9999999999527063E-3</v>
      </c>
      <c r="H81" t="str">
        <f t="shared" si="5"/>
        <v>Match</v>
      </c>
      <c r="K81" t="str">
        <f>'System Generated 2026-08-24'!A81</f>
        <v>Chilly Powder</v>
      </c>
    </row>
    <row r="82" spans="1:11" hidden="1" x14ac:dyDescent="0.25">
      <c r="A82" t="str">
        <v>Cheese 500g</v>
      </c>
      <c r="B82" s="20">
        <f>IF($A82="","",IFERROR(_xlfn.XLOOKUP($A82,'System Generated 2026-08-24'!$A:$A,'System Generated 2026-08-24'!$B:$B),"Missing"))</f>
        <v>4</v>
      </c>
      <c r="C82" s="20">
        <f>IF($A82="","",IFERROR(_xlfn.XLOOKUP($A82,Table1[Item],Table1[Current Stock]),"Missing"))</f>
        <v>4</v>
      </c>
      <c r="D82" s="20">
        <f t="shared" si="3"/>
        <v>0</v>
      </c>
      <c r="E82" s="21">
        <f>IF($A82="","",IFERROR(_xlfn.XLOOKUP($A82,'System Generated 2026-08-24'!$A:$A,'System Generated 2026-08-24'!$E:$E),"Missing"))</f>
        <v>1104.6199999999999</v>
      </c>
      <c r="F82" s="21">
        <f>IF($A82="","",IFERROR(_xlfn.XLOOKUP($A82,Table1[Item],Table1[Total (₹)]),"Missing"))</f>
        <v>1104.624</v>
      </c>
      <c r="G82" s="21">
        <f t="shared" si="4"/>
        <v>-4.0000000001327862E-3</v>
      </c>
      <c r="H82" t="str">
        <f t="shared" si="5"/>
        <v>Match</v>
      </c>
      <c r="K82" t="str">
        <f>'System Generated 2026-08-24'!A82</f>
        <v>Chinese Container 1000ml</v>
      </c>
    </row>
    <row r="83" spans="1:11" hidden="1" x14ac:dyDescent="0.25">
      <c r="A83" t="str">
        <v>Cheese Slice</v>
      </c>
      <c r="B83" s="20">
        <f>IF($A83="","",IFERROR(_xlfn.XLOOKUP($A83,'System Generated 2026-08-24'!$A:$A,'System Generated 2026-08-24'!$B:$B),"Missing"))</f>
        <v>3</v>
      </c>
      <c r="C83" s="20">
        <f>IF($A83="","",IFERROR(_xlfn.XLOOKUP($A83,Table1[Item],Table1[Current Stock]),"Missing"))</f>
        <v>3</v>
      </c>
      <c r="D83" s="20">
        <f t="shared" si="3"/>
        <v>0</v>
      </c>
      <c r="E83" s="21">
        <f>IF($A83="","",IFERROR(_xlfn.XLOOKUP($A83,'System Generated 2026-08-24'!$A:$A,'System Generated 2026-08-24'!$E:$E),"Missing"))</f>
        <v>1211.92</v>
      </c>
      <c r="F83" s="21">
        <f>IF($A83="","",IFERROR(_xlfn.XLOOKUP($A83,Table1[Item],Table1[Total (₹)]),"Missing"))</f>
        <v>1211.922</v>
      </c>
      <c r="G83" s="21">
        <f t="shared" si="4"/>
        <v>-1.9999999999527063E-3</v>
      </c>
      <c r="H83" t="str">
        <f t="shared" si="5"/>
        <v>Match</v>
      </c>
      <c r="K83" t="str">
        <f>'System Generated 2026-08-24'!A83</f>
        <v>Chinese Container 500ml</v>
      </c>
    </row>
    <row r="84" spans="1:11" hidden="1" x14ac:dyDescent="0.25">
      <c r="A84" t="str">
        <v>Cherries</v>
      </c>
      <c r="B84" s="20">
        <f>IF($A84="","",IFERROR(_xlfn.XLOOKUP($A84,'System Generated 2026-08-24'!$A:$A,'System Generated 2026-08-24'!$B:$B),"Missing"))</f>
        <v>0</v>
      </c>
      <c r="C84" s="20">
        <f>IF($A84="","",IFERROR(_xlfn.XLOOKUP($A84,Table1[Item],Table1[Current Stock]),"Missing"))</f>
        <v>0</v>
      </c>
      <c r="D84" s="20">
        <f t="shared" si="3"/>
        <v>0</v>
      </c>
      <c r="E84" s="21">
        <f>IF($A84="","",IFERROR(_xlfn.XLOOKUP($A84,'System Generated 2026-08-24'!$A:$A,'System Generated 2026-08-24'!$E:$E),"Missing"))</f>
        <v>0</v>
      </c>
      <c r="F84" s="21">
        <f>IF($A84="","",IFERROR(_xlfn.XLOOKUP($A84,Table1[Item],Table1[Total (₹)]),"Missing"))</f>
        <v>0</v>
      </c>
      <c r="G84" s="21">
        <f t="shared" si="4"/>
        <v>0</v>
      </c>
      <c r="H84" t="str">
        <f t="shared" si="5"/>
        <v>Match</v>
      </c>
      <c r="K84" t="str">
        <f>'System Generated 2026-08-24'!A84</f>
        <v>Chinese Container 750ml</v>
      </c>
    </row>
    <row r="85" spans="1:11" hidden="1" x14ac:dyDescent="0.25">
      <c r="A85" t="str">
        <v>Chicken Big</v>
      </c>
      <c r="B85" s="20">
        <f>IF($A85="","",IFERROR(_xlfn.XLOOKUP($A85,'System Generated 2026-08-24'!$A:$A,'System Generated 2026-08-24'!$B:$B),"Missing"))</f>
        <v>0</v>
      </c>
      <c r="C85" s="20">
        <f>IF($A85="","",IFERROR(_xlfn.XLOOKUP($A85,Table1[Item],Table1[Current Stock]),"Missing"))</f>
        <v>0</v>
      </c>
      <c r="D85" s="20">
        <f t="shared" si="3"/>
        <v>0</v>
      </c>
      <c r="E85" s="21">
        <f>IF($A85="","",IFERROR(_xlfn.XLOOKUP($A85,'System Generated 2026-08-24'!$A:$A,'System Generated 2026-08-24'!$E:$E),"Missing"))</f>
        <v>0</v>
      </c>
      <c r="F85" s="21">
        <f>IF($A85="","",IFERROR(_xlfn.XLOOKUP($A85,Table1[Item],Table1[Total (₹)]),"Missing"))</f>
        <v>0</v>
      </c>
      <c r="G85" s="21">
        <f t="shared" si="4"/>
        <v>0</v>
      </c>
      <c r="H85" t="str">
        <f t="shared" si="5"/>
        <v>Match</v>
      </c>
      <c r="K85" t="str">
        <f>'System Generated 2026-08-24'!A85</f>
        <v>Chocolate Ice Cream</v>
      </c>
    </row>
    <row r="86" spans="1:11" x14ac:dyDescent="0.25">
      <c r="A86" t="str">
        <v>Chicken Biryani</v>
      </c>
      <c r="B86" s="20" t="str">
        <f>IF($A86="","",IFERROR(_xlfn.XLOOKUP($A86,'System Generated 2026-08-24'!$A:$A,'System Generated 2026-08-24'!$B:$B),"Missing"))</f>
        <v>Missing</v>
      </c>
      <c r="C86" s="20">
        <f>IF($A86="","",IFERROR(_xlfn.XLOOKUP($A86,Table1[Item],Table1[Current Stock]),"Missing"))</f>
        <v>0</v>
      </c>
      <c r="D86" s="20" t="str">
        <f t="shared" si="3"/>
        <v>N/A</v>
      </c>
      <c r="E86" s="21" t="str">
        <f>IF($A86="","",IFERROR(_xlfn.XLOOKUP($A86,'System Generated 2026-08-24'!$A:$A,'System Generated 2026-08-24'!$E:$E),"Missing"))</f>
        <v>Missing</v>
      </c>
      <c r="F86" s="21">
        <f>IF($A86="","",IFERROR(_xlfn.XLOOKUP($A86,Table1[Item],Table1[Total (₹)]),"Missing"))</f>
        <v>0</v>
      </c>
      <c r="G86" s="21" t="str">
        <f t="shared" si="4"/>
        <v>N/A</v>
      </c>
      <c r="H86" t="str">
        <f t="shared" si="5"/>
        <v>Missing in App</v>
      </c>
      <c r="K86" t="str">
        <f>'System Generated 2026-08-24'!A86</f>
        <v>Chocolate Sauce</v>
      </c>
    </row>
    <row r="87" spans="1:11" hidden="1" x14ac:dyDescent="0.25">
      <c r="A87" t="str">
        <v>Chicken Small</v>
      </c>
      <c r="B87" s="20">
        <f>IF($A87="","",IFERROR(_xlfn.XLOOKUP($A87,'System Generated 2026-08-24'!$A:$A,'System Generated 2026-08-24'!$B:$B),"Missing"))</f>
        <v>0</v>
      </c>
      <c r="C87" s="20">
        <f>IF($A87="","",IFERROR(_xlfn.XLOOKUP($A87,Table1[Item],Table1[Current Stock]),"Missing"))</f>
        <v>0</v>
      </c>
      <c r="D87" s="20">
        <f t="shared" si="3"/>
        <v>0</v>
      </c>
      <c r="E87" s="21">
        <f>IF($A87="","",IFERROR(_xlfn.XLOOKUP($A87,'System Generated 2026-08-24'!$A:$A,'System Generated 2026-08-24'!$E:$E),"Missing"))</f>
        <v>0</v>
      </c>
      <c r="F87" s="21">
        <f>IF($A87="","",IFERROR(_xlfn.XLOOKUP($A87,Table1[Item],Table1[Total (₹)]),"Missing"))</f>
        <v>0</v>
      </c>
      <c r="G87" s="21">
        <f t="shared" si="4"/>
        <v>0</v>
      </c>
      <c r="H87" t="str">
        <f t="shared" si="5"/>
        <v>Match</v>
      </c>
      <c r="K87" t="str">
        <f>'System Generated 2026-08-24'!A87</f>
        <v>Chole Masala</v>
      </c>
    </row>
    <row r="88" spans="1:11" hidden="1" x14ac:dyDescent="0.25">
      <c r="A88" t="str">
        <v>Chicken Staff</v>
      </c>
      <c r="B88" s="20">
        <f>IF($A88="","",IFERROR(_xlfn.XLOOKUP($A88,'System Generated 2026-08-24'!$A:$A,'System Generated 2026-08-24'!$B:$B),"Missing"))</f>
        <v>12.2</v>
      </c>
      <c r="C88" s="20">
        <f>IF($A88="","",IFERROR(_xlfn.XLOOKUP($A88,Table1[Item],Table1[Current Stock]),"Missing"))</f>
        <v>12.2</v>
      </c>
      <c r="D88" s="20">
        <f t="shared" si="3"/>
        <v>0</v>
      </c>
      <c r="E88" s="21">
        <f>IF($A88="","",IFERROR(_xlfn.XLOOKUP($A88,'System Generated 2026-08-24'!$A:$A,'System Generated 2026-08-24'!$E:$E),"Missing"))</f>
        <v>2815.37</v>
      </c>
      <c r="F88" s="21">
        <f>IF($A88="","",IFERROR(_xlfn.XLOOKUP($A88,Table1[Item],Table1[Total (₹)]),"Missing"))</f>
        <v>2815.37</v>
      </c>
      <c r="G88" s="21">
        <f t="shared" si="4"/>
        <v>0</v>
      </c>
      <c r="H88" t="str">
        <f t="shared" si="5"/>
        <v>Match</v>
      </c>
      <c r="K88" t="str">
        <f>'System Generated 2026-08-24'!A88</f>
        <v>Chukkakura</v>
      </c>
    </row>
    <row r="89" spans="1:11" hidden="1" x14ac:dyDescent="0.25">
      <c r="A89" t="str">
        <v>Chikkudikaya</v>
      </c>
      <c r="B89" s="20">
        <f>IF($A89="","",IFERROR(_xlfn.XLOOKUP($A89,'System Generated 2026-08-24'!$A:$A,'System Generated 2026-08-24'!$B:$B),"Missing"))</f>
        <v>0</v>
      </c>
      <c r="C89" s="20" t="str">
        <f>IF($A89="","",IFERROR(_xlfn.XLOOKUP($A89,Table1[Item],Table1[Current Stock]),"Missing"))</f>
        <v>Missing</v>
      </c>
      <c r="D89" s="20" t="str">
        <f t="shared" si="3"/>
        <v>N/A</v>
      </c>
      <c r="E89" s="21">
        <f>IF($A89="","",IFERROR(_xlfn.XLOOKUP($A89,'System Generated 2026-08-24'!$A:$A,'System Generated 2026-08-24'!$E:$E),"Missing"))</f>
        <v>0</v>
      </c>
      <c r="F89" s="21" t="str">
        <f>IF($A89="","",IFERROR(_xlfn.XLOOKUP($A89,Table1[Item],Table1[Total (₹)]),"Missing"))</f>
        <v>Missing</v>
      </c>
      <c r="G89" s="21" t="str">
        <f t="shared" si="4"/>
        <v>N/A</v>
      </c>
      <c r="H89" t="str">
        <f t="shared" si="5"/>
        <v>Missing in Hotel Data</v>
      </c>
      <c r="K89" t="str">
        <f>'System Generated 2026-08-24'!A89</f>
        <v>Cleaning Brush</v>
      </c>
    </row>
    <row r="90" spans="1:11" hidden="1" x14ac:dyDescent="0.25">
      <c r="A90" t="str">
        <v>Chilly Flakes Kg</v>
      </c>
      <c r="B90" s="20">
        <f>IF($A90="","",IFERROR(_xlfn.XLOOKUP($A90,'System Generated 2026-08-24'!$A:$A,'System Generated 2026-08-24'!$B:$B),"Missing"))</f>
        <v>3</v>
      </c>
      <c r="C90" s="20">
        <f>IF($A90="","",IFERROR(_xlfn.XLOOKUP($A90,Table1[Item],Table1[Current Stock]),"Missing"))</f>
        <v>3</v>
      </c>
      <c r="D90" s="20">
        <f t="shared" si="3"/>
        <v>0</v>
      </c>
      <c r="E90" s="21">
        <f>IF($A90="","",IFERROR(_xlfn.XLOOKUP($A90,'System Generated 2026-08-24'!$A:$A,'System Generated 2026-08-24'!$E:$E),"Missing"))</f>
        <v>1225.71</v>
      </c>
      <c r="F90" s="21">
        <f>IF($A90="","",IFERROR(_xlfn.XLOOKUP($A90,Table1[Item],Table1[Total (₹)]),"Missing"))</f>
        <v>1225.713</v>
      </c>
      <c r="G90" s="21">
        <f t="shared" si="4"/>
        <v>-2.9999999999290594E-3</v>
      </c>
      <c r="H90" t="str">
        <f t="shared" si="5"/>
        <v>Match</v>
      </c>
      <c r="K90" t="str">
        <f>'System Generated 2026-08-24'!A90</f>
        <v>Cleaning Coth</v>
      </c>
    </row>
    <row r="91" spans="1:11" hidden="1" x14ac:dyDescent="0.25">
      <c r="A91" t="str">
        <v>Chilly Flakes Sachets</v>
      </c>
      <c r="B91" s="20">
        <f>IF($A91="","",IFERROR(_xlfn.XLOOKUP($A91,'System Generated 2026-08-24'!$A:$A,'System Generated 2026-08-24'!$B:$B),"Missing"))</f>
        <v>100</v>
      </c>
      <c r="C91" s="20">
        <f>IF($A91="","",IFERROR(_xlfn.XLOOKUP($A91,Table1[Item],Table1[Current Stock]),"Missing"))</f>
        <v>100</v>
      </c>
      <c r="D91" s="20">
        <f t="shared" si="3"/>
        <v>0</v>
      </c>
      <c r="E91" s="21">
        <f>IF($A91="","",IFERROR(_xlfn.XLOOKUP($A91,'System Generated 2026-08-24'!$A:$A,'System Generated 2026-08-24'!$E:$E),"Missing"))</f>
        <v>160</v>
      </c>
      <c r="F91" s="21">
        <f>IF($A91="","",IFERROR(_xlfn.XLOOKUP($A91,Table1[Item],Table1[Total (₹)]),"Missing"))</f>
        <v>160</v>
      </c>
      <c r="G91" s="21">
        <f t="shared" si="4"/>
        <v>0</v>
      </c>
      <c r="H91" t="str">
        <f t="shared" si="5"/>
        <v>Match</v>
      </c>
      <c r="K91" t="str">
        <f>'System Generated 2026-08-24'!A91</f>
        <v>Cling Wrap</v>
      </c>
    </row>
    <row r="92" spans="1:11" hidden="1" x14ac:dyDescent="0.25">
      <c r="A92" t="str">
        <v>Chilly Powder</v>
      </c>
      <c r="B92" s="20">
        <f>IF($A92="","",IFERROR(_xlfn.XLOOKUP($A92,'System Generated 2026-08-24'!$A:$A,'System Generated 2026-08-24'!$B:$B),"Missing"))</f>
        <v>249.84</v>
      </c>
      <c r="C92" s="20">
        <f>IF($A92="","",IFERROR(_xlfn.XLOOKUP($A92,Table1[Item],Table1[Current Stock]),"Missing"))</f>
        <v>249.84</v>
      </c>
      <c r="D92" s="20">
        <f t="shared" si="3"/>
        <v>0</v>
      </c>
      <c r="E92" s="21">
        <f>IF($A92="","",IFERROR(_xlfn.XLOOKUP($A92,'System Generated 2026-08-24'!$A:$A,'System Generated 2026-08-24'!$E:$E),"Missing"))</f>
        <v>64958.400000000001</v>
      </c>
      <c r="F92" s="21">
        <f>IF($A92="","",IFERROR(_xlfn.XLOOKUP($A92,Table1[Item],Table1[Total (₹)]),"Missing"))</f>
        <v>64958.400000000001</v>
      </c>
      <c r="G92" s="21">
        <f t="shared" si="4"/>
        <v>0</v>
      </c>
      <c r="H92" t="str">
        <f t="shared" si="5"/>
        <v>Match</v>
      </c>
      <c r="K92" t="str">
        <f>'System Generated 2026-08-24'!A92</f>
        <v>Coal</v>
      </c>
    </row>
    <row r="93" spans="1:11" hidden="1" x14ac:dyDescent="0.25">
      <c r="A93" t="str">
        <v>Chinese Container 1000ml</v>
      </c>
      <c r="B93" s="20">
        <f>IF($A93="","",IFERROR(_xlfn.XLOOKUP($A93,'System Generated 2026-08-24'!$A:$A,'System Generated 2026-08-24'!$B:$B),"Missing"))</f>
        <v>3600</v>
      </c>
      <c r="C93" s="20">
        <f>IF($A93="","",IFERROR(_xlfn.XLOOKUP($A93,Table1[Item],Table1[Current Stock]),"Missing"))</f>
        <v>3600</v>
      </c>
      <c r="D93" s="20">
        <f t="shared" si="3"/>
        <v>0</v>
      </c>
      <c r="E93" s="21">
        <f>IF($A93="","",IFERROR(_xlfn.XLOOKUP($A93,'System Generated 2026-08-24'!$A:$A,'System Generated 2026-08-24'!$E:$E),"Missing"))</f>
        <v>23760</v>
      </c>
      <c r="F93" s="21">
        <f>IF($A93="","",IFERROR(_xlfn.XLOOKUP($A93,Table1[Item],Table1[Total (₹)]),"Missing"))</f>
        <v>23760</v>
      </c>
      <c r="G93" s="21">
        <f t="shared" si="4"/>
        <v>0</v>
      </c>
      <c r="H93" t="str">
        <f t="shared" si="5"/>
        <v>Match</v>
      </c>
      <c r="K93" t="str">
        <f>'System Generated 2026-08-24'!A93</f>
        <v>Coconut</v>
      </c>
    </row>
    <row r="94" spans="1:11" hidden="1" x14ac:dyDescent="0.25">
      <c r="A94" t="str">
        <v>Chinese Container 500ml</v>
      </c>
      <c r="B94" s="20">
        <f>IF($A94="","",IFERROR(_xlfn.XLOOKUP($A94,'System Generated 2026-08-24'!$A:$A,'System Generated 2026-08-24'!$B:$B),"Missing"))</f>
        <v>2146</v>
      </c>
      <c r="C94" s="20">
        <f>IF($A94="","",IFERROR(_xlfn.XLOOKUP($A94,Table1[Item],Table1[Current Stock]),"Missing"))</f>
        <v>2146</v>
      </c>
      <c r="D94" s="20">
        <f t="shared" si="3"/>
        <v>0</v>
      </c>
      <c r="E94" s="21">
        <f>IF($A94="","",IFERROR(_xlfn.XLOOKUP($A94,'System Generated 2026-08-24'!$A:$A,'System Generated 2026-08-24'!$E:$E),"Missing"))</f>
        <v>8584</v>
      </c>
      <c r="F94" s="21">
        <f>IF($A94="","",IFERROR(_xlfn.XLOOKUP($A94,Table1[Item],Table1[Total (₹)]),"Missing"))</f>
        <v>8584</v>
      </c>
      <c r="G94" s="21">
        <f t="shared" si="4"/>
        <v>0</v>
      </c>
      <c r="H94" t="str">
        <f t="shared" si="5"/>
        <v>Match</v>
      </c>
      <c r="K94" t="str">
        <f>'System Generated 2026-08-24'!A94</f>
        <v>Coconut Brooms</v>
      </c>
    </row>
    <row r="95" spans="1:11" hidden="1" x14ac:dyDescent="0.25">
      <c r="A95" t="str">
        <v>Chinese Container 750ml</v>
      </c>
      <c r="B95" s="20">
        <f>IF($A95="","",IFERROR(_xlfn.XLOOKUP($A95,'System Generated 2026-08-24'!$A:$A,'System Generated 2026-08-24'!$B:$B),"Missing"))</f>
        <v>200</v>
      </c>
      <c r="C95" s="20">
        <f>IF($A95="","",IFERROR(_xlfn.XLOOKUP($A95,Table1[Item],Table1[Current Stock]),"Missing"))</f>
        <v>200</v>
      </c>
      <c r="D95" s="20">
        <f t="shared" si="3"/>
        <v>0</v>
      </c>
      <c r="E95" s="21">
        <f>IF($A95="","",IFERROR(_xlfn.XLOOKUP($A95,'System Generated 2026-08-24'!$A:$A,'System Generated 2026-08-24'!$E:$E),"Missing"))</f>
        <v>2485.2399999999998</v>
      </c>
      <c r="F95" s="21">
        <f>IF($A95="","",IFERROR(_xlfn.XLOOKUP($A95,Table1[Item],Table1[Total (₹)]),"Missing"))</f>
        <v>2485.2399999999998</v>
      </c>
      <c r="G95" s="21">
        <f t="shared" si="4"/>
        <v>0</v>
      </c>
      <c r="H95" t="str">
        <f t="shared" si="5"/>
        <v>Match</v>
      </c>
      <c r="K95" t="str">
        <f>'System Generated 2026-08-24'!A95</f>
        <v>Coconut Oil</v>
      </c>
    </row>
    <row r="96" spans="1:11" hidden="1" x14ac:dyDescent="0.25">
      <c r="A96" t="str">
        <v>Chocolate Ice Cream</v>
      </c>
      <c r="B96" s="20">
        <f>IF($A96="","",IFERROR(_xlfn.XLOOKUP($A96,'System Generated 2026-08-24'!$A:$A,'System Generated 2026-08-24'!$B:$B),"Missing"))</f>
        <v>0</v>
      </c>
      <c r="C96" s="20">
        <f>IF($A96="","",IFERROR(_xlfn.XLOOKUP($A96,Table1[Item],Table1[Current Stock]),"Missing"))</f>
        <v>0</v>
      </c>
      <c r="D96" s="20">
        <f t="shared" si="3"/>
        <v>0</v>
      </c>
      <c r="E96" s="21">
        <f>IF($A96="","",IFERROR(_xlfn.XLOOKUP($A96,'System Generated 2026-08-24'!$A:$A,'System Generated 2026-08-24'!$E:$E),"Missing"))</f>
        <v>0</v>
      </c>
      <c r="F96" s="21">
        <f>IF($A96="","",IFERROR(_xlfn.XLOOKUP($A96,Table1[Item],Table1[Total (₹)]),"Missing"))</f>
        <v>0</v>
      </c>
      <c r="G96" s="21">
        <f t="shared" si="4"/>
        <v>0</v>
      </c>
      <c r="H96" t="str">
        <f t="shared" si="5"/>
        <v>Match</v>
      </c>
      <c r="K96" t="str">
        <f>'System Generated 2026-08-24'!A96</f>
        <v>Coconut Powder</v>
      </c>
    </row>
    <row r="97" spans="1:11" hidden="1" x14ac:dyDescent="0.25">
      <c r="A97" t="str">
        <v>Chocolate Sauce</v>
      </c>
      <c r="B97" s="20">
        <f>IF($A97="","",IFERROR(_xlfn.XLOOKUP($A97,'System Generated 2026-08-24'!$A:$A,'System Generated 2026-08-24'!$B:$B),"Missing"))</f>
        <v>3</v>
      </c>
      <c r="C97" s="20">
        <f>IF($A97="","",IFERROR(_xlfn.XLOOKUP($A97,Table1[Item],Table1[Current Stock]),"Missing"))</f>
        <v>3</v>
      </c>
      <c r="D97" s="20">
        <f t="shared" si="3"/>
        <v>0</v>
      </c>
      <c r="E97" s="21">
        <f>IF($A97="","",IFERROR(_xlfn.XLOOKUP($A97,'System Generated 2026-08-24'!$A:$A,'System Generated 2026-08-24'!$E:$E),"Missing"))</f>
        <v>758</v>
      </c>
      <c r="F97" s="21">
        <f>IF($A97="","",IFERROR(_xlfn.XLOOKUP($A97,Table1[Item],Table1[Total (₹)]),"Missing"))</f>
        <v>758.00099999999998</v>
      </c>
      <c r="G97" s="21">
        <f t="shared" si="4"/>
        <v>-9.9999999997635314E-4</v>
      </c>
      <c r="H97" t="str">
        <f t="shared" si="5"/>
        <v>Match</v>
      </c>
      <c r="K97" t="str">
        <f>'System Generated 2026-08-24'!A97</f>
        <v>Coffee Nescafe</v>
      </c>
    </row>
    <row r="98" spans="1:11" hidden="1" x14ac:dyDescent="0.25">
      <c r="A98" t="str">
        <v>Chole Masala</v>
      </c>
      <c r="B98" s="20">
        <f>IF($A98="","",IFERROR(_xlfn.XLOOKUP($A98,'System Generated 2026-08-24'!$A:$A,'System Generated 2026-08-24'!$B:$B),"Missing"))</f>
        <v>3.4</v>
      </c>
      <c r="C98" s="20">
        <f>IF($A98="","",IFERROR(_xlfn.XLOOKUP($A98,Table1[Item],Table1[Current Stock]),"Missing"))</f>
        <v>3.4</v>
      </c>
      <c r="D98" s="20">
        <f t="shared" si="3"/>
        <v>0</v>
      </c>
      <c r="E98" s="21">
        <f>IF($A98="","",IFERROR(_xlfn.XLOOKUP($A98,'System Generated 2026-08-24'!$A:$A,'System Generated 2026-08-24'!$E:$E),"Missing"))</f>
        <v>2130.67</v>
      </c>
      <c r="F98" s="21">
        <f>IF($A98="","",IFERROR(_xlfn.XLOOKUP($A98,Table1[Item],Table1[Total (₹)]),"Missing"))</f>
        <v>2130.6680000000001</v>
      </c>
      <c r="G98" s="21">
        <f t="shared" si="4"/>
        <v>1.9999999999527063E-3</v>
      </c>
      <c r="H98" t="str">
        <f t="shared" si="5"/>
        <v>Match</v>
      </c>
      <c r="K98" t="str">
        <f>'System Generated 2026-08-24'!A98</f>
        <v>Coffee Powder</v>
      </c>
    </row>
    <row r="99" spans="1:11" hidden="1" x14ac:dyDescent="0.25">
      <c r="A99" t="str">
        <v>Chukkakura</v>
      </c>
      <c r="B99" s="20">
        <f>IF($A99="","",IFERROR(_xlfn.XLOOKUP($A99,'System Generated 2026-08-24'!$A:$A,'System Generated 2026-08-24'!$B:$B),"Missing"))</f>
        <v>0</v>
      </c>
      <c r="C99" s="20" t="str">
        <f>IF($A99="","",IFERROR(_xlfn.XLOOKUP($A99,Table1[Item],Table1[Current Stock]),"Missing"))</f>
        <v>Missing</v>
      </c>
      <c r="D99" s="20" t="str">
        <f t="shared" si="3"/>
        <v>N/A</v>
      </c>
      <c r="E99" s="21">
        <f>IF($A99="","",IFERROR(_xlfn.XLOOKUP($A99,'System Generated 2026-08-24'!$A:$A,'System Generated 2026-08-24'!$E:$E),"Missing"))</f>
        <v>0</v>
      </c>
      <c r="F99" s="21" t="str">
        <f>IF($A99="","",IFERROR(_xlfn.XLOOKUP($A99,Table1[Item],Table1[Total (₹)]),"Missing"))</f>
        <v>Missing</v>
      </c>
      <c r="G99" s="21" t="str">
        <f t="shared" si="4"/>
        <v>N/A</v>
      </c>
      <c r="H99" t="str">
        <f t="shared" si="5"/>
        <v>Missing in Hotel Data</v>
      </c>
      <c r="K99" t="str">
        <f>'System Generated 2026-08-24'!A99</f>
        <v>Coke</v>
      </c>
    </row>
    <row r="100" spans="1:11" hidden="1" x14ac:dyDescent="0.25">
      <c r="A100" t="str">
        <v>Cleaning Brush</v>
      </c>
      <c r="B100" s="20">
        <f>IF($A100="","",IFERROR(_xlfn.XLOOKUP($A100,'System Generated 2026-08-24'!$A:$A,'System Generated 2026-08-24'!$B:$B),"Missing"))</f>
        <v>6</v>
      </c>
      <c r="C100" s="20">
        <f>IF($A100="","",IFERROR(_xlfn.XLOOKUP($A100,Table1[Item],Table1[Current Stock]),"Missing"))</f>
        <v>6</v>
      </c>
      <c r="D100" s="20">
        <f t="shared" si="3"/>
        <v>0</v>
      </c>
      <c r="E100" s="21">
        <f>IF($A100="","",IFERROR(_xlfn.XLOOKUP($A100,'System Generated 2026-08-24'!$A:$A,'System Generated 2026-08-24'!$E:$E),"Missing"))</f>
        <v>780</v>
      </c>
      <c r="F100" s="21">
        <f>IF($A100="","",IFERROR(_xlfn.XLOOKUP($A100,Table1[Item],Table1[Total (₹)]),"Missing"))</f>
        <v>780</v>
      </c>
      <c r="G100" s="21">
        <f t="shared" si="4"/>
        <v>0</v>
      </c>
      <c r="H100" t="str">
        <f t="shared" si="5"/>
        <v>Match</v>
      </c>
      <c r="K100" t="str">
        <f>'System Generated 2026-08-24'!A100</f>
        <v>Combs</v>
      </c>
    </row>
    <row r="101" spans="1:11" hidden="1" x14ac:dyDescent="0.25">
      <c r="A101" t="str">
        <v>Cleaning Coth</v>
      </c>
      <c r="B101" s="20">
        <f>IF($A101="","",IFERROR(_xlfn.XLOOKUP($A101,'System Generated 2026-08-24'!$A:$A,'System Generated 2026-08-24'!$B:$B),"Missing"))</f>
        <v>27</v>
      </c>
      <c r="C101" s="20">
        <f>IF($A101="","",IFERROR(_xlfn.XLOOKUP($A101,Table1[Item],Table1[Current Stock]),"Missing"))</f>
        <v>27</v>
      </c>
      <c r="D101" s="20">
        <f t="shared" si="3"/>
        <v>0</v>
      </c>
      <c r="E101" s="21">
        <f>IF($A101="","",IFERROR(_xlfn.XLOOKUP($A101,'System Generated 2026-08-24'!$A:$A,'System Generated 2026-08-24'!$E:$E),"Missing"))</f>
        <v>810</v>
      </c>
      <c r="F101" s="21">
        <f>IF($A101="","",IFERROR(_xlfn.XLOOKUP($A101,Table1[Item],Table1[Total (₹)]),"Missing"))</f>
        <v>810</v>
      </c>
      <c r="G101" s="21">
        <f t="shared" si="4"/>
        <v>0</v>
      </c>
      <c r="H101" t="str">
        <f t="shared" si="5"/>
        <v>Match</v>
      </c>
      <c r="K101" t="str">
        <f>'System Generated 2026-08-24'!A101</f>
        <v>Compostable Grocery Bags 13*16</v>
      </c>
    </row>
    <row r="102" spans="1:11" hidden="1" x14ac:dyDescent="0.25">
      <c r="A102" t="str">
        <v>Cling Wrap</v>
      </c>
      <c r="B102" s="20">
        <f>IF($A102="","",IFERROR(_xlfn.XLOOKUP($A102,'System Generated 2026-08-24'!$A:$A,'System Generated 2026-08-24'!$B:$B),"Missing"))</f>
        <v>4</v>
      </c>
      <c r="C102" s="20" t="str">
        <f>IF($A102="","",IFERROR(_xlfn.XLOOKUP($A102,Table1[Item],Table1[Current Stock]),"Missing"))</f>
        <v>Missing</v>
      </c>
      <c r="D102" s="20" t="str">
        <f t="shared" si="3"/>
        <v>N/A</v>
      </c>
      <c r="E102" s="21">
        <f>IF($A102="","",IFERROR(_xlfn.XLOOKUP($A102,'System Generated 2026-08-24'!$A:$A,'System Generated 2026-08-24'!$E:$E),"Missing"))</f>
        <v>0</v>
      </c>
      <c r="F102" s="21" t="str">
        <f>IF($A102="","",IFERROR(_xlfn.XLOOKUP($A102,Table1[Item],Table1[Total (₹)]),"Missing"))</f>
        <v>Missing</v>
      </c>
      <c r="G102" s="21" t="str">
        <f t="shared" si="4"/>
        <v>N/A</v>
      </c>
      <c r="H102" t="str">
        <f t="shared" si="5"/>
        <v>Missing in Hotel Data</v>
      </c>
      <c r="K102" t="str">
        <f>'System Generated 2026-08-24'!A102</f>
        <v>Compostable Grocery Bags 16*20</v>
      </c>
    </row>
    <row r="103" spans="1:11" hidden="1" x14ac:dyDescent="0.25">
      <c r="A103" t="str">
        <v>Coal</v>
      </c>
      <c r="B103" s="20">
        <f>IF($A103="","",IFERROR(_xlfn.XLOOKUP($A103,'System Generated 2026-08-24'!$A:$A,'System Generated 2026-08-24'!$B:$B),"Missing"))</f>
        <v>320</v>
      </c>
      <c r="C103" s="20">
        <f>IF($A103="","",IFERROR(_xlfn.XLOOKUP($A103,Table1[Item],Table1[Current Stock]),"Missing"))</f>
        <v>320</v>
      </c>
      <c r="D103" s="20">
        <f t="shared" si="3"/>
        <v>0</v>
      </c>
      <c r="E103" s="21">
        <f>IF($A103="","",IFERROR(_xlfn.XLOOKUP($A103,'System Generated 2026-08-24'!$A:$A,'System Generated 2026-08-24'!$E:$E),"Missing"))</f>
        <v>12800</v>
      </c>
      <c r="F103" s="21">
        <f>IF($A103="","",IFERROR(_xlfn.XLOOKUP($A103,Table1[Item],Table1[Total (₹)]),"Missing"))</f>
        <v>12800</v>
      </c>
      <c r="G103" s="21">
        <f t="shared" si="4"/>
        <v>0</v>
      </c>
      <c r="H103" t="str">
        <f t="shared" si="5"/>
        <v>Match</v>
      </c>
      <c r="K103" t="str">
        <f>'System Generated 2026-08-24'!A103</f>
        <v>Corn Flakes</v>
      </c>
    </row>
    <row r="104" spans="1:11" x14ac:dyDescent="0.25">
      <c r="A104" t="str">
        <v>Coco Powder</v>
      </c>
      <c r="B104" s="20" t="str">
        <f>IF($A104="","",IFERROR(_xlfn.XLOOKUP($A104,'System Generated 2026-08-24'!$A:$A,'System Generated 2026-08-24'!$B:$B),"Missing"))</f>
        <v>Missing</v>
      </c>
      <c r="C104" s="20">
        <f>IF($A104="","",IFERROR(_xlfn.XLOOKUP($A104,Table1[Item],Table1[Current Stock]),"Missing"))</f>
        <v>1</v>
      </c>
      <c r="D104" s="20" t="str">
        <f t="shared" si="3"/>
        <v>N/A</v>
      </c>
      <c r="E104" s="21" t="str">
        <f>IF($A104="","",IFERROR(_xlfn.XLOOKUP($A104,'System Generated 2026-08-24'!$A:$A,'System Generated 2026-08-24'!$E:$E),"Missing"))</f>
        <v>Missing</v>
      </c>
      <c r="F104" s="21">
        <f>IF($A104="","",IFERROR(_xlfn.XLOOKUP($A104,Table1[Item],Table1[Total (₹)]),"Missing"))</f>
        <v>220</v>
      </c>
      <c r="G104" s="21" t="str">
        <f t="shared" si="4"/>
        <v>N/A</v>
      </c>
      <c r="H104" t="str">
        <f t="shared" si="5"/>
        <v>Missing in App</v>
      </c>
      <c r="K104" t="str">
        <f>'System Generated 2026-08-24'!A104</f>
        <v>Corn Flour</v>
      </c>
    </row>
    <row r="105" spans="1:11" x14ac:dyDescent="0.25">
      <c r="A105" t="str">
        <v>Cocoa</v>
      </c>
      <c r="B105" s="20" t="str">
        <f>IF($A105="","",IFERROR(_xlfn.XLOOKUP($A105,'System Generated 2026-08-24'!$A:$A,'System Generated 2026-08-24'!$B:$B),"Missing"))</f>
        <v>Missing</v>
      </c>
      <c r="C105" s="20">
        <f>IF($A105="","",IFERROR(_xlfn.XLOOKUP($A105,Table1[Item],Table1[Current Stock]),"Missing"))</f>
        <v>0</v>
      </c>
      <c r="D105" s="20" t="str">
        <f t="shared" si="3"/>
        <v>N/A</v>
      </c>
      <c r="E105" s="21" t="str">
        <f>IF($A105="","",IFERROR(_xlfn.XLOOKUP($A105,'System Generated 2026-08-24'!$A:$A,'System Generated 2026-08-24'!$E:$E),"Missing"))</f>
        <v>Missing</v>
      </c>
      <c r="F105" s="21">
        <f>IF($A105="","",IFERROR(_xlfn.XLOOKUP($A105,Table1[Item],Table1[Total (₹)]),"Missing"))</f>
        <v>0</v>
      </c>
      <c r="G105" s="21" t="str">
        <f t="shared" si="4"/>
        <v>N/A</v>
      </c>
      <c r="H105" t="str">
        <f t="shared" si="5"/>
        <v>Missing in App</v>
      </c>
      <c r="K105" t="str">
        <f>'System Generated 2026-08-24'!A105</f>
        <v>Cream</v>
      </c>
    </row>
    <row r="106" spans="1:11" x14ac:dyDescent="0.25">
      <c r="A106" t="str">
        <v>Coconet Oil</v>
      </c>
      <c r="B106" s="20" t="str">
        <f>IF($A106="","",IFERROR(_xlfn.XLOOKUP($A106,'System Generated 2026-08-24'!$A:$A,'System Generated 2026-08-24'!$B:$B),"Missing"))</f>
        <v>Missing</v>
      </c>
      <c r="C106" s="20">
        <f>IF($A106="","",IFERROR(_xlfn.XLOOKUP($A106,Table1[Item],Table1[Current Stock]),"Missing"))</f>
        <v>1</v>
      </c>
      <c r="D106" s="20" t="str">
        <f t="shared" si="3"/>
        <v>N/A</v>
      </c>
      <c r="E106" s="21" t="str">
        <f>IF($A106="","",IFERROR(_xlfn.XLOOKUP($A106,'System Generated 2026-08-24'!$A:$A,'System Generated 2026-08-24'!$E:$E),"Missing"))</f>
        <v>Missing</v>
      </c>
      <c r="F106" s="21">
        <f>IF($A106="","",IFERROR(_xlfn.XLOOKUP($A106,Table1[Item],Table1[Total (₹)]),"Missing"))</f>
        <v>840</v>
      </c>
      <c r="G106" s="21" t="str">
        <f t="shared" si="4"/>
        <v>N/A</v>
      </c>
      <c r="H106" t="str">
        <f t="shared" si="5"/>
        <v>Missing in App</v>
      </c>
      <c r="K106" t="str">
        <f>'System Generated 2026-08-24'!A106</f>
        <v>Cucumber</v>
      </c>
    </row>
    <row r="107" spans="1:11" hidden="1" x14ac:dyDescent="0.25">
      <c r="A107" t="str">
        <v>Coconut</v>
      </c>
      <c r="B107" s="20">
        <f>IF($A107="","",IFERROR(_xlfn.XLOOKUP($A107,'System Generated 2026-08-24'!$A:$A,'System Generated 2026-08-24'!$B:$B),"Missing"))</f>
        <v>24</v>
      </c>
      <c r="C107" s="20">
        <f>IF($A107="","",IFERROR(_xlfn.XLOOKUP($A107,Table1[Item],Table1[Current Stock]),"Missing"))</f>
        <v>24</v>
      </c>
      <c r="D107" s="20">
        <f t="shared" si="3"/>
        <v>0</v>
      </c>
      <c r="E107" s="21">
        <f>IF($A107="","",IFERROR(_xlfn.XLOOKUP($A107,'System Generated 2026-08-24'!$A:$A,'System Generated 2026-08-24'!$E:$E),"Missing"))</f>
        <v>820.8</v>
      </c>
      <c r="F107" s="21">
        <f>IF($A107="","",IFERROR(_xlfn.XLOOKUP($A107,Table1[Item],Table1[Total (₹)]),"Missing"))</f>
        <v>820.8</v>
      </c>
      <c r="G107" s="21">
        <f t="shared" si="4"/>
        <v>0</v>
      </c>
      <c r="H107" t="str">
        <f t="shared" si="5"/>
        <v>Match</v>
      </c>
      <c r="K107" t="str">
        <f>'System Generated 2026-08-24'!A107</f>
        <v>Curd</v>
      </c>
    </row>
    <row r="108" spans="1:11" hidden="1" x14ac:dyDescent="0.25">
      <c r="A108" t="str">
        <v>Coconut Brooms</v>
      </c>
      <c r="B108" s="20">
        <f>IF($A108="","",IFERROR(_xlfn.XLOOKUP($A108,'System Generated 2026-08-24'!$A:$A,'System Generated 2026-08-24'!$B:$B),"Missing"))</f>
        <v>7</v>
      </c>
      <c r="C108" s="20">
        <f>IF($A108="","",IFERROR(_xlfn.XLOOKUP($A108,Table1[Item],Table1[Current Stock]),"Missing"))</f>
        <v>7</v>
      </c>
      <c r="D108" s="20">
        <f t="shared" si="3"/>
        <v>0</v>
      </c>
      <c r="E108" s="21">
        <f>IF($A108="","",IFERROR(_xlfn.XLOOKUP($A108,'System Generated 2026-08-24'!$A:$A,'System Generated 2026-08-24'!$E:$E),"Missing"))</f>
        <v>338.33</v>
      </c>
      <c r="F108" s="21">
        <f>IF($A108="","",IFERROR(_xlfn.XLOOKUP($A108,Table1[Item],Table1[Total (₹)]),"Missing"))</f>
        <v>338.33300000000003</v>
      </c>
      <c r="G108" s="21">
        <f t="shared" si="4"/>
        <v>-3.0000000000427463E-3</v>
      </c>
      <c r="H108" t="str">
        <f t="shared" si="5"/>
        <v>Match</v>
      </c>
      <c r="K108" t="str">
        <f>'System Generated 2026-08-24'!A108</f>
        <v>Curd Cups</v>
      </c>
    </row>
    <row r="109" spans="1:11" hidden="1" x14ac:dyDescent="0.25">
      <c r="A109" t="str">
        <v>Coconut Oil</v>
      </c>
      <c r="B109" s="20">
        <f>IF($A109="","",IFERROR(_xlfn.XLOOKUP($A109,'System Generated 2026-08-24'!$A:$A,'System Generated 2026-08-24'!$B:$B),"Missing"))</f>
        <v>18</v>
      </c>
      <c r="C109" s="20" t="str">
        <f>IF($A109="","",IFERROR(_xlfn.XLOOKUP($A109,Table1[Item],Table1[Current Stock]),"Missing"))</f>
        <v>Missing</v>
      </c>
      <c r="D109" s="20" t="str">
        <f t="shared" si="3"/>
        <v>N/A</v>
      </c>
      <c r="E109" s="21">
        <f>IF($A109="","",IFERROR(_xlfn.XLOOKUP($A109,'System Generated 2026-08-24'!$A:$A,'System Generated 2026-08-24'!$E:$E),"Missing"))</f>
        <v>15120</v>
      </c>
      <c r="F109" s="21" t="str">
        <f>IF($A109="","",IFERROR(_xlfn.XLOOKUP($A109,Table1[Item],Table1[Total (₹)]),"Missing"))</f>
        <v>Missing</v>
      </c>
      <c r="G109" s="21" t="str">
        <f t="shared" si="4"/>
        <v>N/A</v>
      </c>
      <c r="H109" t="str">
        <f t="shared" si="5"/>
        <v>Missing in Hotel Data</v>
      </c>
      <c r="K109" t="str">
        <f>'System Generated 2026-08-24'!A109</f>
        <v>Custic Soda</v>
      </c>
    </row>
    <row r="110" spans="1:11" hidden="1" x14ac:dyDescent="0.25">
      <c r="A110" t="str">
        <v>Coconut Powder</v>
      </c>
      <c r="B110" s="20">
        <f>IF($A110="","",IFERROR(_xlfn.XLOOKUP($A110,'System Generated 2026-08-24'!$A:$A,'System Generated 2026-08-24'!$B:$B),"Missing"))</f>
        <v>6.6</v>
      </c>
      <c r="C110" s="20">
        <f>IF($A110="","",IFERROR(_xlfn.XLOOKUP($A110,Table1[Item],Table1[Current Stock]),"Missing"))</f>
        <v>6.6</v>
      </c>
      <c r="D110" s="20">
        <f t="shared" si="3"/>
        <v>0</v>
      </c>
      <c r="E110" s="21">
        <f>IF($A110="","",IFERROR(_xlfn.XLOOKUP($A110,'System Generated 2026-08-24'!$A:$A,'System Generated 2026-08-24'!$E:$E),"Missing"))</f>
        <v>2146.4699999999998</v>
      </c>
      <c r="F110" s="21">
        <f>IF($A110="","",IFERROR(_xlfn.XLOOKUP($A110,Table1[Item],Table1[Total (₹)]),"Missing"))</f>
        <v>2146.4650000000001</v>
      </c>
      <c r="G110" s="21">
        <f t="shared" si="4"/>
        <v>4.999999999654392E-3</v>
      </c>
      <c r="H110" t="str">
        <f t="shared" si="5"/>
        <v>Match</v>
      </c>
      <c r="K110" t="str">
        <f>'System Generated 2026-08-24'!A110</f>
        <v>Custod Powder</v>
      </c>
    </row>
    <row r="111" spans="1:11" hidden="1" x14ac:dyDescent="0.25">
      <c r="A111" t="str">
        <v>Coffee Nescafe</v>
      </c>
      <c r="B111" s="20">
        <f>IF($A111="","",IFERROR(_xlfn.XLOOKUP($A111,'System Generated 2026-08-24'!$A:$A,'System Generated 2026-08-24'!$B:$B),"Missing"))</f>
        <v>11</v>
      </c>
      <c r="C111" s="20">
        <f>IF($A111="","",IFERROR(_xlfn.XLOOKUP($A111,Table1[Item],Table1[Current Stock]),"Missing"))</f>
        <v>11</v>
      </c>
      <c r="D111" s="20">
        <f t="shared" si="3"/>
        <v>0</v>
      </c>
      <c r="E111" s="21">
        <f>IF($A111="","",IFERROR(_xlfn.XLOOKUP($A111,'System Generated 2026-08-24'!$A:$A,'System Generated 2026-08-24'!$E:$E),"Missing"))</f>
        <v>853.14</v>
      </c>
      <c r="F111" s="21">
        <f>IF($A111="","",IFERROR(_xlfn.XLOOKUP($A111,Table1[Item],Table1[Total (₹)]),"Missing"))</f>
        <v>853.13499999999999</v>
      </c>
      <c r="G111" s="21">
        <f t="shared" si="4"/>
        <v>4.9999999999954525E-3</v>
      </c>
      <c r="H111" t="str">
        <f t="shared" si="5"/>
        <v>Match</v>
      </c>
      <c r="K111" t="str">
        <f>'System Generated 2026-08-24'!A111</f>
        <v>Dalchina</v>
      </c>
    </row>
    <row r="112" spans="1:11" hidden="1" x14ac:dyDescent="0.25">
      <c r="A112" t="str">
        <v>Coffee Powder</v>
      </c>
      <c r="B112" s="20">
        <f>IF($A112="","",IFERROR(_xlfn.XLOOKUP($A112,'System Generated 2026-08-24'!$A:$A,'System Generated 2026-08-24'!$B:$B),"Missing"))</f>
        <v>19</v>
      </c>
      <c r="C112" s="20">
        <f>IF($A112="","",IFERROR(_xlfn.XLOOKUP($A112,Table1[Item],Table1[Current Stock]),"Missing"))</f>
        <v>19</v>
      </c>
      <c r="D112" s="20">
        <f t="shared" si="3"/>
        <v>0</v>
      </c>
      <c r="E112" s="21">
        <f>IF($A112="","",IFERROR(_xlfn.XLOOKUP($A112,'System Generated 2026-08-24'!$A:$A,'System Generated 2026-08-24'!$E:$E),"Missing"))</f>
        <v>15909.3</v>
      </c>
      <c r="F112" s="21">
        <f>IF($A112="","",IFERROR(_xlfn.XLOOKUP($A112,Table1[Item],Table1[Total (₹)]),"Missing"))</f>
        <v>15909.251</v>
      </c>
      <c r="G112" s="21">
        <f t="shared" si="4"/>
        <v>4.8999999999068677E-2</v>
      </c>
      <c r="H112" t="str">
        <f t="shared" si="5"/>
        <v>Match</v>
      </c>
      <c r="K112" t="str">
        <f>'System Generated 2026-08-24'!A112</f>
        <v>Dalda</v>
      </c>
    </row>
    <row r="113" spans="1:11" hidden="1" x14ac:dyDescent="0.25">
      <c r="A113" t="str">
        <v>Coke</v>
      </c>
      <c r="B113" s="20">
        <f>IF($A113="","",IFERROR(_xlfn.XLOOKUP($A113,'System Generated 2026-08-24'!$A:$A,'System Generated 2026-08-24'!$B:$B),"Missing"))</f>
        <v>220</v>
      </c>
      <c r="C113" s="20">
        <f>IF($A113="","",IFERROR(_xlfn.XLOOKUP($A113,Table1[Item],Table1[Current Stock]),"Missing"))</f>
        <v>220</v>
      </c>
      <c r="D113" s="20">
        <f t="shared" si="3"/>
        <v>0</v>
      </c>
      <c r="E113" s="21">
        <f>IF($A113="","",IFERROR(_xlfn.XLOOKUP($A113,'System Generated 2026-08-24'!$A:$A,'System Generated 2026-08-24'!$E:$E),"Missing"))</f>
        <v>3997.73</v>
      </c>
      <c r="F113" s="21">
        <f>IF($A113="","",IFERROR(_xlfn.XLOOKUP($A113,Table1[Item],Table1[Total (₹)]),"Missing"))</f>
        <v>3997.73</v>
      </c>
      <c r="G113" s="21">
        <f t="shared" si="4"/>
        <v>0</v>
      </c>
      <c r="H113" t="str">
        <f t="shared" si="5"/>
        <v>Match</v>
      </c>
      <c r="K113" t="str">
        <f>'System Generated 2026-08-24'!A113</f>
        <v>Dark Choco Chips</v>
      </c>
    </row>
    <row r="114" spans="1:11" hidden="1" x14ac:dyDescent="0.25">
      <c r="A114" t="str">
        <v>Combs</v>
      </c>
      <c r="B114" s="20">
        <f>IF($A114="","",IFERROR(_xlfn.XLOOKUP($A114,'System Generated 2026-08-24'!$A:$A,'System Generated 2026-08-24'!$B:$B),"Missing"))</f>
        <v>1377</v>
      </c>
      <c r="C114" s="20">
        <f>IF($A114="","",IFERROR(_xlfn.XLOOKUP($A114,Table1[Item],Table1[Current Stock]),"Missing"))</f>
        <v>1377</v>
      </c>
      <c r="D114" s="20">
        <f t="shared" si="3"/>
        <v>0</v>
      </c>
      <c r="E114" s="21">
        <f>IF($A114="","",IFERROR(_xlfn.XLOOKUP($A114,'System Generated 2026-08-24'!$A:$A,'System Generated 2026-08-24'!$E:$E),"Missing"))</f>
        <v>0</v>
      </c>
      <c r="F114" s="21">
        <f>IF($A114="","",IFERROR(_xlfn.XLOOKUP($A114,Table1[Item],Table1[Total (₹)]),"Missing"))</f>
        <v>0</v>
      </c>
      <c r="G114" s="21">
        <f t="shared" si="4"/>
        <v>0</v>
      </c>
      <c r="H114" t="str">
        <f t="shared" si="5"/>
        <v>Match</v>
      </c>
      <c r="K114" t="str">
        <f>'System Generated 2026-08-24'!A114</f>
        <v>Delight Ice Cream</v>
      </c>
    </row>
    <row r="115" spans="1:11" hidden="1" x14ac:dyDescent="0.25">
      <c r="A115" t="str">
        <v>Compostable Grocery Bags 13*16</v>
      </c>
      <c r="B115" s="20">
        <f>IF($A115="","",IFERROR(_xlfn.XLOOKUP($A115,'System Generated 2026-08-24'!$A:$A,'System Generated 2026-08-24'!$B:$B),"Missing"))</f>
        <v>58</v>
      </c>
      <c r="C115" s="20">
        <f>IF($A115="","",IFERROR(_xlfn.XLOOKUP($A115,Table1[Item],Table1[Current Stock]),"Missing"))</f>
        <v>58</v>
      </c>
      <c r="D115" s="20">
        <f t="shared" si="3"/>
        <v>0</v>
      </c>
      <c r="E115" s="21">
        <f>IF($A115="","",IFERROR(_xlfn.XLOOKUP($A115,'System Generated 2026-08-24'!$A:$A,'System Generated 2026-08-24'!$E:$E),"Missing"))</f>
        <v>19331.099999999999</v>
      </c>
      <c r="F115" s="21">
        <f>IF($A115="","",IFERROR(_xlfn.XLOOKUP($A115,Table1[Item],Table1[Total (₹)]),"Missing"))</f>
        <v>19331.052</v>
      </c>
      <c r="G115" s="21">
        <f t="shared" si="4"/>
        <v>4.7999999998864951E-2</v>
      </c>
      <c r="H115" t="str">
        <f t="shared" si="5"/>
        <v>Match</v>
      </c>
      <c r="K115" t="str">
        <f>'System Generated 2026-08-24'!A115</f>
        <v>Dental Kit</v>
      </c>
    </row>
    <row r="116" spans="1:11" hidden="1" x14ac:dyDescent="0.25">
      <c r="A116" t="str">
        <v>Compostable Grocery Bags 16*20</v>
      </c>
      <c r="B116" s="20">
        <f>IF($A116="","",IFERROR(_xlfn.XLOOKUP($A116,'System Generated 2026-08-24'!$A:$A,'System Generated 2026-08-24'!$B:$B),"Missing"))</f>
        <v>10</v>
      </c>
      <c r="C116" s="20">
        <f>IF($A116="","",IFERROR(_xlfn.XLOOKUP($A116,Table1[Item],Table1[Current Stock]),"Missing"))</f>
        <v>10</v>
      </c>
      <c r="D116" s="20">
        <f t="shared" si="3"/>
        <v>0</v>
      </c>
      <c r="E116" s="21">
        <f>IF($A116="","",IFERROR(_xlfn.XLOOKUP($A116,'System Generated 2026-08-24'!$A:$A,'System Generated 2026-08-24'!$E:$E),"Missing"))</f>
        <v>9322.5499999999993</v>
      </c>
      <c r="F116" s="21">
        <f>IF($A116="","",IFERROR(_xlfn.XLOOKUP($A116,Table1[Item],Table1[Total (₹)]),"Missing"))</f>
        <v>9322.5499999999993</v>
      </c>
      <c r="G116" s="21">
        <f t="shared" si="4"/>
        <v>0</v>
      </c>
      <c r="H116" t="str">
        <f t="shared" si="5"/>
        <v>Match</v>
      </c>
      <c r="K116" t="str">
        <f>'System Generated 2026-08-24'!A116</f>
        <v>Dhaniya</v>
      </c>
    </row>
    <row r="117" spans="1:11" x14ac:dyDescent="0.25">
      <c r="A117" t="str">
        <v>Cookies Rec.box 750ml</v>
      </c>
      <c r="B117" s="20" t="str">
        <f>IF($A117="","",IFERROR(_xlfn.XLOOKUP($A117,'System Generated 2026-08-24'!$A:$A,'System Generated 2026-08-24'!$B:$B),"Missing"))</f>
        <v>Missing</v>
      </c>
      <c r="C117" s="20">
        <f>IF($A117="","",IFERROR(_xlfn.XLOOKUP($A117,Table1[Item],Table1[Current Stock]),"Missing"))</f>
        <v>0</v>
      </c>
      <c r="D117" s="20" t="str">
        <f t="shared" si="3"/>
        <v>N/A</v>
      </c>
      <c r="E117" s="21" t="str">
        <f>IF($A117="","",IFERROR(_xlfn.XLOOKUP($A117,'System Generated 2026-08-24'!$A:$A,'System Generated 2026-08-24'!$E:$E),"Missing"))</f>
        <v>Missing</v>
      </c>
      <c r="F117" s="21">
        <f>IF($A117="","",IFERROR(_xlfn.XLOOKUP($A117,Table1[Item],Table1[Total (₹)]),"Missing"))</f>
        <v>0</v>
      </c>
      <c r="G117" s="21" t="str">
        <f t="shared" si="4"/>
        <v>N/A</v>
      </c>
      <c r="H117" t="str">
        <f t="shared" si="5"/>
        <v>Missing in App</v>
      </c>
      <c r="K117" t="str">
        <f>'System Generated 2026-08-24'!A117</f>
        <v>Dhaniya Powder</v>
      </c>
    </row>
    <row r="118" spans="1:11" hidden="1" x14ac:dyDescent="0.25">
      <c r="A118" t="str">
        <v>Corn Flakes</v>
      </c>
      <c r="B118" s="20">
        <f>IF($A118="","",IFERROR(_xlfn.XLOOKUP($A118,'System Generated 2026-08-24'!$A:$A,'System Generated 2026-08-24'!$B:$B),"Missing"))</f>
        <v>1</v>
      </c>
      <c r="C118" s="20">
        <f>IF($A118="","",IFERROR(_xlfn.XLOOKUP($A118,Table1[Item],Table1[Current Stock]),"Missing"))</f>
        <v>1</v>
      </c>
      <c r="D118" s="20">
        <f t="shared" si="3"/>
        <v>0</v>
      </c>
      <c r="E118" s="21">
        <f>IF($A118="","",IFERROR(_xlfn.XLOOKUP($A118,'System Generated 2026-08-24'!$A:$A,'System Generated 2026-08-24'!$E:$E),"Missing"))</f>
        <v>350</v>
      </c>
      <c r="F118" s="21">
        <f>IF($A118="","",IFERROR(_xlfn.XLOOKUP($A118,Table1[Item],Table1[Total (₹)]),"Missing"))</f>
        <v>350</v>
      </c>
      <c r="G118" s="21">
        <f t="shared" si="4"/>
        <v>0</v>
      </c>
      <c r="H118" t="str">
        <f t="shared" si="5"/>
        <v>Match</v>
      </c>
      <c r="K118" t="str">
        <f>'System Generated 2026-08-24'!A118</f>
        <v>Dilpasand</v>
      </c>
    </row>
    <row r="119" spans="1:11" hidden="1" x14ac:dyDescent="0.25">
      <c r="A119" t="str">
        <v>Corn Flour</v>
      </c>
      <c r="B119" s="20">
        <f>IF($A119="","",IFERROR(_xlfn.XLOOKUP($A119,'System Generated 2026-08-24'!$A:$A,'System Generated 2026-08-24'!$B:$B),"Missing"))</f>
        <v>0.8</v>
      </c>
      <c r="C119" s="20">
        <f>IF($A119="","",IFERROR(_xlfn.XLOOKUP($A119,Table1[Item],Table1[Current Stock]),"Missing"))</f>
        <v>0.8</v>
      </c>
      <c r="D119" s="20">
        <f t="shared" si="3"/>
        <v>0</v>
      </c>
      <c r="E119" s="21">
        <f>IF($A119="","",IFERROR(_xlfn.XLOOKUP($A119,'System Generated 2026-08-24'!$A:$A,'System Generated 2026-08-24'!$E:$E),"Missing"))</f>
        <v>25.76</v>
      </c>
      <c r="F119" s="21">
        <f>IF($A119="","",IFERROR(_xlfn.XLOOKUP($A119,Table1[Item],Table1[Total (₹)]),"Missing"))</f>
        <v>25.76</v>
      </c>
      <c r="G119" s="21">
        <f t="shared" si="4"/>
        <v>0</v>
      </c>
      <c r="H119" t="str">
        <f t="shared" si="5"/>
        <v>Match</v>
      </c>
      <c r="K119" t="str">
        <f>'System Generated 2026-08-24'!A119</f>
        <v>Dondakaya</v>
      </c>
    </row>
    <row r="120" spans="1:11" hidden="1" x14ac:dyDescent="0.25">
      <c r="A120" t="str">
        <v>Cream</v>
      </c>
      <c r="B120" s="20">
        <f>IF($A120="","",IFERROR(_xlfn.XLOOKUP($A120,'System Generated 2026-08-24'!$A:$A,'System Generated 2026-08-24'!$B:$B),"Missing"))</f>
        <v>10</v>
      </c>
      <c r="C120" s="20">
        <f>IF($A120="","",IFERROR(_xlfn.XLOOKUP($A120,Table1[Item],Table1[Current Stock]),"Missing"))</f>
        <v>10</v>
      </c>
      <c r="D120" s="20">
        <f t="shared" si="3"/>
        <v>0</v>
      </c>
      <c r="E120" s="21">
        <f>IF($A120="","",IFERROR(_xlfn.XLOOKUP($A120,'System Generated 2026-08-24'!$A:$A,'System Generated 2026-08-24'!$E:$E),"Missing"))</f>
        <v>1706.25</v>
      </c>
      <c r="F120" s="21">
        <f>IF($A120="","",IFERROR(_xlfn.XLOOKUP($A120,Table1[Item],Table1[Total (₹)]),"Missing"))</f>
        <v>1706.25</v>
      </c>
      <c r="G120" s="21">
        <f t="shared" si="4"/>
        <v>0</v>
      </c>
      <c r="H120" t="str">
        <f t="shared" si="5"/>
        <v>Match</v>
      </c>
      <c r="K120" t="str">
        <f>'System Generated 2026-08-24'!A120</f>
        <v>Dosa Box</v>
      </c>
    </row>
    <row r="121" spans="1:11" hidden="1" x14ac:dyDescent="0.25">
      <c r="A121" t="str">
        <v>Cucumber</v>
      </c>
      <c r="B121" s="20">
        <f>IF($A121="","",IFERROR(_xlfn.XLOOKUP($A121,'System Generated 2026-08-24'!$A:$A,'System Generated 2026-08-24'!$B:$B),"Missing"))</f>
        <v>0</v>
      </c>
      <c r="C121" s="20" t="str">
        <f>IF($A121="","",IFERROR(_xlfn.XLOOKUP($A121,Table1[Item],Table1[Current Stock]),"Missing"))</f>
        <v>Missing</v>
      </c>
      <c r="D121" s="20" t="str">
        <f t="shared" si="3"/>
        <v>N/A</v>
      </c>
      <c r="E121" s="21">
        <f>IF($A121="","",IFERROR(_xlfn.XLOOKUP($A121,'System Generated 2026-08-24'!$A:$A,'System Generated 2026-08-24'!$E:$E),"Missing"))</f>
        <v>0</v>
      </c>
      <c r="F121" s="21" t="str">
        <f>IF($A121="","",IFERROR(_xlfn.XLOOKUP($A121,Table1[Item],Table1[Total (₹)]),"Missing"))</f>
        <v>Missing</v>
      </c>
      <c r="G121" s="21" t="str">
        <f t="shared" si="4"/>
        <v>N/A</v>
      </c>
      <c r="H121" t="str">
        <f t="shared" si="5"/>
        <v>Missing in Hotel Data</v>
      </c>
      <c r="K121" t="str">
        <f>'System Generated 2026-08-24'!A121</f>
        <v>Dosa Broom</v>
      </c>
    </row>
    <row r="122" spans="1:11" hidden="1" x14ac:dyDescent="0.25">
      <c r="A122" t="str">
        <v>Curd</v>
      </c>
      <c r="B122" s="20">
        <f>IF($A122="","",IFERROR(_xlfn.XLOOKUP($A122,'System Generated 2026-08-24'!$A:$A,'System Generated 2026-08-24'!$B:$B),"Missing"))</f>
        <v>5</v>
      </c>
      <c r="C122" s="20">
        <f>IF($A122="","",IFERROR(_xlfn.XLOOKUP($A122,Table1[Item],Table1[Current Stock]),"Missing"))</f>
        <v>5</v>
      </c>
      <c r="D122" s="20">
        <f t="shared" si="3"/>
        <v>0</v>
      </c>
      <c r="E122" s="21">
        <f>IF($A122="","",IFERROR(_xlfn.XLOOKUP($A122,'System Generated 2026-08-24'!$A:$A,'System Generated 2026-08-24'!$E:$E),"Missing"))</f>
        <v>340</v>
      </c>
      <c r="F122" s="21">
        <f>IF($A122="","",IFERROR(_xlfn.XLOOKUP($A122,Table1[Item],Table1[Total (₹)]),"Missing"))</f>
        <v>339.99799999999999</v>
      </c>
      <c r="G122" s="21">
        <f t="shared" si="4"/>
        <v>2.0000000000095497E-3</v>
      </c>
      <c r="H122" t="str">
        <f t="shared" si="5"/>
        <v>Match</v>
      </c>
      <c r="K122" t="str">
        <f>'System Generated 2026-08-24'!A122</f>
        <v>Dosa Flour</v>
      </c>
    </row>
    <row r="123" spans="1:11" hidden="1" x14ac:dyDescent="0.25">
      <c r="A123" t="str">
        <v>Curd Cups</v>
      </c>
      <c r="B123" s="20">
        <f>IF($A123="","",IFERROR(_xlfn.XLOOKUP($A123,'System Generated 2026-08-24'!$A:$A,'System Generated 2026-08-24'!$B:$B),"Missing"))</f>
        <v>324</v>
      </c>
      <c r="C123" s="20">
        <f>IF($A123="","",IFERROR(_xlfn.XLOOKUP($A123,Table1[Item],Table1[Current Stock]),"Missing"))</f>
        <v>324</v>
      </c>
      <c r="D123" s="20">
        <f t="shared" si="3"/>
        <v>0</v>
      </c>
      <c r="E123" s="21">
        <f>IF($A123="","",IFERROR(_xlfn.XLOOKUP($A123,'System Generated 2026-08-24'!$A:$A,'System Generated 2026-08-24'!$E:$E),"Missing"))</f>
        <v>3558.17</v>
      </c>
      <c r="F123" s="21">
        <f>IF($A123="","",IFERROR(_xlfn.XLOOKUP($A123,Table1[Item],Table1[Total (₹)]),"Missing"))</f>
        <v>3558.1680000000001</v>
      </c>
      <c r="G123" s="21">
        <f t="shared" si="4"/>
        <v>1.9999999999527063E-3</v>
      </c>
      <c r="H123" t="str">
        <f t="shared" si="5"/>
        <v>Match</v>
      </c>
      <c r="K123" t="str">
        <f>'System Generated 2026-08-24'!A123</f>
        <v>Dosa Rice</v>
      </c>
    </row>
    <row r="124" spans="1:11" hidden="1" x14ac:dyDescent="0.25">
      <c r="A124" t="str">
        <v>Custic Soda</v>
      </c>
      <c r="B124" s="20">
        <f>IF($A124="","",IFERROR(_xlfn.XLOOKUP($A124,'System Generated 2026-08-24'!$A:$A,'System Generated 2026-08-24'!$B:$B),"Missing"))</f>
        <v>2</v>
      </c>
      <c r="C124" s="20">
        <f>IF($A124="","",IFERROR(_xlfn.XLOOKUP($A124,Table1[Item],Table1[Current Stock]),"Missing"))</f>
        <v>2</v>
      </c>
      <c r="D124" s="20">
        <f t="shared" si="3"/>
        <v>0</v>
      </c>
      <c r="E124" s="21">
        <f>IF($A124="","",IFERROR(_xlfn.XLOOKUP($A124,'System Generated 2026-08-24'!$A:$A,'System Generated 2026-08-24'!$E:$E),"Missing"))</f>
        <v>250</v>
      </c>
      <c r="F124" s="21">
        <f>IF($A124="","",IFERROR(_xlfn.XLOOKUP($A124,Table1[Item],Table1[Total (₹)]),"Missing"))</f>
        <v>250</v>
      </c>
      <c r="G124" s="21">
        <f t="shared" si="4"/>
        <v>0</v>
      </c>
      <c r="H124" t="str">
        <f t="shared" si="5"/>
        <v>Match</v>
      </c>
      <c r="K124" t="str">
        <f>'System Generated 2026-08-24'!A124</f>
        <v>Dr Ravva</v>
      </c>
    </row>
    <row r="125" spans="1:11" hidden="1" x14ac:dyDescent="0.25">
      <c r="A125" t="str">
        <v>Custod Powder</v>
      </c>
      <c r="B125" s="20">
        <f>IF($A125="","",IFERROR(_xlfn.XLOOKUP($A125,'System Generated 2026-08-24'!$A:$A,'System Generated 2026-08-24'!$B:$B),"Missing"))</f>
        <v>2.0249999999999999</v>
      </c>
      <c r="C125" s="20">
        <f>IF($A125="","",IFERROR(_xlfn.XLOOKUP($A125,Table1[Item],Table1[Current Stock]),"Missing"))</f>
        <v>2.0249999999999999</v>
      </c>
      <c r="D125" s="20">
        <f t="shared" si="3"/>
        <v>0</v>
      </c>
      <c r="E125" s="21">
        <f>IF($A125="","",IFERROR(_xlfn.XLOOKUP($A125,'System Generated 2026-08-24'!$A:$A,'System Generated 2026-08-24'!$E:$E),"Missing"))</f>
        <v>290.25</v>
      </c>
      <c r="F125" s="21">
        <f>IF($A125="","",IFERROR(_xlfn.XLOOKUP($A125,Table1[Item],Table1[Total (₹)]),"Missing"))</f>
        <v>290.24900000000002</v>
      </c>
      <c r="G125" s="21">
        <f t="shared" si="4"/>
        <v>9.9999999997635314E-4</v>
      </c>
      <c r="H125" t="str">
        <f t="shared" si="5"/>
        <v>Match</v>
      </c>
      <c r="K125" t="str">
        <f>'System Generated 2026-08-24'!A125</f>
        <v>Dry Coconut</v>
      </c>
    </row>
    <row r="126" spans="1:11" hidden="1" x14ac:dyDescent="0.25">
      <c r="A126" t="str">
        <v>Dalchina</v>
      </c>
      <c r="B126" s="20">
        <f>IF($A126="","",IFERROR(_xlfn.XLOOKUP($A126,'System Generated 2026-08-24'!$A:$A,'System Generated 2026-08-24'!$B:$B),"Missing"))</f>
        <v>3.76</v>
      </c>
      <c r="C126" s="20">
        <f>IF($A126="","",IFERROR(_xlfn.XLOOKUP($A126,Table1[Item],Table1[Current Stock]),"Missing"))</f>
        <v>3.76</v>
      </c>
      <c r="D126" s="20">
        <f t="shared" si="3"/>
        <v>0</v>
      </c>
      <c r="E126" s="21">
        <f>IF($A126="","",IFERROR(_xlfn.XLOOKUP($A126,'System Generated 2026-08-24'!$A:$A,'System Generated 2026-08-24'!$E:$E),"Missing"))</f>
        <v>1221.3699999999999</v>
      </c>
      <c r="F126" s="21">
        <f>IF($A126="","",IFERROR(_xlfn.XLOOKUP($A126,Table1[Item],Table1[Total (₹)]),"Missing"))</f>
        <v>1221.3720000000001</v>
      </c>
      <c r="G126" s="21">
        <f t="shared" si="4"/>
        <v>-2.00000000018008E-3</v>
      </c>
      <c r="H126" t="str">
        <f t="shared" si="5"/>
        <v>Match</v>
      </c>
      <c r="K126" t="str">
        <f>'System Generated 2026-08-24'!A126</f>
        <v>Dry Yeast</v>
      </c>
    </row>
    <row r="127" spans="1:11" hidden="1" x14ac:dyDescent="0.25">
      <c r="A127" t="str">
        <v>Dalda</v>
      </c>
      <c r="B127" s="20">
        <f>IF($A127="","",IFERROR(_xlfn.XLOOKUP($A127,'System Generated 2026-08-24'!$A:$A,'System Generated 2026-08-24'!$B:$B),"Missing"))</f>
        <v>2.5</v>
      </c>
      <c r="C127" s="20">
        <f>IF($A127="","",IFERROR(_xlfn.XLOOKUP($A127,Table1[Item],Table1[Current Stock]),"Missing"))</f>
        <v>2.5</v>
      </c>
      <c r="D127" s="20">
        <f t="shared" si="3"/>
        <v>0</v>
      </c>
      <c r="E127" s="21">
        <f>IF($A127="","",IFERROR(_xlfn.XLOOKUP($A127,'System Generated 2026-08-24'!$A:$A,'System Generated 2026-08-24'!$E:$E),"Missing"))</f>
        <v>483</v>
      </c>
      <c r="F127" s="21">
        <f>IF($A127="","",IFERROR(_xlfn.XLOOKUP($A127,Table1[Item],Table1[Total (₹)]),"Missing"))</f>
        <v>483</v>
      </c>
      <c r="G127" s="21">
        <f t="shared" si="4"/>
        <v>0</v>
      </c>
      <c r="H127" t="str">
        <f t="shared" si="5"/>
        <v>Match</v>
      </c>
      <c r="K127" t="str">
        <f>'System Generated 2026-08-24'!A127</f>
        <v>Dust Bin Covers</v>
      </c>
    </row>
    <row r="128" spans="1:11" hidden="1" x14ac:dyDescent="0.25">
      <c r="A128" t="str">
        <v>Dark Choco Chips</v>
      </c>
      <c r="B128" s="20">
        <f>IF($A128="","",IFERROR(_xlfn.XLOOKUP($A128,'System Generated 2026-08-24'!$A:$A,'System Generated 2026-08-24'!$B:$B),"Missing"))</f>
        <v>1</v>
      </c>
      <c r="C128" s="20">
        <f>IF($A128="","",IFERROR(_xlfn.XLOOKUP($A128,Table1[Item],Table1[Current Stock]),"Missing"))</f>
        <v>1</v>
      </c>
      <c r="D128" s="20">
        <f t="shared" si="3"/>
        <v>0</v>
      </c>
      <c r="E128" s="21">
        <f>IF($A128="","",IFERROR(_xlfn.XLOOKUP($A128,'System Generated 2026-08-24'!$A:$A,'System Generated 2026-08-24'!$E:$E),"Missing"))</f>
        <v>280</v>
      </c>
      <c r="F128" s="21">
        <f>IF($A128="","",IFERROR(_xlfn.XLOOKUP($A128,Table1[Item],Table1[Total (₹)]),"Missing"))</f>
        <v>280</v>
      </c>
      <c r="G128" s="21">
        <f t="shared" si="4"/>
        <v>0</v>
      </c>
      <c r="H128" t="str">
        <f t="shared" si="5"/>
        <v>Match</v>
      </c>
      <c r="K128" t="str">
        <f>'System Generated 2026-08-24'!A128</f>
        <v>Dust Pan</v>
      </c>
    </row>
    <row r="129" spans="1:11" x14ac:dyDescent="0.25">
      <c r="A129" t="str">
        <v>Dark Chocolate</v>
      </c>
      <c r="B129" s="20" t="str">
        <f>IF($A129="","",IFERROR(_xlfn.XLOOKUP($A129,'System Generated 2026-08-24'!$A:$A,'System Generated 2026-08-24'!$B:$B),"Missing"))</f>
        <v>Missing</v>
      </c>
      <c r="C129" s="20">
        <f>IF($A129="","",IFERROR(_xlfn.XLOOKUP($A129,Table1[Item],Table1[Current Stock]),"Missing"))</f>
        <v>2</v>
      </c>
      <c r="D129" s="20" t="str">
        <f t="shared" si="3"/>
        <v>N/A</v>
      </c>
      <c r="E129" s="21" t="str">
        <f>IF($A129="","",IFERROR(_xlfn.XLOOKUP($A129,'System Generated 2026-08-24'!$A:$A,'System Generated 2026-08-24'!$E:$E),"Missing"))</f>
        <v>Missing</v>
      </c>
      <c r="F129" s="21">
        <f>IF($A129="","",IFERROR(_xlfn.XLOOKUP($A129,Table1[Item],Table1[Total (₹)]),"Missing"))</f>
        <v>621.53800000000001</v>
      </c>
      <c r="G129" s="21" t="str">
        <f t="shared" si="4"/>
        <v>N/A</v>
      </c>
      <c r="H129" t="str">
        <f t="shared" si="5"/>
        <v>Missing in App</v>
      </c>
      <c r="K129" t="str">
        <f>'System Generated 2026-08-24'!A129</f>
        <v>Eating Soda</v>
      </c>
    </row>
    <row r="130" spans="1:11" hidden="1" x14ac:dyDescent="0.25">
      <c r="A130" t="str">
        <v>Delight Ice Cream</v>
      </c>
      <c r="B130" s="20">
        <f>IF($A130="","",IFERROR(_xlfn.XLOOKUP($A130,'System Generated 2026-08-24'!$A:$A,'System Generated 2026-08-24'!$B:$B),"Missing"))</f>
        <v>0</v>
      </c>
      <c r="C130" s="20">
        <f>IF($A130="","",IFERROR(_xlfn.XLOOKUP($A130,Table1[Item],Table1[Current Stock]),"Missing"))</f>
        <v>0</v>
      </c>
      <c r="D130" s="20">
        <f t="shared" si="3"/>
        <v>0</v>
      </c>
      <c r="E130" s="21">
        <f>IF($A130="","",IFERROR(_xlfn.XLOOKUP($A130,'System Generated 2026-08-24'!$A:$A,'System Generated 2026-08-24'!$E:$E),"Missing"))</f>
        <v>0</v>
      </c>
      <c r="F130" s="21">
        <f>IF($A130="","",IFERROR(_xlfn.XLOOKUP($A130,Table1[Item],Table1[Total (₹)]),"Missing"))</f>
        <v>0</v>
      </c>
      <c r="G130" s="21">
        <f t="shared" si="4"/>
        <v>0</v>
      </c>
      <c r="H130" t="str">
        <f t="shared" si="5"/>
        <v>Match</v>
      </c>
      <c r="K130" t="str">
        <f>'System Generated 2026-08-24'!A130</f>
        <v>Eggs</v>
      </c>
    </row>
    <row r="131" spans="1:11" hidden="1" x14ac:dyDescent="0.25">
      <c r="A131" t="str">
        <v>Dental Kit</v>
      </c>
      <c r="B131" s="20">
        <f>IF($A131="","",IFERROR(_xlfn.XLOOKUP($A131,'System Generated 2026-08-24'!$A:$A,'System Generated 2026-08-24'!$B:$B),"Missing"))</f>
        <v>1387</v>
      </c>
      <c r="C131" s="20">
        <f>IF($A131="","",IFERROR(_xlfn.XLOOKUP($A131,Table1[Item],Table1[Current Stock]),"Missing"))</f>
        <v>1387</v>
      </c>
      <c r="D131" s="20">
        <f t="shared" ref="D131:D194" si="6">IF($A131="","",IF(OR(B131="Missing",C131="Missing"),"N/A",B131-C131))</f>
        <v>0</v>
      </c>
      <c r="E131" s="21">
        <f>IF($A131="","",IFERROR(_xlfn.XLOOKUP($A131,'System Generated 2026-08-24'!$A:$A,'System Generated 2026-08-24'!$E:$E),"Missing"))</f>
        <v>17337.5</v>
      </c>
      <c r="F131" s="21">
        <f>IF($A131="","",IFERROR(_xlfn.XLOOKUP($A131,Table1[Item],Table1[Total (₹)]),"Missing"))</f>
        <v>17337.5</v>
      </c>
      <c r="G131" s="21">
        <f t="shared" ref="G131:G194" si="7">IF($A131="","",IF(OR(E131="Missing",F131="Missing"),"N/A",E131-F131))</f>
        <v>0</v>
      </c>
      <c r="H131" t="str">
        <f t="shared" ref="H131:H194" si="8">IF($A131="","",IF(B131="Missing","Missing in App",IF(C131="Missing","Missing in Hotel Data",IF(D131=0,"Match","Discrepancy"))))</f>
        <v>Match</v>
      </c>
      <c r="K131" t="str">
        <f>'System Generated 2026-08-24'!A131</f>
        <v>Elaichi</v>
      </c>
    </row>
    <row r="132" spans="1:11" x14ac:dyDescent="0.25">
      <c r="A132" t="str">
        <v>Dettol 1lit</v>
      </c>
      <c r="B132" s="20" t="str">
        <f>IF($A132="","",IFERROR(_xlfn.XLOOKUP($A132,'System Generated 2026-08-24'!$A:$A,'System Generated 2026-08-24'!$B:$B),"Missing"))</f>
        <v>Missing</v>
      </c>
      <c r="C132" s="20">
        <f>IF($A132="","",IFERROR(_xlfn.XLOOKUP($A132,Table1[Item],Table1[Current Stock]),"Missing"))</f>
        <v>0.5</v>
      </c>
      <c r="D132" s="20" t="str">
        <f t="shared" si="6"/>
        <v>N/A</v>
      </c>
      <c r="E132" s="21" t="str">
        <f>IF($A132="","",IFERROR(_xlfn.XLOOKUP($A132,'System Generated 2026-08-24'!$A:$A,'System Generated 2026-08-24'!$E:$E),"Missing"))</f>
        <v>Missing</v>
      </c>
      <c r="F132" s="21">
        <f>IF($A132="","",IFERROR(_xlfn.XLOOKUP($A132,Table1[Item],Table1[Total (₹)]),"Missing"))</f>
        <v>351.5</v>
      </c>
      <c r="G132" s="21" t="str">
        <f t="shared" si="7"/>
        <v>N/A</v>
      </c>
      <c r="H132" t="str">
        <f t="shared" si="8"/>
        <v>Missing in App</v>
      </c>
      <c r="K132" t="str">
        <f>'System Generated 2026-08-24'!A132</f>
        <v>Faluda Glass</v>
      </c>
    </row>
    <row r="133" spans="1:11" hidden="1" x14ac:dyDescent="0.25">
      <c r="A133" t="str">
        <v>Dhaniya</v>
      </c>
      <c r="B133" s="20">
        <f>IF($A133="","",IFERROR(_xlfn.XLOOKUP($A133,'System Generated 2026-08-24'!$A:$A,'System Generated 2026-08-24'!$B:$B),"Missing"))</f>
        <v>12.28</v>
      </c>
      <c r="C133" s="20">
        <f>IF($A133="","",IFERROR(_xlfn.XLOOKUP($A133,Table1[Item],Table1[Current Stock]),"Missing"))</f>
        <v>12.28</v>
      </c>
      <c r="D133" s="20">
        <f t="shared" si="6"/>
        <v>0</v>
      </c>
      <c r="E133" s="21">
        <f>IF($A133="","",IFERROR(_xlfn.XLOOKUP($A133,'System Generated 2026-08-24'!$A:$A,'System Generated 2026-08-24'!$E:$E),"Missing"))</f>
        <v>2077.7800000000002</v>
      </c>
      <c r="F133" s="21">
        <f>IF($A133="","",IFERROR(_xlfn.XLOOKUP($A133,Table1[Item],Table1[Total (₹)]),"Missing"))</f>
        <v>2077.7759999999998</v>
      </c>
      <c r="G133" s="21">
        <f t="shared" si="7"/>
        <v>4.0000000003601599E-3</v>
      </c>
      <c r="H133" t="str">
        <f t="shared" si="8"/>
        <v>Match</v>
      </c>
      <c r="K133" t="str">
        <f>'System Generated 2026-08-24'!A133</f>
        <v>Fish</v>
      </c>
    </row>
    <row r="134" spans="1:11" x14ac:dyDescent="0.25">
      <c r="A134" t="str">
        <v>Dhaniya Papu</v>
      </c>
      <c r="B134" s="20" t="str">
        <f>IF($A134="","",IFERROR(_xlfn.XLOOKUP($A134,'System Generated 2026-08-24'!$A:$A,'System Generated 2026-08-24'!$B:$B),"Missing"))</f>
        <v>Missing</v>
      </c>
      <c r="C134" s="20">
        <f>IF($A134="","",IFERROR(_xlfn.XLOOKUP($A134,Table1[Item],Table1[Current Stock]),"Missing"))</f>
        <v>0</v>
      </c>
      <c r="D134" s="20" t="str">
        <f t="shared" si="6"/>
        <v>N/A</v>
      </c>
      <c r="E134" s="21" t="str">
        <f>IF($A134="","",IFERROR(_xlfn.XLOOKUP($A134,'System Generated 2026-08-24'!$A:$A,'System Generated 2026-08-24'!$E:$E),"Missing"))</f>
        <v>Missing</v>
      </c>
      <c r="F134" s="21">
        <f>IF($A134="","",IFERROR(_xlfn.XLOOKUP($A134,Table1[Item],Table1[Total (₹)]),"Missing"))</f>
        <v>0</v>
      </c>
      <c r="G134" s="21" t="str">
        <f t="shared" si="7"/>
        <v>N/A</v>
      </c>
      <c r="H134" t="str">
        <f t="shared" si="8"/>
        <v>Missing in App</v>
      </c>
      <c r="K134" t="str">
        <f>'System Generated 2026-08-24'!A134</f>
        <v>French Fries</v>
      </c>
    </row>
    <row r="135" spans="1:11" hidden="1" x14ac:dyDescent="0.25">
      <c r="A135" t="str">
        <v>Dhaniya Powder</v>
      </c>
      <c r="B135" s="20">
        <f>IF($A135="","",IFERROR(_xlfn.XLOOKUP($A135,'System Generated 2026-08-24'!$A:$A,'System Generated 2026-08-24'!$B:$B),"Missing"))</f>
        <v>45.65</v>
      </c>
      <c r="C135" s="20">
        <f>IF($A135="","",IFERROR(_xlfn.XLOOKUP($A135,Table1[Item],Table1[Current Stock]),"Missing"))</f>
        <v>45.65</v>
      </c>
      <c r="D135" s="20">
        <f t="shared" si="6"/>
        <v>0</v>
      </c>
      <c r="E135" s="21">
        <f>IF($A135="","",IFERROR(_xlfn.XLOOKUP($A135,'System Generated 2026-08-24'!$A:$A,'System Generated 2026-08-24'!$E:$E),"Missing"))</f>
        <v>7853.03</v>
      </c>
      <c r="F135" s="21">
        <f>IF($A135="","",IFERROR(_xlfn.XLOOKUP($A135,Table1[Item],Table1[Total (₹)]),"Missing"))</f>
        <v>7853.0330000000004</v>
      </c>
      <c r="G135" s="21">
        <f t="shared" si="7"/>
        <v>-3.0000000006111804E-3</v>
      </c>
      <c r="H135" t="str">
        <f t="shared" si="8"/>
        <v>Match</v>
      </c>
      <c r="K135" t="str">
        <f>'System Generated 2026-08-24'!A135</f>
        <v>Frozen Green Peas</v>
      </c>
    </row>
    <row r="136" spans="1:11" hidden="1" x14ac:dyDescent="0.25">
      <c r="A136" t="str">
        <v>Dilpasand</v>
      </c>
      <c r="B136" s="20">
        <f>IF($A136="","",IFERROR(_xlfn.XLOOKUP($A136,'System Generated 2026-08-24'!$A:$A,'System Generated 2026-08-24'!$B:$B),"Missing"))</f>
        <v>0</v>
      </c>
      <c r="C136" s="20" t="str">
        <f>IF($A136="","",IFERROR(_xlfn.XLOOKUP($A136,Table1[Item],Table1[Current Stock]),"Missing"))</f>
        <v>Missing</v>
      </c>
      <c r="D136" s="20" t="str">
        <f t="shared" si="6"/>
        <v>N/A</v>
      </c>
      <c r="E136" s="21">
        <f>IF($A136="","",IFERROR(_xlfn.XLOOKUP($A136,'System Generated 2026-08-24'!$A:$A,'System Generated 2026-08-24'!$E:$E),"Missing"))</f>
        <v>0</v>
      </c>
      <c r="F136" s="21" t="str">
        <f>IF($A136="","",IFERROR(_xlfn.XLOOKUP($A136,Table1[Item],Table1[Total (₹)]),"Missing"))</f>
        <v>Missing</v>
      </c>
      <c r="G136" s="21" t="str">
        <f t="shared" si="7"/>
        <v>N/A</v>
      </c>
      <c r="H136" t="str">
        <f t="shared" si="8"/>
        <v>Missing in Hotel Data</v>
      </c>
      <c r="K136" t="str">
        <f>'System Generated 2026-08-24'!A136</f>
        <v>Fruit Cocktail</v>
      </c>
    </row>
    <row r="137" spans="1:11" hidden="1" x14ac:dyDescent="0.25">
      <c r="A137" t="str">
        <v>Dondakaya</v>
      </c>
      <c r="B137" s="20">
        <f>IF($A137="","",IFERROR(_xlfn.XLOOKUP($A137,'System Generated 2026-08-24'!$A:$A,'System Generated 2026-08-24'!$B:$B),"Missing"))</f>
        <v>1</v>
      </c>
      <c r="C137" s="20">
        <f>IF($A137="","",IFERROR(_xlfn.XLOOKUP($A137,Table1[Item],Table1[Current Stock]),"Missing"))</f>
        <v>1</v>
      </c>
      <c r="D137" s="20">
        <f t="shared" si="6"/>
        <v>0</v>
      </c>
      <c r="E137" s="21">
        <f>IF($A137="","",IFERROR(_xlfn.XLOOKUP($A137,'System Generated 2026-08-24'!$A:$A,'System Generated 2026-08-24'!$E:$E),"Missing"))</f>
        <v>35</v>
      </c>
      <c r="F137" s="21">
        <f>IF($A137="","",IFERROR(_xlfn.XLOOKUP($A137,Table1[Item],Table1[Total (₹)]),"Missing"))</f>
        <v>35</v>
      </c>
      <c r="G137" s="21">
        <f t="shared" si="7"/>
        <v>0</v>
      </c>
      <c r="H137" t="str">
        <f t="shared" si="8"/>
        <v>Match</v>
      </c>
      <c r="K137" t="str">
        <f>'System Generated 2026-08-24'!A137</f>
        <v>Fuel Tins</v>
      </c>
    </row>
    <row r="138" spans="1:11" x14ac:dyDescent="0.25">
      <c r="A138" t="str">
        <v>Dorck Choclet</v>
      </c>
      <c r="B138" s="20" t="str">
        <f>IF($A138="","",IFERROR(_xlfn.XLOOKUP($A138,'System Generated 2026-08-24'!$A:$A,'System Generated 2026-08-24'!$B:$B),"Missing"))</f>
        <v>Missing</v>
      </c>
      <c r="C138" s="20">
        <f>IF($A138="","",IFERROR(_xlfn.XLOOKUP($A138,Table1[Item],Table1[Current Stock]),"Missing"))</f>
        <v>0</v>
      </c>
      <c r="D138" s="20" t="str">
        <f t="shared" si="6"/>
        <v>N/A</v>
      </c>
      <c r="E138" s="21" t="str">
        <f>IF($A138="","",IFERROR(_xlfn.XLOOKUP($A138,'System Generated 2026-08-24'!$A:$A,'System Generated 2026-08-24'!$E:$E),"Missing"))</f>
        <v>Missing</v>
      </c>
      <c r="F138" s="21">
        <f>IF($A138="","",IFERROR(_xlfn.XLOOKUP($A138,Table1[Item],Table1[Total (₹)]),"Missing"))</f>
        <v>0</v>
      </c>
      <c r="G138" s="21" t="str">
        <f t="shared" si="7"/>
        <v>N/A</v>
      </c>
      <c r="H138" t="str">
        <f t="shared" si="8"/>
        <v>Missing in App</v>
      </c>
      <c r="K138" t="str">
        <f>'System Generated 2026-08-24'!A138</f>
        <v>Garam Masala</v>
      </c>
    </row>
    <row r="139" spans="1:11" hidden="1" x14ac:dyDescent="0.25">
      <c r="A139" t="str">
        <v>Dosa Box</v>
      </c>
      <c r="B139" s="20">
        <f>IF($A139="","",IFERROR(_xlfn.XLOOKUP($A139,'System Generated 2026-08-24'!$A:$A,'System Generated 2026-08-24'!$B:$B),"Missing"))</f>
        <v>1030</v>
      </c>
      <c r="C139" s="20">
        <f>IF($A139="","",IFERROR(_xlfn.XLOOKUP($A139,Table1[Item],Table1[Current Stock]),"Missing"))</f>
        <v>1030</v>
      </c>
      <c r="D139" s="20">
        <f t="shared" si="6"/>
        <v>0</v>
      </c>
      <c r="E139" s="21">
        <f>IF($A139="","",IFERROR(_xlfn.XLOOKUP($A139,'System Generated 2026-08-24'!$A:$A,'System Generated 2026-08-24'!$E:$E),"Missing"))</f>
        <v>6116.87</v>
      </c>
      <c r="F139" s="21">
        <f>IF($A139="","",IFERROR(_xlfn.XLOOKUP($A139,Table1[Item],Table1[Total (₹)]),"Missing"))</f>
        <v>6116.8710000000001</v>
      </c>
      <c r="G139" s="21">
        <f t="shared" si="7"/>
        <v>-1.0000000002037268E-3</v>
      </c>
      <c r="H139" t="str">
        <f t="shared" si="8"/>
        <v>Match</v>
      </c>
      <c r="K139" t="str">
        <f>'System Generated 2026-08-24'!A139</f>
        <v>Garbage Bags</v>
      </c>
    </row>
    <row r="140" spans="1:11" hidden="1" x14ac:dyDescent="0.25">
      <c r="A140" t="str">
        <v>Dosa Broom</v>
      </c>
      <c r="B140" s="20">
        <f>IF($A140="","",IFERROR(_xlfn.XLOOKUP($A140,'System Generated 2026-08-24'!$A:$A,'System Generated 2026-08-24'!$B:$B),"Missing"))</f>
        <v>0</v>
      </c>
      <c r="C140" s="20">
        <f>IF($A140="","",IFERROR(_xlfn.XLOOKUP($A140,Table1[Item],Table1[Current Stock]),"Missing"))</f>
        <v>0</v>
      </c>
      <c r="D140" s="20">
        <f t="shared" si="6"/>
        <v>0</v>
      </c>
      <c r="E140" s="21">
        <f>IF($A140="","",IFERROR(_xlfn.XLOOKUP($A140,'System Generated 2026-08-24'!$A:$A,'System Generated 2026-08-24'!$E:$E),"Missing"))</f>
        <v>0</v>
      </c>
      <c r="F140" s="21">
        <f>IF($A140="","",IFERROR(_xlfn.XLOOKUP($A140,Table1[Item],Table1[Total (₹)]),"Missing"))</f>
        <v>0</v>
      </c>
      <c r="G140" s="21">
        <f t="shared" si="7"/>
        <v>0</v>
      </c>
      <c r="H140" t="str">
        <f t="shared" si="8"/>
        <v>Match</v>
      </c>
      <c r="K140" t="str">
        <f>'System Generated 2026-08-24'!A140</f>
        <v>Garlic</v>
      </c>
    </row>
    <row r="141" spans="1:11" hidden="1" x14ac:dyDescent="0.25">
      <c r="A141" t="str">
        <v>Dosa Flour</v>
      </c>
      <c r="B141" s="20">
        <f>IF($A141="","",IFERROR(_xlfn.XLOOKUP($A141,'System Generated 2026-08-24'!$A:$A,'System Generated 2026-08-24'!$B:$B),"Missing"))</f>
        <v>48.38</v>
      </c>
      <c r="C141" s="20">
        <f>IF($A141="","",IFERROR(_xlfn.XLOOKUP($A141,Table1[Item],Table1[Current Stock]),"Missing"))</f>
        <v>48.38</v>
      </c>
      <c r="D141" s="20">
        <f t="shared" si="6"/>
        <v>0</v>
      </c>
      <c r="E141" s="21">
        <f>IF($A141="","",IFERROR(_xlfn.XLOOKUP($A141,'System Generated 2026-08-24'!$A:$A,'System Generated 2026-08-24'!$E:$E),"Missing"))</f>
        <v>1712.84</v>
      </c>
      <c r="F141" s="21">
        <f>IF($A141="","",IFERROR(_xlfn.XLOOKUP($A141,Table1[Item],Table1[Total (₹)]),"Missing"))</f>
        <v>1712.836</v>
      </c>
      <c r="G141" s="21">
        <f t="shared" si="7"/>
        <v>3.9999999999054126E-3</v>
      </c>
      <c r="H141" t="str">
        <f t="shared" si="8"/>
        <v>Match</v>
      </c>
      <c r="K141" t="str">
        <f>'System Generated 2026-08-24'!A141</f>
        <v>Garlic Bread</v>
      </c>
    </row>
    <row r="142" spans="1:11" hidden="1" x14ac:dyDescent="0.25">
      <c r="A142" t="str">
        <v>Dosa Rice</v>
      </c>
      <c r="B142" s="20">
        <f>IF($A142="","",IFERROR(_xlfn.XLOOKUP($A142,'System Generated 2026-08-24'!$A:$A,'System Generated 2026-08-24'!$B:$B),"Missing"))</f>
        <v>106.5</v>
      </c>
      <c r="C142" s="20">
        <f>IF($A142="","",IFERROR(_xlfn.XLOOKUP($A142,Table1[Item],Table1[Current Stock]),"Missing"))</f>
        <v>106.5</v>
      </c>
      <c r="D142" s="20">
        <f t="shared" si="6"/>
        <v>0</v>
      </c>
      <c r="E142" s="21">
        <f>IF($A142="","",IFERROR(_xlfn.XLOOKUP($A142,'System Generated 2026-08-24'!$A:$A,'System Generated 2026-08-24'!$E:$E),"Missing"))</f>
        <v>3042.78</v>
      </c>
      <c r="F142" s="21">
        <f>IF($A142="","",IFERROR(_xlfn.XLOOKUP($A142,Table1[Item],Table1[Total (₹)]),"Missing"))</f>
        <v>3042.78</v>
      </c>
      <c r="G142" s="21">
        <f t="shared" si="7"/>
        <v>0</v>
      </c>
      <c r="H142" t="str">
        <f t="shared" si="8"/>
        <v>Match</v>
      </c>
      <c r="K142" t="str">
        <f>'System Generated 2026-08-24'!A142</f>
        <v>Ghee</v>
      </c>
    </row>
    <row r="143" spans="1:11" hidden="1" x14ac:dyDescent="0.25">
      <c r="A143" t="str">
        <v>Dr Ravva</v>
      </c>
      <c r="B143" s="20">
        <f>IF($A143="","",IFERROR(_xlfn.XLOOKUP($A143,'System Generated 2026-08-24'!$A:$A,'System Generated 2026-08-24'!$B:$B),"Missing"))</f>
        <v>3</v>
      </c>
      <c r="C143" s="20">
        <f>IF($A143="","",IFERROR(_xlfn.XLOOKUP($A143,Table1[Item],Table1[Current Stock]),"Missing"))</f>
        <v>3</v>
      </c>
      <c r="D143" s="20">
        <f t="shared" si="6"/>
        <v>0</v>
      </c>
      <c r="E143" s="21">
        <f>IF($A143="","",IFERROR(_xlfn.XLOOKUP($A143,'System Generated 2026-08-24'!$A:$A,'System Generated 2026-08-24'!$E:$E),"Missing"))</f>
        <v>137.25</v>
      </c>
      <c r="F143" s="21">
        <f>IF($A143="","",IFERROR(_xlfn.XLOOKUP($A143,Table1[Item],Table1[Total (₹)]),"Missing"))</f>
        <v>137.25</v>
      </c>
      <c r="G143" s="21">
        <f t="shared" si="7"/>
        <v>0</v>
      </c>
      <c r="H143" t="str">
        <f t="shared" si="8"/>
        <v>Match</v>
      </c>
      <c r="K143" t="str">
        <f>'System Generated 2026-08-24'!A143</f>
        <v>Ginger</v>
      </c>
    </row>
    <row r="144" spans="1:11" x14ac:dyDescent="0.25">
      <c r="A144" t="str">
        <v>Dry Coca</v>
      </c>
      <c r="B144" s="20" t="str">
        <f>IF($A144="","",IFERROR(_xlfn.XLOOKUP($A144,'System Generated 2026-08-24'!$A:$A,'System Generated 2026-08-24'!$B:$B),"Missing"))</f>
        <v>Missing</v>
      </c>
      <c r="C144" s="20">
        <f>IF($A144="","",IFERROR(_xlfn.XLOOKUP($A144,Table1[Item],Table1[Current Stock]),"Missing"))</f>
        <v>0</v>
      </c>
      <c r="D144" s="20" t="str">
        <f t="shared" si="6"/>
        <v>N/A</v>
      </c>
      <c r="E144" s="21" t="str">
        <f>IF($A144="","",IFERROR(_xlfn.XLOOKUP($A144,'System Generated 2026-08-24'!$A:$A,'System Generated 2026-08-24'!$E:$E),"Missing"))</f>
        <v>Missing</v>
      </c>
      <c r="F144" s="21">
        <f>IF($A144="","",IFERROR(_xlfn.XLOOKUP($A144,Table1[Item],Table1[Total (₹)]),"Missing"))</f>
        <v>0</v>
      </c>
      <c r="G144" s="21" t="str">
        <f t="shared" si="7"/>
        <v>N/A</v>
      </c>
      <c r="H144" t="str">
        <f t="shared" si="8"/>
        <v>Missing in App</v>
      </c>
      <c r="K144" t="str">
        <f>'System Generated 2026-08-24'!A144</f>
        <v>Ginger Powder</v>
      </c>
    </row>
    <row r="145" spans="1:11" hidden="1" x14ac:dyDescent="0.25">
      <c r="A145" t="str">
        <v>Dry Coconut</v>
      </c>
      <c r="B145" s="20">
        <f>IF($A145="","",IFERROR(_xlfn.XLOOKUP($A145,'System Generated 2026-08-24'!$A:$A,'System Generated 2026-08-24'!$B:$B),"Missing"))</f>
        <v>14.5</v>
      </c>
      <c r="C145" s="20">
        <f>IF($A145="","",IFERROR(_xlfn.XLOOKUP($A145,Table1[Item],Table1[Current Stock]),"Missing"))</f>
        <v>14.5</v>
      </c>
      <c r="D145" s="20">
        <f t="shared" si="6"/>
        <v>0</v>
      </c>
      <c r="E145" s="21">
        <f>IF($A145="","",IFERROR(_xlfn.XLOOKUP($A145,'System Generated 2026-08-24'!$A:$A,'System Generated 2026-08-24'!$E:$E),"Missing"))</f>
        <v>4814</v>
      </c>
      <c r="F145" s="21">
        <f>IF($A145="","",IFERROR(_xlfn.XLOOKUP($A145,Table1[Item],Table1[Total (₹)]),"Missing"))</f>
        <v>4814</v>
      </c>
      <c r="G145" s="21">
        <f t="shared" si="7"/>
        <v>0</v>
      </c>
      <c r="H145" t="str">
        <f t="shared" si="8"/>
        <v>Match</v>
      </c>
      <c r="K145" t="str">
        <f>'System Generated 2026-08-24'!A145</f>
        <v>Ginger Syrup</v>
      </c>
    </row>
    <row r="146" spans="1:11" hidden="1" x14ac:dyDescent="0.25">
      <c r="A146" t="str">
        <v>Dry Yeast</v>
      </c>
      <c r="B146" s="20">
        <f>IF($A146="","",IFERROR(_xlfn.XLOOKUP($A146,'System Generated 2026-08-24'!$A:$A,'System Generated 2026-08-24'!$B:$B),"Missing"))</f>
        <v>0</v>
      </c>
      <c r="C146" s="20">
        <f>IF($A146="","",IFERROR(_xlfn.XLOOKUP($A146,Table1[Item],Table1[Current Stock]),"Missing"))</f>
        <v>0</v>
      </c>
      <c r="D146" s="20">
        <f t="shared" si="6"/>
        <v>0</v>
      </c>
      <c r="E146" s="21">
        <f>IF($A146="","",IFERROR(_xlfn.XLOOKUP($A146,'System Generated 2026-08-24'!$A:$A,'System Generated 2026-08-24'!$E:$E),"Missing"))</f>
        <v>0</v>
      </c>
      <c r="F146" s="21">
        <f>IF($A146="","",IFERROR(_xlfn.XLOOKUP($A146,Table1[Item],Table1[Total (₹)]),"Missing"))</f>
        <v>0</v>
      </c>
      <c r="G146" s="21">
        <f t="shared" si="7"/>
        <v>0</v>
      </c>
      <c r="H146" t="str">
        <f t="shared" si="8"/>
        <v>Match</v>
      </c>
      <c r="K146" t="str">
        <f>'System Generated 2026-08-24'!A146</f>
        <v>Gold Milk</v>
      </c>
    </row>
    <row r="147" spans="1:11" hidden="1" x14ac:dyDescent="0.25">
      <c r="A147" t="str">
        <v>Dust Bin Covers</v>
      </c>
      <c r="B147" s="20">
        <f>IF($A147="","",IFERROR(_xlfn.XLOOKUP($A147,'System Generated 2026-08-24'!$A:$A,'System Generated 2026-08-24'!$B:$B),"Missing"))</f>
        <v>39</v>
      </c>
      <c r="C147" s="20">
        <f>IF($A147="","",IFERROR(_xlfn.XLOOKUP($A147,Table1[Item],Table1[Current Stock]),"Missing"))</f>
        <v>39</v>
      </c>
      <c r="D147" s="20">
        <f t="shared" si="6"/>
        <v>0</v>
      </c>
      <c r="E147" s="21">
        <f>IF($A147="","",IFERROR(_xlfn.XLOOKUP($A147,'System Generated 2026-08-24'!$A:$A,'System Generated 2026-08-24'!$E:$E),"Missing"))</f>
        <v>2210</v>
      </c>
      <c r="F147" s="21">
        <f>IF($A147="","",IFERROR(_xlfn.XLOOKUP($A147,Table1[Item],Table1[Total (₹)]),"Missing"))</f>
        <v>2210.0010000000002</v>
      </c>
      <c r="G147" s="21">
        <f t="shared" si="7"/>
        <v>-1.0000000002037268E-3</v>
      </c>
      <c r="H147" t="str">
        <f t="shared" si="8"/>
        <v>Match</v>
      </c>
      <c r="K147" t="str">
        <f>'System Generated 2026-08-24'!A147</f>
        <v>Gongura</v>
      </c>
    </row>
    <row r="148" spans="1:11" hidden="1" x14ac:dyDescent="0.25">
      <c r="A148" t="str">
        <v>Dust Pan</v>
      </c>
      <c r="B148" s="20">
        <f>IF($A148="","",IFERROR(_xlfn.XLOOKUP($A148,'System Generated 2026-08-24'!$A:$A,'System Generated 2026-08-24'!$B:$B),"Missing"))</f>
        <v>7</v>
      </c>
      <c r="C148" s="20">
        <f>IF($A148="","",IFERROR(_xlfn.XLOOKUP($A148,Table1[Item],Table1[Current Stock]),"Missing"))</f>
        <v>7</v>
      </c>
      <c r="D148" s="20">
        <f t="shared" si="6"/>
        <v>0</v>
      </c>
      <c r="E148" s="21">
        <f>IF($A148="","",IFERROR(_xlfn.XLOOKUP($A148,'System Generated 2026-08-24'!$A:$A,'System Generated 2026-08-24'!$E:$E),"Missing"))</f>
        <v>420</v>
      </c>
      <c r="F148" s="21">
        <f>IF($A148="","",IFERROR(_xlfn.XLOOKUP($A148,Table1[Item],Table1[Total (₹)]),"Missing"))</f>
        <v>420</v>
      </c>
      <c r="G148" s="21">
        <f t="shared" si="7"/>
        <v>0</v>
      </c>
      <c r="H148" t="str">
        <f t="shared" si="8"/>
        <v>Match</v>
      </c>
      <c r="K148" t="str">
        <f>'System Generated 2026-08-24'!A148</f>
        <v>Good Night Machine</v>
      </c>
    </row>
    <row r="149" spans="1:11" hidden="1" x14ac:dyDescent="0.25">
      <c r="A149" t="str">
        <v>Eating Soda</v>
      </c>
      <c r="B149" s="20">
        <f>IF($A149="","",IFERROR(_xlfn.XLOOKUP($A149,'System Generated 2026-08-24'!$A:$A,'System Generated 2026-08-24'!$B:$B),"Missing"))</f>
        <v>0</v>
      </c>
      <c r="C149" s="20">
        <f>IF($A149="","",IFERROR(_xlfn.XLOOKUP($A149,Table1[Item],Table1[Current Stock]),"Missing"))</f>
        <v>0</v>
      </c>
      <c r="D149" s="20">
        <f t="shared" si="6"/>
        <v>0</v>
      </c>
      <c r="E149" s="21">
        <f>IF($A149="","",IFERROR(_xlfn.XLOOKUP($A149,'System Generated 2026-08-24'!$A:$A,'System Generated 2026-08-24'!$E:$E),"Missing"))</f>
        <v>0</v>
      </c>
      <c r="F149" s="21">
        <f>IF($A149="","",IFERROR(_xlfn.XLOOKUP($A149,Table1[Item],Table1[Total (₹)]),"Missing"))</f>
        <v>0</v>
      </c>
      <c r="G149" s="21">
        <f t="shared" si="7"/>
        <v>0</v>
      </c>
      <c r="H149" t="str">
        <f t="shared" si="8"/>
        <v>Match</v>
      </c>
      <c r="K149" t="str">
        <f>'System Generated 2026-08-24'!A149</f>
        <v>Good Night Refill</v>
      </c>
    </row>
    <row r="150" spans="1:11" hidden="1" x14ac:dyDescent="0.25">
      <c r="A150" t="str">
        <v>Eggs</v>
      </c>
      <c r="B150" s="20">
        <f>IF($A150="","",IFERROR(_xlfn.XLOOKUP($A150,'System Generated 2026-08-24'!$A:$A,'System Generated 2026-08-24'!$B:$B),"Missing"))</f>
        <v>90</v>
      </c>
      <c r="C150" s="20">
        <f>IF($A150="","",IFERROR(_xlfn.XLOOKUP($A150,Table1[Item],Table1[Current Stock]),"Missing"))</f>
        <v>90</v>
      </c>
      <c r="D150" s="20">
        <f t="shared" si="6"/>
        <v>0</v>
      </c>
      <c r="E150" s="21">
        <f>IF($A150="","",IFERROR(_xlfn.XLOOKUP($A150,'System Generated 2026-08-24'!$A:$A,'System Generated 2026-08-24'!$E:$E),"Missing"))</f>
        <v>556.6</v>
      </c>
      <c r="F150" s="21">
        <f>IF($A150="","",IFERROR(_xlfn.XLOOKUP($A150,Table1[Item],Table1[Total (₹)]),"Missing"))</f>
        <v>556.596</v>
      </c>
      <c r="G150" s="21">
        <f t="shared" si="7"/>
        <v>4.0000000000190994E-3</v>
      </c>
      <c r="H150" t="str">
        <f t="shared" si="8"/>
        <v>Match</v>
      </c>
      <c r="K150" t="str">
        <f>'System Generated 2026-08-24'!A150</f>
        <v>Green Batana Raw</v>
      </c>
    </row>
    <row r="151" spans="1:11" hidden="1" x14ac:dyDescent="0.25">
      <c r="A151" t="str">
        <v>Elaichi</v>
      </c>
      <c r="B151" s="20">
        <f>IF($A151="","",IFERROR(_xlfn.XLOOKUP($A151,'System Generated 2026-08-24'!$A:$A,'System Generated 2026-08-24'!$B:$B),"Missing"))</f>
        <v>3.3050000000000002</v>
      </c>
      <c r="C151" s="20">
        <f>IF($A151="","",IFERROR(_xlfn.XLOOKUP($A151,Table1[Item],Table1[Current Stock]),"Missing"))</f>
        <v>3.3050000000000002</v>
      </c>
      <c r="D151" s="20">
        <f t="shared" si="6"/>
        <v>0</v>
      </c>
      <c r="E151" s="21">
        <f>IF($A151="","",IFERROR(_xlfn.XLOOKUP($A151,'System Generated 2026-08-24'!$A:$A,'System Generated 2026-08-24'!$E:$E),"Missing"))</f>
        <v>11700.5</v>
      </c>
      <c r="F151" s="21">
        <f>IF($A151="","",IFERROR(_xlfn.XLOOKUP($A151,Table1[Item],Table1[Total (₹)]),"Missing"))</f>
        <v>11700.46</v>
      </c>
      <c r="G151" s="21">
        <f t="shared" si="7"/>
        <v>4.0000000000873115E-2</v>
      </c>
      <c r="H151" t="str">
        <f t="shared" si="8"/>
        <v>Match</v>
      </c>
      <c r="K151" t="str">
        <f>'System Generated 2026-08-24'!A151</f>
        <v>Green Chilly</v>
      </c>
    </row>
    <row r="152" spans="1:11" hidden="1" x14ac:dyDescent="0.25">
      <c r="A152" t="str">
        <v>Faluda Glass</v>
      </c>
      <c r="B152" s="20">
        <f>IF($A152="","",IFERROR(_xlfn.XLOOKUP($A152,'System Generated 2026-08-24'!$A:$A,'System Generated 2026-08-24'!$B:$B),"Missing"))</f>
        <v>349</v>
      </c>
      <c r="C152" s="20">
        <f>IF($A152="","",IFERROR(_xlfn.XLOOKUP($A152,Table1[Item],Table1[Current Stock]),"Missing"))</f>
        <v>349</v>
      </c>
      <c r="D152" s="20">
        <f t="shared" si="6"/>
        <v>0</v>
      </c>
      <c r="E152" s="21">
        <f>IF($A152="","",IFERROR(_xlfn.XLOOKUP($A152,'System Generated 2026-08-24'!$A:$A,'System Generated 2026-08-24'!$E:$E),"Missing"))</f>
        <v>994.65</v>
      </c>
      <c r="F152" s="21">
        <f>IF($A152="","",IFERROR(_xlfn.XLOOKUP($A152,Table1[Item],Table1[Total (₹)]),"Missing"))</f>
        <v>994.65</v>
      </c>
      <c r="G152" s="21">
        <f t="shared" si="7"/>
        <v>0</v>
      </c>
      <c r="H152" t="str">
        <f t="shared" si="8"/>
        <v>Match</v>
      </c>
      <c r="K152" t="str">
        <f>'System Generated 2026-08-24'!A152</f>
        <v>Green Chilly Sauce</v>
      </c>
    </row>
    <row r="153" spans="1:11" hidden="1" x14ac:dyDescent="0.25">
      <c r="A153" t="str">
        <v>Fish</v>
      </c>
      <c r="B153" s="20">
        <f>IF($A153="","",IFERROR(_xlfn.XLOOKUP($A153,'System Generated 2026-08-24'!$A:$A,'System Generated 2026-08-24'!$B:$B),"Missing"))</f>
        <v>0</v>
      </c>
      <c r="C153" s="20">
        <f>IF($A153="","",IFERROR(_xlfn.XLOOKUP($A153,Table1[Item],Table1[Current Stock]),"Missing"))</f>
        <v>0</v>
      </c>
      <c r="D153" s="20">
        <f t="shared" si="6"/>
        <v>0</v>
      </c>
      <c r="E153" s="21">
        <f>IF($A153="","",IFERROR(_xlfn.XLOOKUP($A153,'System Generated 2026-08-24'!$A:$A,'System Generated 2026-08-24'!$E:$E),"Missing"))</f>
        <v>0</v>
      </c>
      <c r="F153" s="21">
        <f>IF($A153="","",IFERROR(_xlfn.XLOOKUP($A153,Table1[Item],Table1[Total (₹)]),"Missing"))</f>
        <v>0</v>
      </c>
      <c r="G153" s="21">
        <f t="shared" si="7"/>
        <v>0</v>
      </c>
      <c r="H153" t="str">
        <f t="shared" si="8"/>
        <v>Match</v>
      </c>
      <c r="K153" t="str">
        <f>'System Generated 2026-08-24'!A153</f>
        <v>Green Mojito Mint</v>
      </c>
    </row>
    <row r="154" spans="1:11" x14ac:dyDescent="0.25">
      <c r="A154" t="str">
        <v>Floor Cleaner</v>
      </c>
      <c r="B154" s="20" t="str">
        <f>IF($A154="","",IFERROR(_xlfn.XLOOKUP($A154,'System Generated 2026-08-24'!$A:$A,'System Generated 2026-08-24'!$B:$B),"Missing"))</f>
        <v>Missing</v>
      </c>
      <c r="C154" s="20">
        <f>IF($A154="","",IFERROR(_xlfn.XLOOKUP($A154,Table1[Item],Table1[Current Stock]),"Missing"))</f>
        <v>0.8</v>
      </c>
      <c r="D154" s="20" t="str">
        <f t="shared" si="6"/>
        <v>N/A</v>
      </c>
      <c r="E154" s="21" t="str">
        <f>IF($A154="","",IFERROR(_xlfn.XLOOKUP($A154,'System Generated 2026-08-24'!$A:$A,'System Generated 2026-08-24'!$E:$E),"Missing"))</f>
        <v>Missing</v>
      </c>
      <c r="F154" s="21">
        <f>IF($A154="","",IFERROR(_xlfn.XLOOKUP($A154,Table1[Item],Table1[Total (₹)]),"Missing"))</f>
        <v>40</v>
      </c>
      <c r="G154" s="21" t="str">
        <f t="shared" si="7"/>
        <v>N/A</v>
      </c>
      <c r="H154" t="str">
        <f t="shared" si="8"/>
        <v>Missing in App</v>
      </c>
      <c r="K154" t="str">
        <f>'System Generated 2026-08-24'!A154</f>
        <v>Gulkanda</v>
      </c>
    </row>
    <row r="155" spans="1:11" x14ac:dyDescent="0.25">
      <c r="A155" t="str">
        <v>Free Sugar</v>
      </c>
      <c r="B155" s="20" t="str">
        <f>IF($A155="","",IFERROR(_xlfn.XLOOKUP($A155,'System Generated 2026-08-24'!$A:$A,'System Generated 2026-08-24'!$B:$B),"Missing"))</f>
        <v>Missing</v>
      </c>
      <c r="C155" s="20">
        <f>IF($A155="","",IFERROR(_xlfn.XLOOKUP($A155,Table1[Item],Table1[Current Stock]),"Missing"))</f>
        <v>1</v>
      </c>
      <c r="D155" s="20" t="str">
        <f t="shared" si="6"/>
        <v>N/A</v>
      </c>
      <c r="E155" s="21" t="str">
        <f>IF($A155="","",IFERROR(_xlfn.XLOOKUP($A155,'System Generated 2026-08-24'!$A:$A,'System Generated 2026-08-24'!$E:$E),"Missing"))</f>
        <v>Missing</v>
      </c>
      <c r="F155" s="21">
        <f>IF($A155="","",IFERROR(_xlfn.XLOOKUP($A155,Table1[Item],Table1[Total (₹)]),"Missing"))</f>
        <v>9</v>
      </c>
      <c r="G155" s="21" t="str">
        <f t="shared" si="7"/>
        <v>N/A</v>
      </c>
      <c r="H155" t="str">
        <f t="shared" si="8"/>
        <v>Missing in App</v>
      </c>
      <c r="K155" t="str">
        <f>'System Generated 2026-08-24'!A155</f>
        <v>Gummadikaya</v>
      </c>
    </row>
    <row r="156" spans="1:11" hidden="1" x14ac:dyDescent="0.25">
      <c r="A156" t="str">
        <v>French Fries</v>
      </c>
      <c r="B156" s="20">
        <f>IF($A156="","",IFERROR(_xlfn.XLOOKUP($A156,'System Generated 2026-08-24'!$A:$A,'System Generated 2026-08-24'!$B:$B),"Missing"))</f>
        <v>3</v>
      </c>
      <c r="C156" s="20">
        <f>IF($A156="","",IFERROR(_xlfn.XLOOKUP($A156,Table1[Item],Table1[Current Stock]),"Missing"))</f>
        <v>3</v>
      </c>
      <c r="D156" s="20">
        <f t="shared" si="6"/>
        <v>0</v>
      </c>
      <c r="E156" s="21">
        <f>IF($A156="","",IFERROR(_xlfn.XLOOKUP($A156,'System Generated 2026-08-24'!$A:$A,'System Generated 2026-08-24'!$E:$E),"Missing"))</f>
        <v>814.85</v>
      </c>
      <c r="F156" s="21">
        <f>IF($A156="","",IFERROR(_xlfn.XLOOKUP($A156,Table1[Item],Table1[Total (₹)]),"Missing"))</f>
        <v>814.851</v>
      </c>
      <c r="G156" s="21">
        <f t="shared" si="7"/>
        <v>-9.9999999997635314E-4</v>
      </c>
      <c r="H156" t="str">
        <f t="shared" si="8"/>
        <v>Match</v>
      </c>
      <c r="K156" t="str">
        <f>'System Generated 2026-08-24'!A156</f>
        <v>Hand Gloves</v>
      </c>
    </row>
    <row r="157" spans="1:11" hidden="1" x14ac:dyDescent="0.25">
      <c r="A157" t="str">
        <v>Frozen Green Peas</v>
      </c>
      <c r="B157" s="20">
        <f>IF($A157="","",IFERROR(_xlfn.XLOOKUP($A157,'System Generated 2026-08-24'!$A:$A,'System Generated 2026-08-24'!$B:$B),"Missing"))</f>
        <v>4</v>
      </c>
      <c r="C157" s="20">
        <f>IF($A157="","",IFERROR(_xlfn.XLOOKUP($A157,Table1[Item],Table1[Current Stock]),"Missing"))</f>
        <v>4</v>
      </c>
      <c r="D157" s="20">
        <f t="shared" si="6"/>
        <v>0</v>
      </c>
      <c r="E157" s="21">
        <f>IF($A157="","",IFERROR(_xlfn.XLOOKUP($A157,'System Generated 2026-08-24'!$A:$A,'System Generated 2026-08-24'!$E:$E),"Missing"))</f>
        <v>420</v>
      </c>
      <c r="F157" s="21">
        <f>IF($A157="","",IFERROR(_xlfn.XLOOKUP($A157,Table1[Item],Table1[Total (₹)]),"Missing"))</f>
        <v>420</v>
      </c>
      <c r="G157" s="21">
        <f t="shared" si="7"/>
        <v>0</v>
      </c>
      <c r="H157" t="str">
        <f t="shared" si="8"/>
        <v>Match</v>
      </c>
      <c r="K157" t="str">
        <f>'System Generated 2026-08-24'!A157</f>
        <v>Hand Wash</v>
      </c>
    </row>
    <row r="158" spans="1:11" hidden="1" x14ac:dyDescent="0.25">
      <c r="A158" t="str">
        <v>Fruit Cocktail</v>
      </c>
      <c r="B158" s="20">
        <f>IF($A158="","",IFERROR(_xlfn.XLOOKUP($A158,'System Generated 2026-08-24'!$A:$A,'System Generated 2026-08-24'!$B:$B),"Missing"))</f>
        <v>0</v>
      </c>
      <c r="C158" s="20">
        <f>IF($A158="","",IFERROR(_xlfn.XLOOKUP($A158,Table1[Item],Table1[Current Stock]),"Missing"))</f>
        <v>0</v>
      </c>
      <c r="D158" s="20">
        <f t="shared" si="6"/>
        <v>0</v>
      </c>
      <c r="E158" s="21">
        <f>IF($A158="","",IFERROR(_xlfn.XLOOKUP($A158,'System Generated 2026-08-24'!$A:$A,'System Generated 2026-08-24'!$E:$E),"Missing"))</f>
        <v>0</v>
      </c>
      <c r="F158" s="21">
        <f>IF($A158="","",IFERROR(_xlfn.XLOOKUP($A158,Table1[Item],Table1[Total (₹)]),"Missing"))</f>
        <v>0</v>
      </c>
      <c r="G158" s="21">
        <f t="shared" si="7"/>
        <v>0</v>
      </c>
      <c r="H158" t="str">
        <f t="shared" si="8"/>
        <v>Match</v>
      </c>
      <c r="K158" t="str">
        <f>'System Generated 2026-08-24'!A158</f>
        <v>Harpic</v>
      </c>
    </row>
    <row r="159" spans="1:11" x14ac:dyDescent="0.25">
      <c r="A159" t="str">
        <v>Fruti Truti</v>
      </c>
      <c r="B159" s="20" t="str">
        <f>IF($A159="","",IFERROR(_xlfn.XLOOKUP($A159,'System Generated 2026-08-24'!$A:$A,'System Generated 2026-08-24'!$B:$B),"Missing"))</f>
        <v>Missing</v>
      </c>
      <c r="C159" s="20">
        <f>IF($A159="","",IFERROR(_xlfn.XLOOKUP($A159,Table1[Item],Table1[Current Stock]),"Missing"))</f>
        <v>0</v>
      </c>
      <c r="D159" s="20" t="str">
        <f t="shared" si="6"/>
        <v>N/A</v>
      </c>
      <c r="E159" s="21" t="str">
        <f>IF($A159="","",IFERROR(_xlfn.XLOOKUP($A159,'System Generated 2026-08-24'!$A:$A,'System Generated 2026-08-24'!$E:$E),"Missing"))</f>
        <v>Missing</v>
      </c>
      <c r="F159" s="21">
        <f>IF($A159="","",IFERROR(_xlfn.XLOOKUP($A159,Table1[Item],Table1[Total (₹)]),"Missing"))</f>
        <v>0</v>
      </c>
      <c r="G159" s="21" t="str">
        <f t="shared" si="7"/>
        <v>N/A</v>
      </c>
      <c r="H159" t="str">
        <f t="shared" si="8"/>
        <v>Missing in App</v>
      </c>
      <c r="K159" t="str">
        <f>'System Generated 2026-08-24'!A159</f>
        <v>Hezelnuts</v>
      </c>
    </row>
    <row r="160" spans="1:11" hidden="1" x14ac:dyDescent="0.25">
      <c r="A160" t="str">
        <v>Fuel Tins</v>
      </c>
      <c r="B160" s="20">
        <f>IF($A160="","",IFERROR(_xlfn.XLOOKUP($A160,'System Generated 2026-08-24'!$A:$A,'System Generated 2026-08-24'!$B:$B),"Missing"))</f>
        <v>4</v>
      </c>
      <c r="C160" s="20">
        <f>IF($A160="","",IFERROR(_xlfn.XLOOKUP($A160,Table1[Item],Table1[Current Stock]),"Missing"))</f>
        <v>4</v>
      </c>
      <c r="D160" s="20">
        <f t="shared" si="6"/>
        <v>0</v>
      </c>
      <c r="E160" s="21">
        <f>IF($A160="","",IFERROR(_xlfn.XLOOKUP($A160,'System Generated 2026-08-24'!$A:$A,'System Generated 2026-08-24'!$E:$E),"Missing"))</f>
        <v>80</v>
      </c>
      <c r="F160" s="21">
        <f>IF($A160="","",IFERROR(_xlfn.XLOOKUP($A160,Table1[Item],Table1[Total (₹)]),"Missing"))</f>
        <v>80</v>
      </c>
      <c r="G160" s="21">
        <f t="shared" si="7"/>
        <v>0</v>
      </c>
      <c r="H160" t="str">
        <f t="shared" si="8"/>
        <v>Match</v>
      </c>
      <c r="K160" t="str">
        <f>'System Generated 2026-08-24'!A160</f>
        <v>Hing</v>
      </c>
    </row>
    <row r="161" spans="1:11" hidden="1" x14ac:dyDescent="0.25">
      <c r="A161" t="str">
        <v>Garam Masala</v>
      </c>
      <c r="B161" s="20">
        <f>IF($A161="","",IFERROR(_xlfn.XLOOKUP($A161,'System Generated 2026-08-24'!$A:$A,'System Generated 2026-08-24'!$B:$B),"Missing"))</f>
        <v>2.5</v>
      </c>
      <c r="C161" s="20">
        <f>IF($A161="","",IFERROR(_xlfn.XLOOKUP($A161,Table1[Item],Table1[Current Stock]),"Missing"))</f>
        <v>2.5</v>
      </c>
      <c r="D161" s="20">
        <f t="shared" si="6"/>
        <v>0</v>
      </c>
      <c r="E161" s="21">
        <f>IF($A161="","",IFERROR(_xlfn.XLOOKUP($A161,'System Generated 2026-08-24'!$A:$A,'System Generated 2026-08-24'!$E:$E),"Missing"))</f>
        <v>1196.8800000000001</v>
      </c>
      <c r="F161" s="21">
        <f>IF($A161="","",IFERROR(_xlfn.XLOOKUP($A161,Table1[Item],Table1[Total (₹)]),"Missing"))</f>
        <v>1196.875</v>
      </c>
      <c r="G161" s="21">
        <f t="shared" si="7"/>
        <v>5.0000000001091394E-3</v>
      </c>
      <c r="H161" t="str">
        <f t="shared" si="8"/>
        <v>Match</v>
      </c>
      <c r="K161" t="str">
        <f>'System Generated 2026-08-24'!A161</f>
        <v>Hmt Rice</v>
      </c>
    </row>
    <row r="162" spans="1:11" hidden="1" x14ac:dyDescent="0.25">
      <c r="A162" t="str">
        <v>Garbage Bags</v>
      </c>
      <c r="B162" s="20">
        <f>IF($A162="","",IFERROR(_xlfn.XLOOKUP($A162,'System Generated 2026-08-24'!$A:$A,'System Generated 2026-08-24'!$B:$B),"Missing"))</f>
        <v>65.44</v>
      </c>
      <c r="C162" s="20">
        <f>IF($A162="","",IFERROR(_xlfn.XLOOKUP($A162,Table1[Item],Table1[Current Stock]),"Missing"))</f>
        <v>65.44</v>
      </c>
      <c r="D162" s="20">
        <f t="shared" si="6"/>
        <v>0</v>
      </c>
      <c r="E162" s="21">
        <f>IF($A162="","",IFERROR(_xlfn.XLOOKUP($A162,'System Generated 2026-08-24'!$A:$A,'System Generated 2026-08-24'!$E:$E),"Missing"))</f>
        <v>4908</v>
      </c>
      <c r="F162" s="21">
        <f>IF($A162="","",IFERROR(_xlfn.XLOOKUP($A162,Table1[Item],Table1[Total (₹)]),"Missing"))</f>
        <v>4908</v>
      </c>
      <c r="G162" s="21">
        <f t="shared" si="7"/>
        <v>0</v>
      </c>
      <c r="H162" t="str">
        <f t="shared" si="8"/>
        <v>Match</v>
      </c>
      <c r="K162" t="str">
        <f>'System Generated 2026-08-24'!A162</f>
        <v>Homa</v>
      </c>
    </row>
    <row r="163" spans="1:11" hidden="1" x14ac:dyDescent="0.25">
      <c r="A163" t="str">
        <v>Garlic</v>
      </c>
      <c r="B163" s="20">
        <f>IF($A163="","",IFERROR(_xlfn.XLOOKUP($A163,'System Generated 2026-08-24'!$A:$A,'System Generated 2026-08-24'!$B:$B),"Missing"))</f>
        <v>29.5</v>
      </c>
      <c r="C163" s="20">
        <f>IF($A163="","",IFERROR(_xlfn.XLOOKUP($A163,Table1[Item],Table1[Current Stock]),"Missing"))</f>
        <v>29.5</v>
      </c>
      <c r="D163" s="20">
        <f t="shared" si="6"/>
        <v>0</v>
      </c>
      <c r="E163" s="21">
        <f>IF($A163="","",IFERROR(_xlfn.XLOOKUP($A163,'System Generated 2026-08-24'!$A:$A,'System Generated 2026-08-24'!$E:$E),"Missing"))</f>
        <v>5209.43</v>
      </c>
      <c r="F163" s="21">
        <f>IF($A163="","",IFERROR(_xlfn.XLOOKUP($A163,Table1[Item],Table1[Total (₹)]),"Missing"))</f>
        <v>5209.4350000000004</v>
      </c>
      <c r="G163" s="21">
        <f t="shared" si="7"/>
        <v>-5.0000000001091394E-3</v>
      </c>
      <c r="H163" t="str">
        <f t="shared" si="8"/>
        <v>Match</v>
      </c>
      <c r="K163" t="str">
        <f>'System Generated 2026-08-24'!A163</f>
        <v>Honey</v>
      </c>
    </row>
    <row r="164" spans="1:11" hidden="1" x14ac:dyDescent="0.25">
      <c r="A164" t="str">
        <v>Garlic Bread</v>
      </c>
      <c r="B164" s="20">
        <f>IF($A164="","",IFERROR(_xlfn.XLOOKUP($A164,'System Generated 2026-08-24'!$A:$A,'System Generated 2026-08-24'!$B:$B),"Missing"))</f>
        <v>19</v>
      </c>
      <c r="C164" s="20">
        <f>IF($A164="","",IFERROR(_xlfn.XLOOKUP($A164,Table1[Item],Table1[Current Stock]),"Missing"))</f>
        <v>19</v>
      </c>
      <c r="D164" s="20">
        <f t="shared" si="6"/>
        <v>0</v>
      </c>
      <c r="E164" s="21">
        <f>IF($A164="","",IFERROR(_xlfn.XLOOKUP($A164,'System Generated 2026-08-24'!$A:$A,'System Generated 2026-08-24'!$E:$E),"Missing"))</f>
        <v>796.85</v>
      </c>
      <c r="F164" s="21">
        <f>IF($A164="","",IFERROR(_xlfn.XLOOKUP($A164,Table1[Item],Table1[Total (₹)]),"Missing"))</f>
        <v>796.84699999999998</v>
      </c>
      <c r="G164" s="21">
        <f t="shared" si="7"/>
        <v>3.0000000000427463E-3</v>
      </c>
      <c r="H164" t="str">
        <f t="shared" si="8"/>
        <v>Match</v>
      </c>
      <c r="K164" t="str">
        <f>'System Generated 2026-08-24'!A164</f>
        <v>Horlicks</v>
      </c>
    </row>
    <row r="165" spans="1:11" x14ac:dyDescent="0.25">
      <c r="A165" t="str">
        <v>Gd Biscuit</v>
      </c>
      <c r="B165" s="20" t="str">
        <f>IF($A165="","",IFERROR(_xlfn.XLOOKUP($A165,'System Generated 2026-08-24'!$A:$A,'System Generated 2026-08-24'!$B:$B),"Missing"))</f>
        <v>Missing</v>
      </c>
      <c r="C165" s="20">
        <f>IF($A165="","",IFERROR(_xlfn.XLOOKUP($A165,Table1[Item],Table1[Current Stock]),"Missing"))</f>
        <v>5</v>
      </c>
      <c r="D165" s="20" t="str">
        <f t="shared" si="6"/>
        <v>N/A</v>
      </c>
      <c r="E165" s="21" t="str">
        <f>IF($A165="","",IFERROR(_xlfn.XLOOKUP($A165,'System Generated 2026-08-24'!$A:$A,'System Generated 2026-08-24'!$E:$E),"Missing"))</f>
        <v>Missing</v>
      </c>
      <c r="F165" s="21">
        <f>IF($A165="","",IFERROR(_xlfn.XLOOKUP($A165,Table1[Item],Table1[Total (₹)]),"Missing"))</f>
        <v>800</v>
      </c>
      <c r="G165" s="21" t="str">
        <f t="shared" si="7"/>
        <v>N/A</v>
      </c>
      <c r="H165" t="str">
        <f t="shared" si="8"/>
        <v>Missing in App</v>
      </c>
      <c r="K165" t="str">
        <f>'System Generated 2026-08-24'!A165</f>
        <v>Ice Cream Cone</v>
      </c>
    </row>
    <row r="166" spans="1:11" hidden="1" x14ac:dyDescent="0.25">
      <c r="A166" t="str">
        <v>Ghee</v>
      </c>
      <c r="B166" s="20">
        <f>IF($A166="","",IFERROR(_xlfn.XLOOKUP($A166,'System Generated 2026-08-24'!$A:$A,'System Generated 2026-08-24'!$B:$B),"Missing"))</f>
        <v>43.5</v>
      </c>
      <c r="C166" s="20">
        <f>IF($A166="","",IFERROR(_xlfn.XLOOKUP($A166,Table1[Item],Table1[Current Stock]),"Missing"))</f>
        <v>43.5</v>
      </c>
      <c r="D166" s="20">
        <f t="shared" si="6"/>
        <v>0</v>
      </c>
      <c r="E166" s="21">
        <f>IF($A166="","",IFERROR(_xlfn.XLOOKUP($A166,'System Generated 2026-08-24'!$A:$A,'System Generated 2026-08-24'!$E:$E),"Missing"))</f>
        <v>15452.3</v>
      </c>
      <c r="F166" s="21">
        <f>IF($A166="","",IFERROR(_xlfn.XLOOKUP($A166,Table1[Item],Table1[Total (₹)]),"Missing"))</f>
        <v>15452.288</v>
      </c>
      <c r="G166" s="21">
        <f t="shared" si="7"/>
        <v>1.1999999998806743E-2</v>
      </c>
      <c r="H166" t="str">
        <f t="shared" si="8"/>
        <v>Match</v>
      </c>
      <c r="K166" t="str">
        <f>'System Generated 2026-08-24'!A166</f>
        <v>Ice Cream Cups</v>
      </c>
    </row>
    <row r="167" spans="1:11" hidden="1" x14ac:dyDescent="0.25">
      <c r="A167" t="str">
        <v>Ginger</v>
      </c>
      <c r="B167" s="20">
        <f>IF($A167="","",IFERROR(_xlfn.XLOOKUP($A167,'System Generated 2026-08-24'!$A:$A,'System Generated 2026-08-24'!$B:$B),"Missing"))</f>
        <v>5.4</v>
      </c>
      <c r="C167" s="20">
        <f>IF($A167="","",IFERROR(_xlfn.XLOOKUP($A167,Table1[Item],Table1[Current Stock]),"Missing"))</f>
        <v>5.4</v>
      </c>
      <c r="D167" s="20">
        <f t="shared" si="6"/>
        <v>0</v>
      </c>
      <c r="E167" s="21">
        <f>IF($A167="","",IFERROR(_xlfn.XLOOKUP($A167,'System Generated 2026-08-24'!$A:$A,'System Generated 2026-08-24'!$E:$E),"Missing"))</f>
        <v>614.44000000000005</v>
      </c>
      <c r="F167" s="21">
        <f>IF($A167="","",IFERROR(_xlfn.XLOOKUP($A167,Table1[Item],Table1[Total (₹)]),"Missing"))</f>
        <v>614.43899999999996</v>
      </c>
      <c r="G167" s="21">
        <f t="shared" si="7"/>
        <v>1.00000000009004E-3</v>
      </c>
      <c r="H167" t="str">
        <f t="shared" si="8"/>
        <v>Match</v>
      </c>
      <c r="K167" t="str">
        <f>'System Generated 2026-08-24'!A167</f>
        <v>Idly Box</v>
      </c>
    </row>
    <row r="168" spans="1:11" hidden="1" x14ac:dyDescent="0.25">
      <c r="A168" t="str">
        <v>Ginger Powder</v>
      </c>
      <c r="B168" s="20">
        <f>IF($A168="","",IFERROR(_xlfn.XLOOKUP($A168,'System Generated 2026-08-24'!$A:$A,'System Generated 2026-08-24'!$B:$B),"Missing"))</f>
        <v>2</v>
      </c>
      <c r="C168" s="20">
        <f>IF($A168="","",IFERROR(_xlfn.XLOOKUP($A168,Table1[Item],Table1[Current Stock]),"Missing"))</f>
        <v>2</v>
      </c>
      <c r="D168" s="20">
        <f t="shared" si="6"/>
        <v>0</v>
      </c>
      <c r="E168" s="21">
        <f>IF($A168="","",IFERROR(_xlfn.XLOOKUP($A168,'System Generated 2026-08-24'!$A:$A,'System Generated 2026-08-24'!$E:$E),"Missing"))</f>
        <v>830</v>
      </c>
      <c r="F168" s="21">
        <f>IF($A168="","",IFERROR(_xlfn.XLOOKUP($A168,Table1[Item],Table1[Total (₹)]),"Missing"))</f>
        <v>830</v>
      </c>
      <c r="G168" s="21">
        <f t="shared" si="7"/>
        <v>0</v>
      </c>
      <c r="H168" t="str">
        <f t="shared" si="8"/>
        <v>Match</v>
      </c>
      <c r="K168" t="str">
        <f>'System Generated 2026-08-24'!A168</f>
        <v>Idly Ravva</v>
      </c>
    </row>
    <row r="169" spans="1:11" hidden="1" x14ac:dyDescent="0.25">
      <c r="A169" t="str">
        <v>Ginger Syrup</v>
      </c>
      <c r="B169" s="20">
        <f>IF($A169="","",IFERROR(_xlfn.XLOOKUP($A169,'System Generated 2026-08-24'!$A:$A,'System Generated 2026-08-24'!$B:$B),"Missing"))</f>
        <v>1</v>
      </c>
      <c r="C169" s="20">
        <f>IF($A169="","",IFERROR(_xlfn.XLOOKUP($A169,Table1[Item],Table1[Current Stock]),"Missing"))</f>
        <v>1</v>
      </c>
      <c r="D169" s="20">
        <f t="shared" si="6"/>
        <v>0</v>
      </c>
      <c r="E169" s="21">
        <f>IF($A169="","",IFERROR(_xlfn.XLOOKUP($A169,'System Generated 2026-08-24'!$A:$A,'System Generated 2026-08-24'!$E:$E),"Missing"))</f>
        <v>210</v>
      </c>
      <c r="F169" s="21">
        <f>IF($A169="","",IFERROR(_xlfn.XLOOKUP($A169,Table1[Item],Table1[Total (₹)]),"Missing"))</f>
        <v>210</v>
      </c>
      <c r="G169" s="21">
        <f t="shared" si="7"/>
        <v>0</v>
      </c>
      <c r="H169" t="str">
        <f t="shared" si="8"/>
        <v>Match</v>
      </c>
      <c r="K169" t="str">
        <f>'System Generated 2026-08-24'!A169</f>
        <v>Idly Rice</v>
      </c>
    </row>
    <row r="170" spans="1:11" hidden="1" x14ac:dyDescent="0.25">
      <c r="A170" t="str">
        <v>Gold Milk</v>
      </c>
      <c r="B170" s="20">
        <f>IF($A170="","",IFERROR(_xlfn.XLOOKUP($A170,'System Generated 2026-08-24'!$A:$A,'System Generated 2026-08-24'!$B:$B),"Missing"))</f>
        <v>0</v>
      </c>
      <c r="C170" s="20">
        <f>IF($A170="","",IFERROR(_xlfn.XLOOKUP($A170,Table1[Item],Table1[Current Stock]),"Missing"))</f>
        <v>0</v>
      </c>
      <c r="D170" s="20">
        <f t="shared" si="6"/>
        <v>0</v>
      </c>
      <c r="E170" s="21">
        <f>IF($A170="","",IFERROR(_xlfn.XLOOKUP($A170,'System Generated 2026-08-24'!$A:$A,'System Generated 2026-08-24'!$E:$E),"Missing"))</f>
        <v>0</v>
      </c>
      <c r="F170" s="21">
        <f>IF($A170="","",IFERROR(_xlfn.XLOOKUP($A170,Table1[Item],Table1[Total (₹)]),"Missing"))</f>
        <v>0</v>
      </c>
      <c r="G170" s="21">
        <f t="shared" si="7"/>
        <v>0</v>
      </c>
      <c r="H170" t="str">
        <f t="shared" si="8"/>
        <v>Match</v>
      </c>
      <c r="K170" t="str">
        <f>'System Generated 2026-08-24'!A170</f>
        <v>Indian Gas</v>
      </c>
    </row>
    <row r="171" spans="1:11" hidden="1" x14ac:dyDescent="0.25">
      <c r="A171" t="str">
        <v>Gongura</v>
      </c>
      <c r="B171" s="20">
        <f>IF($A171="","",IFERROR(_xlfn.XLOOKUP($A171,'System Generated 2026-08-24'!$A:$A,'System Generated 2026-08-24'!$B:$B),"Missing"))</f>
        <v>2</v>
      </c>
      <c r="C171" s="20">
        <f>IF($A171="","",IFERROR(_xlfn.XLOOKUP($A171,Table1[Item],Table1[Current Stock]),"Missing"))</f>
        <v>0</v>
      </c>
      <c r="D171" s="20">
        <f t="shared" si="6"/>
        <v>2</v>
      </c>
      <c r="E171" s="21">
        <f>IF($A171="","",IFERROR(_xlfn.XLOOKUP($A171,'System Generated 2026-08-24'!$A:$A,'System Generated 2026-08-24'!$E:$E),"Missing"))</f>
        <v>60</v>
      </c>
      <c r="F171" s="21">
        <f>IF($A171="","",IFERROR(_xlfn.XLOOKUP($A171,Table1[Item],Table1[Total (₹)]),"Missing"))</f>
        <v>0</v>
      </c>
      <c r="G171" s="21">
        <f t="shared" si="7"/>
        <v>60</v>
      </c>
      <c r="H171" t="str">
        <f t="shared" si="8"/>
        <v>Discrepancy</v>
      </c>
      <c r="K171" t="str">
        <f>'System Generated 2026-08-24'!A171</f>
        <v>Jaggery</v>
      </c>
    </row>
    <row r="172" spans="1:11" hidden="1" x14ac:dyDescent="0.25">
      <c r="A172" t="str">
        <v>Good Night Machine</v>
      </c>
      <c r="B172" s="20">
        <f>IF($A172="","",IFERROR(_xlfn.XLOOKUP($A172,'System Generated 2026-08-24'!$A:$A,'System Generated 2026-08-24'!$B:$B),"Missing"))</f>
        <v>17</v>
      </c>
      <c r="C172" s="20">
        <f>IF($A172="","",IFERROR(_xlfn.XLOOKUP($A172,Table1[Item],Table1[Current Stock]),"Missing"))</f>
        <v>17</v>
      </c>
      <c r="D172" s="20">
        <f t="shared" si="6"/>
        <v>0</v>
      </c>
      <c r="E172" s="21">
        <f>IF($A172="","",IFERROR(_xlfn.XLOOKUP($A172,'System Generated 2026-08-24'!$A:$A,'System Generated 2026-08-24'!$E:$E),"Missing"))</f>
        <v>1874.86</v>
      </c>
      <c r="F172" s="21">
        <f>IF($A172="","",IFERROR(_xlfn.XLOOKUP($A172,Table1[Item],Table1[Total (₹)]),"Missing"))</f>
        <v>1874.8620000000001</v>
      </c>
      <c r="G172" s="21">
        <f t="shared" si="7"/>
        <v>-2.00000000018008E-3</v>
      </c>
      <c r="H172" t="str">
        <f t="shared" si="8"/>
        <v>Match</v>
      </c>
      <c r="K172" t="str">
        <f>'System Generated 2026-08-24'!A172</f>
        <v>Jajikaya</v>
      </c>
    </row>
    <row r="173" spans="1:11" hidden="1" x14ac:dyDescent="0.25">
      <c r="A173" t="str">
        <v>Good Night Refill</v>
      </c>
      <c r="B173" s="20">
        <f>IF($A173="","",IFERROR(_xlfn.XLOOKUP($A173,'System Generated 2026-08-24'!$A:$A,'System Generated 2026-08-24'!$B:$B),"Missing"))</f>
        <v>15</v>
      </c>
      <c r="C173" s="20">
        <f>IF($A173="","",IFERROR(_xlfn.XLOOKUP($A173,Table1[Item],Table1[Current Stock]),"Missing"))</f>
        <v>15</v>
      </c>
      <c r="D173" s="20">
        <f t="shared" si="6"/>
        <v>0</v>
      </c>
      <c r="E173" s="21">
        <f>IF($A173="","",IFERROR(_xlfn.XLOOKUP($A173,'System Generated 2026-08-24'!$A:$A,'System Generated 2026-08-24'!$E:$E),"Missing"))</f>
        <v>1142.92</v>
      </c>
      <c r="F173" s="21">
        <f>IF($A173="","",IFERROR(_xlfn.XLOOKUP($A173,Table1[Item],Table1[Total (₹)]),"Missing"))</f>
        <v>1142.924</v>
      </c>
      <c r="G173" s="21">
        <f t="shared" si="7"/>
        <v>-3.9999999999054126E-3</v>
      </c>
      <c r="H173" t="str">
        <f t="shared" si="8"/>
        <v>Match</v>
      </c>
      <c r="K173" t="str">
        <f>'System Generated 2026-08-24'!A173</f>
        <v>Jal Jeera</v>
      </c>
    </row>
    <row r="174" spans="1:11" x14ac:dyDescent="0.25">
      <c r="A174" t="str">
        <v>Goru Chikkudukaya</v>
      </c>
      <c r="B174" s="20" t="str">
        <f>IF($A174="","",IFERROR(_xlfn.XLOOKUP($A174,'System Generated 2026-08-24'!$A:$A,'System Generated 2026-08-24'!$B:$B),"Missing"))</f>
        <v>Missing</v>
      </c>
      <c r="C174" s="20">
        <f>IF($A174="","",IFERROR(_xlfn.XLOOKUP($A174,Table1[Item],Table1[Current Stock]),"Missing"))</f>
        <v>0</v>
      </c>
      <c r="D174" s="20" t="str">
        <f t="shared" si="6"/>
        <v>N/A</v>
      </c>
      <c r="E174" s="21" t="str">
        <f>IF($A174="","",IFERROR(_xlfn.XLOOKUP($A174,'System Generated 2026-08-24'!$A:$A,'System Generated 2026-08-24'!$E:$E),"Missing"))</f>
        <v>Missing</v>
      </c>
      <c r="F174" s="21">
        <f>IF($A174="","",IFERROR(_xlfn.XLOOKUP($A174,Table1[Item],Table1[Total (₹)]),"Missing"))</f>
        <v>0</v>
      </c>
      <c r="G174" s="21" t="str">
        <f t="shared" si="7"/>
        <v>N/A</v>
      </c>
      <c r="H174" t="str">
        <f t="shared" si="8"/>
        <v>Missing in App</v>
      </c>
      <c r="K174" t="str">
        <f>'System Generated 2026-08-24'!A174</f>
        <v>Jalpan Carrybags 11*14</v>
      </c>
    </row>
    <row r="175" spans="1:11" hidden="1" x14ac:dyDescent="0.25">
      <c r="A175" t="str">
        <v>Green Batana Raw</v>
      </c>
      <c r="B175" s="20">
        <f>IF($A175="","",IFERROR(_xlfn.XLOOKUP($A175,'System Generated 2026-08-24'!$A:$A,'System Generated 2026-08-24'!$B:$B),"Missing"))</f>
        <v>34.5</v>
      </c>
      <c r="C175" s="20">
        <f>IF($A175="","",IFERROR(_xlfn.XLOOKUP($A175,Table1[Item],Table1[Current Stock]),"Missing"))</f>
        <v>34.5</v>
      </c>
      <c r="D175" s="20">
        <f t="shared" si="6"/>
        <v>0</v>
      </c>
      <c r="E175" s="21">
        <f>IF($A175="","",IFERROR(_xlfn.XLOOKUP($A175,'System Generated 2026-08-24'!$A:$A,'System Generated 2026-08-24'!$E:$E),"Missing"))</f>
        <v>2104.5</v>
      </c>
      <c r="F175" s="21">
        <f>IF($A175="","",IFERROR(_xlfn.XLOOKUP($A175,Table1[Item],Table1[Total (₹)]),"Missing"))</f>
        <v>2104.5</v>
      </c>
      <c r="G175" s="21">
        <f t="shared" si="7"/>
        <v>0</v>
      </c>
      <c r="H175" t="str">
        <f t="shared" si="8"/>
        <v>Match</v>
      </c>
      <c r="K175" t="str">
        <f>'System Generated 2026-08-24'!A175</f>
        <v>Jalpeno</v>
      </c>
    </row>
    <row r="176" spans="1:11" hidden="1" x14ac:dyDescent="0.25">
      <c r="A176" t="str">
        <v>Green Chilly</v>
      </c>
      <c r="B176" s="20">
        <f>IF($A176="","",IFERROR(_xlfn.XLOOKUP($A176,'System Generated 2026-08-24'!$A:$A,'System Generated 2026-08-24'!$B:$B),"Missing"))</f>
        <v>37.5</v>
      </c>
      <c r="C176" s="20">
        <f>IF($A176="","",IFERROR(_xlfn.XLOOKUP($A176,Table1[Item],Table1[Current Stock]),"Missing"))</f>
        <v>37.5</v>
      </c>
      <c r="D176" s="20">
        <f t="shared" si="6"/>
        <v>0</v>
      </c>
      <c r="E176" s="21">
        <f>IF($A176="","",IFERROR(_xlfn.XLOOKUP($A176,'System Generated 2026-08-24'!$A:$A,'System Generated 2026-08-24'!$E:$E),"Missing"))</f>
        <v>2138.1</v>
      </c>
      <c r="F176" s="21">
        <f>IF($A176="","",IFERROR(_xlfn.XLOOKUP($A176,Table1[Item],Table1[Total (₹)]),"Missing"))</f>
        <v>2138.1039999999998</v>
      </c>
      <c r="G176" s="21">
        <f t="shared" si="7"/>
        <v>-3.9999999999054126E-3</v>
      </c>
      <c r="H176" t="str">
        <f t="shared" si="8"/>
        <v>Match</v>
      </c>
      <c r="K176" t="str">
        <f>'System Generated 2026-08-24'!A176</f>
        <v>Japathri</v>
      </c>
    </row>
    <row r="177" spans="1:11" hidden="1" x14ac:dyDescent="0.25">
      <c r="A177" t="str">
        <v>Green Chilly Sauce</v>
      </c>
      <c r="B177" s="20">
        <f>IF($A177="","",IFERROR(_xlfn.XLOOKUP($A177,'System Generated 2026-08-24'!$A:$A,'System Generated 2026-08-24'!$B:$B),"Missing"))</f>
        <v>21</v>
      </c>
      <c r="C177" s="20">
        <f>IF($A177="","",IFERROR(_xlfn.XLOOKUP($A177,Table1[Item],Table1[Current Stock]),"Missing"))</f>
        <v>21</v>
      </c>
      <c r="D177" s="20">
        <f t="shared" si="6"/>
        <v>0</v>
      </c>
      <c r="E177" s="21">
        <f>IF($A177="","",IFERROR(_xlfn.XLOOKUP($A177,'System Generated 2026-08-24'!$A:$A,'System Generated 2026-08-24'!$E:$E),"Missing"))</f>
        <v>780.56</v>
      </c>
      <c r="F177" s="21">
        <f>IF($A177="","",IFERROR(_xlfn.XLOOKUP($A177,Table1[Item],Table1[Total (₹)]),"Missing"))</f>
        <v>780.56</v>
      </c>
      <c r="G177" s="21">
        <f t="shared" si="7"/>
        <v>0</v>
      </c>
      <c r="H177" t="str">
        <f t="shared" si="8"/>
        <v>Match</v>
      </c>
      <c r="K177" t="str">
        <f>'System Generated 2026-08-24'!A177</f>
        <v>Jeera</v>
      </c>
    </row>
    <row r="178" spans="1:11" hidden="1" x14ac:dyDescent="0.25">
      <c r="A178" t="str">
        <v>Green Mojito Mint</v>
      </c>
      <c r="B178" s="20">
        <f>IF($A178="","",IFERROR(_xlfn.XLOOKUP($A178,'System Generated 2026-08-24'!$A:$A,'System Generated 2026-08-24'!$B:$B),"Missing"))</f>
        <v>2</v>
      </c>
      <c r="C178" s="20">
        <f>IF($A178="","",IFERROR(_xlfn.XLOOKUP($A178,Table1[Item],Table1[Current Stock]),"Missing"))</f>
        <v>2</v>
      </c>
      <c r="D178" s="20">
        <f t="shared" si="6"/>
        <v>0</v>
      </c>
      <c r="E178" s="21">
        <f>IF($A178="","",IFERROR(_xlfn.XLOOKUP($A178,'System Generated 2026-08-24'!$A:$A,'System Generated 2026-08-24'!$E:$E),"Missing"))</f>
        <v>554.38</v>
      </c>
      <c r="F178" s="21">
        <f>IF($A178="","",IFERROR(_xlfn.XLOOKUP($A178,Table1[Item],Table1[Total (₹)]),"Missing"))</f>
        <v>554.37599999999998</v>
      </c>
      <c r="G178" s="21">
        <f t="shared" si="7"/>
        <v>4.0000000000190994E-3</v>
      </c>
      <c r="H178" t="str">
        <f t="shared" si="8"/>
        <v>Match</v>
      </c>
      <c r="K178" t="str">
        <f>'System Generated 2026-08-24'!A178</f>
        <v>Jeera Masala Syrup</v>
      </c>
    </row>
    <row r="179" spans="1:11" hidden="1" x14ac:dyDescent="0.25">
      <c r="A179" t="str">
        <v>Gulkanda</v>
      </c>
      <c r="B179" s="20">
        <f>IF($A179="","",IFERROR(_xlfn.XLOOKUP($A179,'System Generated 2026-08-24'!$A:$A,'System Generated 2026-08-24'!$B:$B),"Missing"))</f>
        <v>0</v>
      </c>
      <c r="C179" s="20">
        <f>IF($A179="","",IFERROR(_xlfn.XLOOKUP($A179,Table1[Item],Table1[Current Stock]),"Missing"))</f>
        <v>0</v>
      </c>
      <c r="D179" s="20">
        <f t="shared" si="6"/>
        <v>0</v>
      </c>
      <c r="E179" s="21">
        <f>IF($A179="","",IFERROR(_xlfn.XLOOKUP($A179,'System Generated 2026-08-24'!$A:$A,'System Generated 2026-08-24'!$E:$E),"Missing"))</f>
        <v>0</v>
      </c>
      <c r="F179" s="21">
        <f>IF($A179="","",IFERROR(_xlfn.XLOOKUP($A179,Table1[Item],Table1[Total (₹)]),"Missing"))</f>
        <v>0</v>
      </c>
      <c r="G179" s="21">
        <f t="shared" si="7"/>
        <v>0</v>
      </c>
      <c r="H179" t="str">
        <f t="shared" si="8"/>
        <v>Match</v>
      </c>
      <c r="K179" t="str">
        <f>'System Generated 2026-08-24'!A179</f>
        <v>Jeera Powder</v>
      </c>
    </row>
    <row r="180" spans="1:11" hidden="1" x14ac:dyDescent="0.25">
      <c r="A180" t="str">
        <v>Gummadikaya</v>
      </c>
      <c r="B180" s="20">
        <f>IF($A180="","",IFERROR(_xlfn.XLOOKUP($A180,'System Generated 2026-08-24'!$A:$A,'System Generated 2026-08-24'!$B:$B),"Missing"))</f>
        <v>0</v>
      </c>
      <c r="C180" s="20">
        <f>IF($A180="","",IFERROR(_xlfn.XLOOKUP($A180,Table1[Item],Table1[Current Stock]),"Missing"))</f>
        <v>0</v>
      </c>
      <c r="D180" s="20">
        <f t="shared" si="6"/>
        <v>0</v>
      </c>
      <c r="E180" s="21">
        <f>IF($A180="","",IFERROR(_xlfn.XLOOKUP($A180,'System Generated 2026-08-24'!$A:$A,'System Generated 2026-08-24'!$E:$E),"Missing"))</f>
        <v>0</v>
      </c>
      <c r="F180" s="21">
        <f>IF($A180="","",IFERROR(_xlfn.XLOOKUP($A180,Table1[Item],Table1[Total (₹)]),"Missing"))</f>
        <v>0</v>
      </c>
      <c r="G180" s="21">
        <f t="shared" si="7"/>
        <v>0</v>
      </c>
      <c r="H180" t="str">
        <f t="shared" si="8"/>
        <v>Match</v>
      </c>
      <c r="K180" t="str">
        <f>'System Generated 2026-08-24'!A180</f>
        <v>Kabuli Channa</v>
      </c>
    </row>
    <row r="181" spans="1:11" hidden="1" x14ac:dyDescent="0.25">
      <c r="A181" t="str">
        <v>Hand Gloves</v>
      </c>
      <c r="B181" s="20">
        <f>IF($A181="","",IFERROR(_xlfn.XLOOKUP($A181,'System Generated 2026-08-24'!$A:$A,'System Generated 2026-08-24'!$B:$B),"Missing"))</f>
        <v>10</v>
      </c>
      <c r="C181" s="20">
        <f>IF($A181="","",IFERROR(_xlfn.XLOOKUP($A181,Table1[Item],Table1[Current Stock]),"Missing"))</f>
        <v>10</v>
      </c>
      <c r="D181" s="20">
        <f t="shared" si="6"/>
        <v>0</v>
      </c>
      <c r="E181" s="21">
        <f>IF($A181="","",IFERROR(_xlfn.XLOOKUP($A181,'System Generated 2026-08-24'!$A:$A,'System Generated 2026-08-24'!$E:$E),"Missing"))</f>
        <v>500</v>
      </c>
      <c r="F181" s="21">
        <f>IF($A181="","",IFERROR(_xlfn.XLOOKUP($A181,Table1[Item],Table1[Total (₹)]),"Missing"))</f>
        <v>500</v>
      </c>
      <c r="G181" s="21">
        <f t="shared" si="7"/>
        <v>0</v>
      </c>
      <c r="H181" t="str">
        <f t="shared" si="8"/>
        <v>Match</v>
      </c>
      <c r="K181" t="str">
        <f>'System Generated 2026-08-24'!A181</f>
        <v>Kaju 2 Pieces</v>
      </c>
    </row>
    <row r="182" spans="1:11" hidden="1" x14ac:dyDescent="0.25">
      <c r="A182" t="str">
        <v>Hand Wash</v>
      </c>
      <c r="B182" s="20">
        <f>IF($A182="","",IFERROR(_xlfn.XLOOKUP($A182,'System Generated 2026-08-24'!$A:$A,'System Generated 2026-08-24'!$B:$B),"Missing"))</f>
        <v>38.9</v>
      </c>
      <c r="C182" s="20">
        <f>IF($A182="","",IFERROR(_xlfn.XLOOKUP($A182,Table1[Item],Table1[Current Stock]),"Missing"))</f>
        <v>38.9</v>
      </c>
      <c r="D182" s="20">
        <f t="shared" si="6"/>
        <v>0</v>
      </c>
      <c r="E182" s="21">
        <f>IF($A182="","",IFERROR(_xlfn.XLOOKUP($A182,'System Generated 2026-08-24'!$A:$A,'System Generated 2026-08-24'!$E:$E),"Missing"))</f>
        <v>2334</v>
      </c>
      <c r="F182" s="21">
        <f>IF($A182="","",IFERROR(_xlfn.XLOOKUP($A182,Table1[Item],Table1[Total (₹)]),"Missing"))</f>
        <v>2334</v>
      </c>
      <c r="G182" s="21">
        <f t="shared" si="7"/>
        <v>0</v>
      </c>
      <c r="H182" t="str">
        <f t="shared" si="8"/>
        <v>Match</v>
      </c>
      <c r="K182" t="str">
        <f>'System Generated 2026-08-24'!A182</f>
        <v>Kaju Nuka</v>
      </c>
    </row>
    <row r="183" spans="1:11" x14ac:dyDescent="0.25">
      <c r="A183" t="str">
        <v>Happy Biscuit</v>
      </c>
      <c r="B183" s="20" t="str">
        <f>IF($A183="","",IFERROR(_xlfn.XLOOKUP($A183,'System Generated 2026-08-24'!$A:$A,'System Generated 2026-08-24'!$B:$B),"Missing"))</f>
        <v>Missing</v>
      </c>
      <c r="C183" s="20">
        <f>IF($A183="","",IFERROR(_xlfn.XLOOKUP($A183,Table1[Item],Table1[Current Stock]),"Missing"))</f>
        <v>6</v>
      </c>
      <c r="D183" s="20" t="str">
        <f t="shared" si="6"/>
        <v>N/A</v>
      </c>
      <c r="E183" s="21" t="str">
        <f>IF($A183="","",IFERROR(_xlfn.XLOOKUP($A183,'System Generated 2026-08-24'!$A:$A,'System Generated 2026-08-24'!$E:$E),"Missing"))</f>
        <v>Missing</v>
      </c>
      <c r="F183" s="21">
        <f>IF($A183="","",IFERROR(_xlfn.XLOOKUP($A183,Table1[Item],Table1[Total (₹)]),"Missing"))</f>
        <v>640.00199999999995</v>
      </c>
      <c r="G183" s="21" t="str">
        <f t="shared" si="7"/>
        <v>N/A</v>
      </c>
      <c r="H183" t="str">
        <f t="shared" si="8"/>
        <v>Missing in App</v>
      </c>
      <c r="K183" t="str">
        <f>'System Generated 2026-08-24'!A183</f>
        <v>Kakarkaya</v>
      </c>
    </row>
    <row r="184" spans="1:11" hidden="1" x14ac:dyDescent="0.25">
      <c r="A184" t="str">
        <v>Harpic</v>
      </c>
      <c r="B184" s="20">
        <f>IF($A184="","",IFERROR(_xlfn.XLOOKUP($A184,'System Generated 2026-08-24'!$A:$A,'System Generated 2026-08-24'!$B:$B),"Missing"))</f>
        <v>62.8</v>
      </c>
      <c r="C184" s="20">
        <f>IF($A184="","",IFERROR(_xlfn.XLOOKUP($A184,Table1[Item],Table1[Current Stock]),"Missing"))</f>
        <v>62.8</v>
      </c>
      <c r="D184" s="20">
        <f t="shared" si="6"/>
        <v>0</v>
      </c>
      <c r="E184" s="21">
        <f>IF($A184="","",IFERROR(_xlfn.XLOOKUP($A184,'System Generated 2026-08-24'!$A:$A,'System Generated 2026-08-24'!$E:$E),"Missing"))</f>
        <v>2512</v>
      </c>
      <c r="F184" s="21">
        <f>IF($A184="","",IFERROR(_xlfn.XLOOKUP($A184,Table1[Item],Table1[Total (₹)]),"Missing"))</f>
        <v>2512</v>
      </c>
      <c r="G184" s="21">
        <f t="shared" si="7"/>
        <v>0</v>
      </c>
      <c r="H184" t="str">
        <f t="shared" si="8"/>
        <v>Match</v>
      </c>
      <c r="K184" t="str">
        <f>'System Generated 2026-08-24'!A184</f>
        <v>Kala Khatta Syrup</v>
      </c>
    </row>
    <row r="185" spans="1:11" hidden="1" x14ac:dyDescent="0.25">
      <c r="A185" t="str">
        <v>Hezelnuts</v>
      </c>
      <c r="B185" s="20">
        <f>IF($A185="","",IFERROR(_xlfn.XLOOKUP($A185,'System Generated 2026-08-24'!$A:$A,'System Generated 2026-08-24'!$B:$B),"Missing"))</f>
        <v>1</v>
      </c>
      <c r="C185" s="20">
        <f>IF($A185="","",IFERROR(_xlfn.XLOOKUP($A185,Table1[Item],Table1[Current Stock]),"Missing"))</f>
        <v>1</v>
      </c>
      <c r="D185" s="20">
        <f t="shared" si="6"/>
        <v>0</v>
      </c>
      <c r="E185" s="21">
        <f>IF($A185="","",IFERROR(_xlfn.XLOOKUP($A185,'System Generated 2026-08-24'!$A:$A,'System Generated 2026-08-24'!$E:$E),"Missing"))</f>
        <v>526.66999999999996</v>
      </c>
      <c r="F185" s="21">
        <f>IF($A185="","",IFERROR(_xlfn.XLOOKUP($A185,Table1[Item],Table1[Total (₹)]),"Missing"))</f>
        <v>526.66700000000003</v>
      </c>
      <c r="G185" s="21">
        <f t="shared" si="7"/>
        <v>2.9999999999290594E-3</v>
      </c>
      <c r="H185" t="str">
        <f t="shared" si="8"/>
        <v>Match</v>
      </c>
      <c r="K185" t="str">
        <f>'System Generated 2026-08-24'!A185</f>
        <v>Kandagadda</v>
      </c>
    </row>
    <row r="186" spans="1:11" hidden="1" x14ac:dyDescent="0.25">
      <c r="A186" t="str">
        <v>Hing</v>
      </c>
      <c r="B186" s="20">
        <f>IF($A186="","",IFERROR(_xlfn.XLOOKUP($A186,'System Generated 2026-08-24'!$A:$A,'System Generated 2026-08-24'!$B:$B),"Missing"))</f>
        <v>126</v>
      </c>
      <c r="C186" s="20">
        <f>IF($A186="","",IFERROR(_xlfn.XLOOKUP($A186,Table1[Item],Table1[Current Stock]),"Missing"))</f>
        <v>126</v>
      </c>
      <c r="D186" s="20">
        <f t="shared" si="6"/>
        <v>0</v>
      </c>
      <c r="E186" s="21">
        <f>IF($A186="","",IFERROR(_xlfn.XLOOKUP($A186,'System Generated 2026-08-24'!$A:$A,'System Generated 2026-08-24'!$E:$E),"Missing"))</f>
        <v>12391.8</v>
      </c>
      <c r="F186" s="21">
        <f>IF($A186="","",IFERROR(_xlfn.XLOOKUP($A186,Table1[Item],Table1[Total (₹)]),"Missing"))</f>
        <v>12391.823</v>
      </c>
      <c r="G186" s="21">
        <f t="shared" si="7"/>
        <v>-2.3000000001047738E-2</v>
      </c>
      <c r="H186" t="str">
        <f t="shared" si="8"/>
        <v>Match</v>
      </c>
      <c r="K186" t="str">
        <f>'System Generated 2026-08-24'!A186</f>
        <v>Karivepaku</v>
      </c>
    </row>
    <row r="187" spans="1:11" hidden="1" x14ac:dyDescent="0.25">
      <c r="A187" t="str">
        <v>Hmt Rice</v>
      </c>
      <c r="B187" s="20">
        <f>IF($A187="","",IFERROR(_xlfn.XLOOKUP($A187,'System Generated 2026-08-24'!$A:$A,'System Generated 2026-08-24'!$B:$B),"Missing"))</f>
        <v>264</v>
      </c>
      <c r="C187" s="20">
        <f>IF($A187="","",IFERROR(_xlfn.XLOOKUP($A187,Table1[Item],Table1[Current Stock]),"Missing"))</f>
        <v>264</v>
      </c>
      <c r="D187" s="20">
        <f t="shared" si="6"/>
        <v>0</v>
      </c>
      <c r="E187" s="21">
        <f>IF($A187="","",IFERROR(_xlfn.XLOOKUP($A187,'System Generated 2026-08-24'!$A:$A,'System Generated 2026-08-24'!$E:$E),"Missing"))</f>
        <v>15673.5</v>
      </c>
      <c r="F187" s="21">
        <f>IF($A187="","",IFERROR(_xlfn.XLOOKUP($A187,Table1[Item],Table1[Total (₹)]),"Missing"))</f>
        <v>15673.495000000001</v>
      </c>
      <c r="G187" s="21">
        <f t="shared" si="7"/>
        <v>4.9999999991996447E-3</v>
      </c>
      <c r="H187" t="str">
        <f t="shared" si="8"/>
        <v>Match</v>
      </c>
      <c r="K187" t="str">
        <f>'System Generated 2026-08-24'!A187</f>
        <v>Kashmiri Mirchi Powder</v>
      </c>
    </row>
    <row r="188" spans="1:11" hidden="1" x14ac:dyDescent="0.25">
      <c r="A188" t="str">
        <v>Homa</v>
      </c>
      <c r="B188" s="20">
        <f>IF($A188="","",IFERROR(_xlfn.XLOOKUP($A188,'System Generated 2026-08-24'!$A:$A,'System Generated 2026-08-24'!$B:$B),"Missing"))</f>
        <v>2</v>
      </c>
      <c r="C188" s="20">
        <f>IF($A188="","",IFERROR(_xlfn.XLOOKUP($A188,Table1[Item],Table1[Current Stock]),"Missing"))</f>
        <v>2</v>
      </c>
      <c r="D188" s="20">
        <f t="shared" si="6"/>
        <v>0</v>
      </c>
      <c r="E188" s="21">
        <f>IF($A188="","",IFERROR(_xlfn.XLOOKUP($A188,'System Generated 2026-08-24'!$A:$A,'System Generated 2026-08-24'!$E:$E),"Missing"))</f>
        <v>620</v>
      </c>
      <c r="F188" s="21">
        <f>IF($A188="","",IFERROR(_xlfn.XLOOKUP($A188,Table1[Item],Table1[Total (₹)]),"Missing"))</f>
        <v>620</v>
      </c>
      <c r="G188" s="21">
        <f t="shared" si="7"/>
        <v>0</v>
      </c>
      <c r="H188" t="str">
        <f t="shared" si="8"/>
        <v>Match</v>
      </c>
      <c r="K188" t="str">
        <f>'System Generated 2026-08-24'!A188</f>
        <v>Kasturi Methi</v>
      </c>
    </row>
    <row r="189" spans="1:11" hidden="1" x14ac:dyDescent="0.25">
      <c r="A189" t="str">
        <v>Honey</v>
      </c>
      <c r="B189" s="20">
        <f>IF($A189="","",IFERROR(_xlfn.XLOOKUP($A189,'System Generated 2026-08-24'!$A:$A,'System Generated 2026-08-24'!$B:$B),"Missing"))</f>
        <v>2</v>
      </c>
      <c r="C189" s="20">
        <f>IF($A189="","",IFERROR(_xlfn.XLOOKUP($A189,Table1[Item],Table1[Current Stock]),"Missing"))</f>
        <v>2</v>
      </c>
      <c r="D189" s="20">
        <f t="shared" si="6"/>
        <v>0</v>
      </c>
      <c r="E189" s="21">
        <f>IF($A189="","",IFERROR(_xlfn.XLOOKUP($A189,'System Generated 2026-08-24'!$A:$A,'System Generated 2026-08-24'!$E:$E),"Missing"))</f>
        <v>401.38</v>
      </c>
      <c r="F189" s="21">
        <f>IF($A189="","",IFERROR(_xlfn.XLOOKUP($A189,Table1[Item],Table1[Total (₹)]),"Missing"))</f>
        <v>401.38</v>
      </c>
      <c r="G189" s="21">
        <f t="shared" si="7"/>
        <v>0</v>
      </c>
      <c r="H189" t="str">
        <f t="shared" si="8"/>
        <v>Match</v>
      </c>
      <c r="K189" t="str">
        <f>'System Generated 2026-08-24'!A189</f>
        <v>Kewara Water</v>
      </c>
    </row>
    <row r="190" spans="1:11" hidden="1" x14ac:dyDescent="0.25">
      <c r="A190" t="str">
        <v>Horlicks</v>
      </c>
      <c r="B190" s="20">
        <f>IF($A190="","",IFERROR(_xlfn.XLOOKUP($A190,'System Generated 2026-08-24'!$A:$A,'System Generated 2026-08-24'!$B:$B),"Missing"))</f>
        <v>36</v>
      </c>
      <c r="C190" s="20">
        <f>IF($A190="","",IFERROR(_xlfn.XLOOKUP($A190,Table1[Item],Table1[Current Stock]),"Missing"))</f>
        <v>36</v>
      </c>
      <c r="D190" s="20">
        <f t="shared" si="6"/>
        <v>0</v>
      </c>
      <c r="E190" s="21">
        <f>IF($A190="","",IFERROR(_xlfn.XLOOKUP($A190,'System Generated 2026-08-24'!$A:$A,'System Generated 2026-08-24'!$E:$E),"Missing"))</f>
        <v>204.83</v>
      </c>
      <c r="F190" s="21">
        <f>IF($A190="","",IFERROR(_xlfn.XLOOKUP($A190,Table1[Item],Table1[Total (₹)]),"Missing"))</f>
        <v>204.827</v>
      </c>
      <c r="G190" s="21">
        <f t="shared" si="7"/>
        <v>3.0000000000143245E-3</v>
      </c>
      <c r="H190" t="str">
        <f t="shared" si="8"/>
        <v>Match</v>
      </c>
      <c r="K190" t="str">
        <f>'System Generated 2026-08-24'!A190</f>
        <v>Khas Khas</v>
      </c>
    </row>
    <row r="191" spans="1:11" hidden="1" x14ac:dyDescent="0.25">
      <c r="A191" t="str">
        <v>Ice Cream Cone</v>
      </c>
      <c r="B191" s="20">
        <f>IF($A191="","",IFERROR(_xlfn.XLOOKUP($A191,'System Generated 2026-08-24'!$A:$A,'System Generated 2026-08-24'!$B:$B),"Missing"))</f>
        <v>1620</v>
      </c>
      <c r="C191" s="20">
        <f>IF($A191="","",IFERROR(_xlfn.XLOOKUP($A191,Table1[Item],Table1[Current Stock]),"Missing"))</f>
        <v>1620</v>
      </c>
      <c r="D191" s="20">
        <f t="shared" si="6"/>
        <v>0</v>
      </c>
      <c r="E191" s="21">
        <f>IF($A191="","",IFERROR(_xlfn.XLOOKUP($A191,'System Generated 2026-08-24'!$A:$A,'System Generated 2026-08-24'!$E:$E),"Missing"))</f>
        <v>3634.97</v>
      </c>
      <c r="F191" s="21">
        <f>IF($A191="","",IFERROR(_xlfn.XLOOKUP($A191,Table1[Item],Table1[Total (₹)]),"Missing"))</f>
        <v>3634.9720000000002</v>
      </c>
      <c r="G191" s="21">
        <f t="shared" si="7"/>
        <v>-2.0000000004074536E-3</v>
      </c>
      <c r="H191" t="str">
        <f t="shared" si="8"/>
        <v>Match</v>
      </c>
      <c r="K191" t="str">
        <f>'System Generated 2026-08-24'!A191</f>
        <v>Kheera  Dosakaya</v>
      </c>
    </row>
    <row r="192" spans="1:11" hidden="1" x14ac:dyDescent="0.25">
      <c r="A192" t="str">
        <v>Ice Cream Cups</v>
      </c>
      <c r="B192" s="20">
        <f>IF($A192="","",IFERROR(_xlfn.XLOOKUP($A192,'System Generated 2026-08-24'!$A:$A,'System Generated 2026-08-24'!$B:$B),"Missing"))</f>
        <v>60</v>
      </c>
      <c r="C192" s="20">
        <f>IF($A192="","",IFERROR(_xlfn.XLOOKUP($A192,Table1[Item],Table1[Current Stock]),"Missing"))</f>
        <v>60</v>
      </c>
      <c r="D192" s="20">
        <f t="shared" si="6"/>
        <v>0</v>
      </c>
      <c r="E192" s="21">
        <f>IF($A192="","",IFERROR(_xlfn.XLOOKUP($A192,'System Generated 2026-08-24'!$A:$A,'System Generated 2026-08-24'!$E:$E),"Missing"))</f>
        <v>2060</v>
      </c>
      <c r="F192" s="21">
        <f>IF($A192="","",IFERROR(_xlfn.XLOOKUP($A192,Table1[Item],Table1[Total (₹)]),"Missing"))</f>
        <v>2059.998</v>
      </c>
      <c r="G192" s="21">
        <f t="shared" si="7"/>
        <v>1.9999999999527063E-3</v>
      </c>
      <c r="H192" t="str">
        <f t="shared" si="8"/>
        <v>Match</v>
      </c>
      <c r="K192" t="str">
        <f>'System Generated 2026-08-24'!A192</f>
        <v>King Wrap</v>
      </c>
    </row>
    <row r="193" spans="1:11" hidden="1" x14ac:dyDescent="0.25">
      <c r="A193" t="str">
        <v>Idly Box</v>
      </c>
      <c r="B193" s="20">
        <f>IF($A193="","",IFERROR(_xlfn.XLOOKUP($A193,'System Generated 2026-08-24'!$A:$A,'System Generated 2026-08-24'!$B:$B),"Missing"))</f>
        <v>1760</v>
      </c>
      <c r="C193" s="20">
        <f>IF($A193="","",IFERROR(_xlfn.XLOOKUP($A193,Table1[Item],Table1[Current Stock]),"Missing"))</f>
        <v>1760</v>
      </c>
      <c r="D193" s="20">
        <f t="shared" si="6"/>
        <v>0</v>
      </c>
      <c r="E193" s="21">
        <f>IF($A193="","",IFERROR(_xlfn.XLOOKUP($A193,'System Generated 2026-08-24'!$A:$A,'System Generated 2026-08-24'!$E:$E),"Missing"))</f>
        <v>8624</v>
      </c>
      <c r="F193" s="21">
        <f>IF($A193="","",IFERROR(_xlfn.XLOOKUP($A193,Table1[Item],Table1[Total (₹)]),"Missing"))</f>
        <v>8624</v>
      </c>
      <c r="G193" s="21">
        <f t="shared" si="7"/>
        <v>0</v>
      </c>
      <c r="H193" t="str">
        <f t="shared" si="8"/>
        <v>Match</v>
      </c>
      <c r="K193" t="str">
        <f>'System Generated 2026-08-24'!A193</f>
        <v>Kinley 1lit Water</v>
      </c>
    </row>
    <row r="194" spans="1:11" hidden="1" x14ac:dyDescent="0.25">
      <c r="A194" t="str">
        <v>Idly Ravva</v>
      </c>
      <c r="B194" s="20">
        <f>IF($A194="","",IFERROR(_xlfn.XLOOKUP($A194,'System Generated 2026-08-24'!$A:$A,'System Generated 2026-08-24'!$B:$B),"Missing"))</f>
        <v>59.4</v>
      </c>
      <c r="C194" s="20">
        <f>IF($A194="","",IFERROR(_xlfn.XLOOKUP($A194,Table1[Item],Table1[Current Stock]),"Missing"))</f>
        <v>59.4</v>
      </c>
      <c r="D194" s="20">
        <f t="shared" si="6"/>
        <v>0</v>
      </c>
      <c r="E194" s="21">
        <f>IF($A194="","",IFERROR(_xlfn.XLOOKUP($A194,'System Generated 2026-08-24'!$A:$A,'System Generated 2026-08-24'!$E:$E),"Missing"))</f>
        <v>2190.4899999999998</v>
      </c>
      <c r="F194" s="21">
        <f>IF($A194="","",IFERROR(_xlfn.XLOOKUP($A194,Table1[Item],Table1[Total (₹)]),"Missing"))</f>
        <v>2190.4879999999998</v>
      </c>
      <c r="G194" s="21">
        <f t="shared" si="7"/>
        <v>1.9999999999527063E-3</v>
      </c>
      <c r="H194" t="str">
        <f t="shared" si="8"/>
        <v>Match</v>
      </c>
      <c r="K194" t="str">
        <f>'System Generated 2026-08-24'!A194</f>
        <v>Kismis</v>
      </c>
    </row>
    <row r="195" spans="1:11" hidden="1" x14ac:dyDescent="0.25">
      <c r="A195" t="str">
        <v>Idly Rice</v>
      </c>
      <c r="B195" s="20">
        <f>IF($A195="","",IFERROR(_xlfn.XLOOKUP($A195,'System Generated 2026-08-24'!$A:$A,'System Generated 2026-08-24'!$B:$B),"Missing"))</f>
        <v>30.2</v>
      </c>
      <c r="C195" s="20">
        <f>IF($A195="","",IFERROR(_xlfn.XLOOKUP($A195,Table1[Item],Table1[Current Stock]),"Missing"))</f>
        <v>30.2</v>
      </c>
      <c r="D195" s="20">
        <f t="shared" ref="D195:D258" si="9">IF($A195="","",IF(OR(B195="Missing",C195="Missing"),"N/A",B195-C195))</f>
        <v>0</v>
      </c>
      <c r="E195" s="21">
        <f>IF($A195="","",IFERROR(_xlfn.XLOOKUP($A195,'System Generated 2026-08-24'!$A:$A,'System Generated 2026-08-24'!$E:$E),"Missing"))</f>
        <v>1520.78</v>
      </c>
      <c r="F195" s="21">
        <f>IF($A195="","",IFERROR(_xlfn.XLOOKUP($A195,Table1[Item],Table1[Total (₹)]),"Missing"))</f>
        <v>1520.7840000000001</v>
      </c>
      <c r="G195" s="21">
        <f t="shared" ref="G195:G258" si="10">IF($A195="","",IF(OR(E195="Missing",F195="Missing"),"N/A",E195-F195))</f>
        <v>-4.0000000001327862E-3</v>
      </c>
      <c r="H195" t="str">
        <f t="shared" ref="H195:H258" si="11">IF($A195="","",IF(B195="Missing","Missing in App",IF(C195="Missing","Missing in Hotel Data",IF(D195=0,"Match","Discrepancy"))))</f>
        <v>Match</v>
      </c>
      <c r="K195" t="str">
        <f>'System Generated 2026-08-24'!A195</f>
        <v>Kissan Jam</v>
      </c>
    </row>
    <row r="196" spans="1:11" hidden="1" x14ac:dyDescent="0.25">
      <c r="A196" t="str">
        <v>Indian Gas</v>
      </c>
      <c r="B196" s="20">
        <f>IF($A196="","",IFERROR(_xlfn.XLOOKUP($A196,'System Generated 2026-08-24'!$A:$A,'System Generated 2026-08-24'!$B:$B),"Missing"))</f>
        <v>15.25</v>
      </c>
      <c r="C196" s="20">
        <f>IF($A196="","",IFERROR(_xlfn.XLOOKUP($A196,Table1[Item],Table1[Current Stock]),"Missing"))</f>
        <v>15.25</v>
      </c>
      <c r="D196" s="20">
        <f t="shared" si="9"/>
        <v>0</v>
      </c>
      <c r="E196" s="21">
        <f>IF($A196="","",IFERROR(_xlfn.XLOOKUP($A196,'System Generated 2026-08-24'!$A:$A,'System Generated 2026-08-24'!$E:$E),"Missing"))</f>
        <v>49757.1</v>
      </c>
      <c r="F196" s="21">
        <f>IF($A196="","",IFERROR(_xlfn.XLOOKUP($A196,Table1[Item],Table1[Total (₹)]),"Missing"))</f>
        <v>49757.09</v>
      </c>
      <c r="G196" s="21">
        <f t="shared" si="10"/>
        <v>1.0000000002037268E-2</v>
      </c>
      <c r="H196" t="str">
        <f t="shared" si="11"/>
        <v>Match</v>
      </c>
      <c r="K196" t="str">
        <f>'System Generated 2026-08-24'!A196</f>
        <v>Kit Kat</v>
      </c>
    </row>
    <row r="197" spans="1:11" hidden="1" x14ac:dyDescent="0.25">
      <c r="A197" t="str">
        <v>Jaggery</v>
      </c>
      <c r="B197" s="20">
        <f>IF($A197="","",IFERROR(_xlfn.XLOOKUP($A197,'System Generated 2026-08-24'!$A:$A,'System Generated 2026-08-24'!$B:$B),"Missing"))</f>
        <v>30.4</v>
      </c>
      <c r="C197" s="20">
        <f>IF($A197="","",IFERROR(_xlfn.XLOOKUP($A197,Table1[Item],Table1[Current Stock]),"Missing"))</f>
        <v>30.4</v>
      </c>
      <c r="D197" s="20">
        <f t="shared" si="9"/>
        <v>0</v>
      </c>
      <c r="E197" s="21">
        <f>IF($A197="","",IFERROR(_xlfn.XLOOKUP($A197,'System Generated 2026-08-24'!$A:$A,'System Generated 2026-08-24'!$E:$E),"Missing"))</f>
        <v>1689.13</v>
      </c>
      <c r="F197" s="21">
        <f>IF($A197="","",IFERROR(_xlfn.XLOOKUP($A197,Table1[Item],Table1[Total (₹)]),"Missing"))</f>
        <v>1689.133</v>
      </c>
      <c r="G197" s="21">
        <f t="shared" si="10"/>
        <v>-2.9999999999290594E-3</v>
      </c>
      <c r="H197" t="str">
        <f t="shared" si="11"/>
        <v>Match</v>
      </c>
      <c r="K197" t="str">
        <f>'System Generated 2026-08-24'!A197</f>
        <v>Kitchen King Masala</v>
      </c>
    </row>
    <row r="198" spans="1:11" x14ac:dyDescent="0.25">
      <c r="A198" t="str">
        <v>Jaggery Powder</v>
      </c>
      <c r="B198" s="20" t="str">
        <f>IF($A198="","",IFERROR(_xlfn.XLOOKUP($A198,'System Generated 2026-08-24'!$A:$A,'System Generated 2026-08-24'!$B:$B),"Missing"))</f>
        <v>Missing</v>
      </c>
      <c r="C198" s="20">
        <f>IF($A198="","",IFERROR(_xlfn.XLOOKUP($A198,Table1[Item],Table1[Current Stock]),"Missing"))</f>
        <v>2</v>
      </c>
      <c r="D198" s="20" t="str">
        <f t="shared" si="9"/>
        <v>N/A</v>
      </c>
      <c r="E198" s="21" t="str">
        <f>IF($A198="","",IFERROR(_xlfn.XLOOKUP($A198,'System Generated 2026-08-24'!$A:$A,'System Generated 2026-08-24'!$E:$E),"Missing"))</f>
        <v>Missing</v>
      </c>
      <c r="F198" s="21">
        <f>IF($A198="","",IFERROR(_xlfn.XLOOKUP($A198,Table1[Item],Table1[Total (₹)]),"Missing"))</f>
        <v>147.5</v>
      </c>
      <c r="G198" s="21" t="str">
        <f t="shared" si="10"/>
        <v>N/A</v>
      </c>
      <c r="H198" t="str">
        <f t="shared" si="11"/>
        <v>Missing in App</v>
      </c>
      <c r="K198" t="str">
        <f>'System Generated 2026-08-24'!A198</f>
        <v>Kiwi Crush</v>
      </c>
    </row>
    <row r="199" spans="1:11" x14ac:dyDescent="0.25">
      <c r="A199" t="str">
        <v>Jagrry Powdar</v>
      </c>
      <c r="B199" s="20" t="str">
        <f>IF($A199="","",IFERROR(_xlfn.XLOOKUP($A199,'System Generated 2026-08-24'!$A:$A,'System Generated 2026-08-24'!$B:$B),"Missing"))</f>
        <v>Missing</v>
      </c>
      <c r="C199" s="20">
        <f>IF($A199="","",IFERROR(_xlfn.XLOOKUP($A199,Table1[Item],Table1[Current Stock]),"Missing"))</f>
        <v>0</v>
      </c>
      <c r="D199" s="20" t="str">
        <f t="shared" si="9"/>
        <v>N/A</v>
      </c>
      <c r="E199" s="21" t="str">
        <f>IF($A199="","",IFERROR(_xlfn.XLOOKUP($A199,'System Generated 2026-08-24'!$A:$A,'System Generated 2026-08-24'!$E:$E),"Missing"))</f>
        <v>Missing</v>
      </c>
      <c r="F199" s="21">
        <f>IF($A199="","",IFERROR(_xlfn.XLOOKUP($A199,Table1[Item],Table1[Total (₹)]),"Missing"))</f>
        <v>0</v>
      </c>
      <c r="G199" s="21" t="str">
        <f t="shared" si="10"/>
        <v>N/A</v>
      </c>
      <c r="H199" t="str">
        <f t="shared" si="11"/>
        <v>Missing in App</v>
      </c>
      <c r="K199" t="str">
        <f>'System Generated 2026-08-24'!A199</f>
        <v>Kothimeera</v>
      </c>
    </row>
    <row r="200" spans="1:11" hidden="1" x14ac:dyDescent="0.25">
      <c r="A200" t="str">
        <v>Jajikaya</v>
      </c>
      <c r="B200" s="20">
        <f>IF($A200="","",IFERROR(_xlfn.XLOOKUP($A200,'System Generated 2026-08-24'!$A:$A,'System Generated 2026-08-24'!$B:$B),"Missing"))</f>
        <v>0.8</v>
      </c>
      <c r="C200" s="20">
        <f>IF($A200="","",IFERROR(_xlfn.XLOOKUP($A200,Table1[Item],Table1[Current Stock]),"Missing"))</f>
        <v>0.8</v>
      </c>
      <c r="D200" s="20">
        <f t="shared" si="9"/>
        <v>0</v>
      </c>
      <c r="E200" s="21">
        <f>IF($A200="","",IFERROR(_xlfn.XLOOKUP($A200,'System Generated 2026-08-24'!$A:$A,'System Generated 2026-08-24'!$E:$E),"Missing"))</f>
        <v>765.28</v>
      </c>
      <c r="F200" s="21">
        <f>IF($A200="","",IFERROR(_xlfn.XLOOKUP($A200,Table1[Item],Table1[Total (₹)]),"Missing"))</f>
        <v>765.28</v>
      </c>
      <c r="G200" s="21">
        <f t="shared" si="10"/>
        <v>0</v>
      </c>
      <c r="H200" t="str">
        <f t="shared" si="11"/>
        <v>Match</v>
      </c>
      <c r="K200" t="str">
        <f>'System Generated 2026-08-24'!A200</f>
        <v>Kothmir</v>
      </c>
    </row>
    <row r="201" spans="1:11" hidden="1" x14ac:dyDescent="0.25">
      <c r="A201" t="str">
        <v>Jal Jeera</v>
      </c>
      <c r="B201" s="20">
        <f>IF($A201="","",IFERROR(_xlfn.XLOOKUP($A201,'System Generated 2026-08-24'!$A:$A,'System Generated 2026-08-24'!$B:$B),"Missing"))</f>
        <v>3</v>
      </c>
      <c r="C201" s="20">
        <f>IF($A201="","",IFERROR(_xlfn.XLOOKUP($A201,Table1[Item],Table1[Current Stock]),"Missing"))</f>
        <v>3</v>
      </c>
      <c r="D201" s="20">
        <f t="shared" si="9"/>
        <v>0</v>
      </c>
      <c r="E201" s="21">
        <f>IF($A201="","",IFERROR(_xlfn.XLOOKUP($A201,'System Generated 2026-08-24'!$A:$A,'System Generated 2026-08-24'!$E:$E),"Missing"))</f>
        <v>960</v>
      </c>
      <c r="F201" s="21">
        <f>IF($A201="","",IFERROR(_xlfn.XLOOKUP($A201,Table1[Item],Table1[Total (₹)]),"Missing"))</f>
        <v>960</v>
      </c>
      <c r="G201" s="21">
        <f t="shared" si="10"/>
        <v>0</v>
      </c>
      <c r="H201" t="str">
        <f t="shared" si="11"/>
        <v>Match</v>
      </c>
      <c r="K201" t="str">
        <f>'System Generated 2026-08-24'!A201</f>
        <v>Kova</v>
      </c>
    </row>
    <row r="202" spans="1:11" hidden="1" x14ac:dyDescent="0.25">
      <c r="A202" t="str">
        <v>Jalpan Carrybags 11*14</v>
      </c>
      <c r="B202" s="20">
        <f>IF($A202="","",IFERROR(_xlfn.XLOOKUP($A202,'System Generated 2026-08-24'!$A:$A,'System Generated 2026-08-24'!$B:$B),"Missing"))</f>
        <v>19</v>
      </c>
      <c r="C202" s="20">
        <f>IF($A202="","",IFERROR(_xlfn.XLOOKUP($A202,Table1[Item],Table1[Current Stock]),"Missing"))</f>
        <v>19</v>
      </c>
      <c r="D202" s="20">
        <f t="shared" si="9"/>
        <v>0</v>
      </c>
      <c r="E202" s="21">
        <f>IF($A202="","",IFERROR(_xlfn.XLOOKUP($A202,'System Generated 2026-08-24'!$A:$A,'System Generated 2026-08-24'!$E:$E),"Missing"))</f>
        <v>3515</v>
      </c>
      <c r="F202" s="21">
        <f>IF($A202="","",IFERROR(_xlfn.XLOOKUP($A202,Table1[Item],Table1[Total (₹)]),"Missing"))</f>
        <v>3515</v>
      </c>
      <c r="G202" s="21">
        <f t="shared" si="10"/>
        <v>0</v>
      </c>
      <c r="H202" t="str">
        <f t="shared" si="11"/>
        <v>Match</v>
      </c>
      <c r="K202" t="str">
        <f>'System Generated 2026-08-24'!A202</f>
        <v>Kunafa</v>
      </c>
    </row>
    <row r="203" spans="1:11" hidden="1" x14ac:dyDescent="0.25">
      <c r="A203" t="str">
        <v>Jalpeno</v>
      </c>
      <c r="B203" s="20">
        <f>IF($A203="","",IFERROR(_xlfn.XLOOKUP($A203,'System Generated 2026-08-24'!$A:$A,'System Generated 2026-08-24'!$B:$B),"Missing"))</f>
        <v>3</v>
      </c>
      <c r="C203" s="20">
        <f>IF($A203="","",IFERROR(_xlfn.XLOOKUP($A203,Table1[Item],Table1[Current Stock]),"Missing"))</f>
        <v>3</v>
      </c>
      <c r="D203" s="20">
        <f t="shared" si="9"/>
        <v>0</v>
      </c>
      <c r="E203" s="21">
        <f>IF($A203="","",IFERROR(_xlfn.XLOOKUP($A203,'System Generated 2026-08-24'!$A:$A,'System Generated 2026-08-24'!$E:$E),"Missing"))</f>
        <v>300</v>
      </c>
      <c r="F203" s="21">
        <f>IF($A203="","",IFERROR(_xlfn.XLOOKUP($A203,Table1[Item],Table1[Total (₹)]),"Missing"))</f>
        <v>300</v>
      </c>
      <c r="G203" s="21">
        <f t="shared" si="10"/>
        <v>0</v>
      </c>
      <c r="H203" t="str">
        <f t="shared" si="11"/>
        <v>Match</v>
      </c>
      <c r="K203" t="str">
        <f>'System Generated 2026-08-24'!A203</f>
        <v>Kurbani</v>
      </c>
    </row>
    <row r="204" spans="1:11" hidden="1" x14ac:dyDescent="0.25">
      <c r="A204" t="str">
        <v>Japathri</v>
      </c>
      <c r="B204" s="20">
        <f>IF($A204="","",IFERROR(_xlfn.XLOOKUP($A204,'System Generated 2026-08-24'!$A:$A,'System Generated 2026-08-24'!$B:$B),"Missing"))</f>
        <v>1.5</v>
      </c>
      <c r="C204" s="20">
        <f>IF($A204="","",IFERROR(_xlfn.XLOOKUP($A204,Table1[Item],Table1[Current Stock]),"Missing"))</f>
        <v>1.5</v>
      </c>
      <c r="D204" s="20">
        <f t="shared" si="9"/>
        <v>0</v>
      </c>
      <c r="E204" s="21">
        <f>IF($A204="","",IFERROR(_xlfn.XLOOKUP($A204,'System Generated 2026-08-24'!$A:$A,'System Generated 2026-08-24'!$E:$E),"Missing"))</f>
        <v>3765</v>
      </c>
      <c r="F204" s="21">
        <f>IF($A204="","",IFERROR(_xlfn.XLOOKUP($A204,Table1[Item],Table1[Total (₹)]),"Missing"))</f>
        <v>3765</v>
      </c>
      <c r="G204" s="21">
        <f t="shared" si="10"/>
        <v>0</v>
      </c>
      <c r="H204" t="str">
        <f t="shared" si="11"/>
        <v>Match</v>
      </c>
      <c r="K204" t="str">
        <f>'System Generated 2026-08-24'!A204</f>
        <v>Lamsa</v>
      </c>
    </row>
    <row r="205" spans="1:11" hidden="1" x14ac:dyDescent="0.25">
      <c r="A205" t="str">
        <v>Jeera</v>
      </c>
      <c r="B205" s="20">
        <f>IF($A205="","",IFERROR(_xlfn.XLOOKUP($A205,'System Generated 2026-08-24'!$A:$A,'System Generated 2026-08-24'!$B:$B),"Missing"))</f>
        <v>39.1</v>
      </c>
      <c r="C205" s="20">
        <f>IF($A205="","",IFERROR(_xlfn.XLOOKUP($A205,Table1[Item],Table1[Current Stock]),"Missing"))</f>
        <v>39.1</v>
      </c>
      <c r="D205" s="20">
        <f t="shared" si="9"/>
        <v>0</v>
      </c>
      <c r="E205" s="21">
        <f>IF($A205="","",IFERROR(_xlfn.XLOOKUP($A205,'System Generated 2026-08-24'!$A:$A,'System Generated 2026-08-24'!$E:$E),"Missing"))</f>
        <v>10119.1</v>
      </c>
      <c r="F205" s="21">
        <f>IF($A205="","",IFERROR(_xlfn.XLOOKUP($A205,Table1[Item],Table1[Total (₹)]),"Missing"))</f>
        <v>10119.08</v>
      </c>
      <c r="G205" s="21">
        <f t="shared" si="10"/>
        <v>2.0000000000436557E-2</v>
      </c>
      <c r="H205" t="str">
        <f t="shared" si="11"/>
        <v>Match</v>
      </c>
      <c r="K205" t="str">
        <f>'System Generated 2026-08-24'!A205</f>
        <v>Lavang</v>
      </c>
    </row>
    <row r="206" spans="1:11" hidden="1" x14ac:dyDescent="0.25">
      <c r="A206" t="str">
        <v>Jeera Masala Syrup</v>
      </c>
      <c r="B206" s="20">
        <f>IF($A206="","",IFERROR(_xlfn.XLOOKUP($A206,'System Generated 2026-08-24'!$A:$A,'System Generated 2026-08-24'!$B:$B),"Missing"))</f>
        <v>0</v>
      </c>
      <c r="C206" s="20">
        <f>IF($A206="","",IFERROR(_xlfn.XLOOKUP($A206,Table1[Item],Table1[Current Stock]),"Missing"))</f>
        <v>0</v>
      </c>
      <c r="D206" s="20">
        <f t="shared" si="9"/>
        <v>0</v>
      </c>
      <c r="E206" s="21">
        <f>IF($A206="","",IFERROR(_xlfn.XLOOKUP($A206,'System Generated 2026-08-24'!$A:$A,'System Generated 2026-08-24'!$E:$E),"Missing"))</f>
        <v>0</v>
      </c>
      <c r="F206" s="21">
        <f>IF($A206="","",IFERROR(_xlfn.XLOOKUP($A206,Table1[Item],Table1[Total (₹)]),"Missing"))</f>
        <v>0</v>
      </c>
      <c r="G206" s="21">
        <f t="shared" si="10"/>
        <v>0</v>
      </c>
      <c r="H206" t="str">
        <f t="shared" si="11"/>
        <v>Match</v>
      </c>
      <c r="K206" t="str">
        <f>'System Generated 2026-08-24'!A206</f>
        <v>Lemon Salt</v>
      </c>
    </row>
    <row r="207" spans="1:11" hidden="1" x14ac:dyDescent="0.25">
      <c r="A207" t="str">
        <v>Jeera Powder</v>
      </c>
      <c r="B207" s="20">
        <f>IF($A207="","",IFERROR(_xlfn.XLOOKUP($A207,'System Generated 2026-08-24'!$A:$A,'System Generated 2026-08-24'!$B:$B),"Missing"))</f>
        <v>10.5</v>
      </c>
      <c r="C207" s="20">
        <f>IF($A207="","",IFERROR(_xlfn.XLOOKUP($A207,Table1[Item],Table1[Current Stock]),"Missing"))</f>
        <v>10.5</v>
      </c>
      <c r="D207" s="20">
        <f t="shared" si="9"/>
        <v>0</v>
      </c>
      <c r="E207" s="21">
        <f>IF($A207="","",IFERROR(_xlfn.XLOOKUP($A207,'System Generated 2026-08-24'!$A:$A,'System Generated 2026-08-24'!$E:$E),"Missing"))</f>
        <v>3468.42</v>
      </c>
      <c r="F207" s="21">
        <f>IF($A207="","",IFERROR(_xlfn.XLOOKUP($A207,Table1[Item],Table1[Total (₹)]),"Missing"))</f>
        <v>3468.4229999999998</v>
      </c>
      <c r="G207" s="21">
        <f t="shared" si="10"/>
        <v>-2.9999999997016857E-3</v>
      </c>
      <c r="H207" t="str">
        <f t="shared" si="11"/>
        <v>Match</v>
      </c>
      <c r="K207" t="str">
        <f>'System Generated 2026-08-24'!A207</f>
        <v>Lemons</v>
      </c>
    </row>
    <row r="208" spans="1:11" hidden="1" x14ac:dyDescent="0.25">
      <c r="A208" t="str">
        <v>Kabuli Channa</v>
      </c>
      <c r="B208" s="20">
        <f>IF($A208="","",IFERROR(_xlfn.XLOOKUP($A208,'System Generated 2026-08-24'!$A:$A,'System Generated 2026-08-24'!$B:$B),"Missing"))</f>
        <v>41.6</v>
      </c>
      <c r="C208" s="20">
        <f>IF($A208="","",IFERROR(_xlfn.XLOOKUP($A208,Table1[Item],Table1[Current Stock]),"Missing"))</f>
        <v>41.6</v>
      </c>
      <c r="D208" s="20">
        <f t="shared" si="9"/>
        <v>0</v>
      </c>
      <c r="E208" s="21">
        <f>IF($A208="","",IFERROR(_xlfn.XLOOKUP($A208,'System Generated 2026-08-24'!$A:$A,'System Generated 2026-08-24'!$E:$E),"Missing"))</f>
        <v>4094.63</v>
      </c>
      <c r="F208" s="21">
        <f>IF($A208="","",IFERROR(_xlfn.XLOOKUP($A208,Table1[Item],Table1[Total (₹)]),"Missing"))</f>
        <v>4094.63</v>
      </c>
      <c r="G208" s="21">
        <f t="shared" si="10"/>
        <v>0</v>
      </c>
      <c r="H208" t="str">
        <f t="shared" si="11"/>
        <v>Match</v>
      </c>
      <c r="K208" t="str">
        <f>'System Generated 2026-08-24'!A208</f>
        <v>Local Channa</v>
      </c>
    </row>
    <row r="209" spans="1:11" x14ac:dyDescent="0.25">
      <c r="A209" t="str">
        <v>Kaddu</v>
      </c>
      <c r="B209" s="20" t="str">
        <f>IF($A209="","",IFERROR(_xlfn.XLOOKUP($A209,'System Generated 2026-08-24'!$A:$A,'System Generated 2026-08-24'!$B:$B),"Missing"))</f>
        <v>Missing</v>
      </c>
      <c r="C209" s="20">
        <f>IF($A209="","",IFERROR(_xlfn.XLOOKUP($A209,Table1[Item],Table1[Current Stock]),"Missing"))</f>
        <v>2</v>
      </c>
      <c r="D209" s="20" t="str">
        <f t="shared" si="9"/>
        <v>N/A</v>
      </c>
      <c r="E209" s="21" t="str">
        <f>IF($A209="","",IFERROR(_xlfn.XLOOKUP($A209,'System Generated 2026-08-24'!$A:$A,'System Generated 2026-08-24'!$E:$E),"Missing"))</f>
        <v>Missing</v>
      </c>
      <c r="F209" s="21">
        <f>IF($A209="","",IFERROR(_xlfn.XLOOKUP($A209,Table1[Item],Table1[Total (₹)]),"Missing"))</f>
        <v>160</v>
      </c>
      <c r="G209" s="21" t="str">
        <f t="shared" si="10"/>
        <v>N/A</v>
      </c>
      <c r="H209" t="str">
        <f t="shared" si="11"/>
        <v>Missing in App</v>
      </c>
      <c r="K209" t="str">
        <f>'System Generated 2026-08-24'!A209</f>
        <v>M.water 1l</v>
      </c>
    </row>
    <row r="210" spans="1:11" hidden="1" x14ac:dyDescent="0.25">
      <c r="A210" t="str">
        <v>Kaju 2 Pieces</v>
      </c>
      <c r="B210" s="20">
        <f>IF($A210="","",IFERROR(_xlfn.XLOOKUP($A210,'System Generated 2026-08-24'!$A:$A,'System Generated 2026-08-24'!$B:$B),"Missing"))</f>
        <v>14.2</v>
      </c>
      <c r="C210" s="20">
        <f>IF($A210="","",IFERROR(_xlfn.XLOOKUP($A210,Table1[Item],Table1[Current Stock]),"Missing"))</f>
        <v>14.2</v>
      </c>
      <c r="D210" s="20">
        <f t="shared" si="9"/>
        <v>0</v>
      </c>
      <c r="E210" s="21">
        <f>IF($A210="","",IFERROR(_xlfn.XLOOKUP($A210,'System Generated 2026-08-24'!$A:$A,'System Generated 2026-08-24'!$E:$E),"Missing"))</f>
        <v>11520.5</v>
      </c>
      <c r="F210" s="21">
        <f>IF($A210="","",IFERROR(_xlfn.XLOOKUP($A210,Table1[Item],Table1[Total (₹)]),"Missing"))</f>
        <v>11520.517</v>
      </c>
      <c r="G210" s="21">
        <f t="shared" si="10"/>
        <v>-1.6999999999825377E-2</v>
      </c>
      <c r="H210" t="str">
        <f t="shared" si="11"/>
        <v>Match</v>
      </c>
      <c r="K210" t="str">
        <f>'System Generated 2026-08-24'!A210</f>
        <v>M.water 500ml</v>
      </c>
    </row>
    <row r="211" spans="1:11" hidden="1" x14ac:dyDescent="0.25">
      <c r="A211" t="str">
        <v>Kaju Nuka</v>
      </c>
      <c r="B211" s="20">
        <f>IF($A211="","",IFERROR(_xlfn.XLOOKUP($A211,'System Generated 2026-08-24'!$A:$A,'System Generated 2026-08-24'!$B:$B),"Missing"))</f>
        <v>10.7</v>
      </c>
      <c r="C211" s="20">
        <f>IF($A211="","",IFERROR(_xlfn.XLOOKUP($A211,Table1[Item],Table1[Current Stock]),"Missing"))</f>
        <v>10.7</v>
      </c>
      <c r="D211" s="20">
        <f t="shared" si="9"/>
        <v>0</v>
      </c>
      <c r="E211" s="21">
        <f>IF($A211="","",IFERROR(_xlfn.XLOOKUP($A211,'System Generated 2026-08-24'!$A:$A,'System Generated 2026-08-24'!$E:$E),"Missing"))</f>
        <v>5483.75</v>
      </c>
      <c r="F211" s="21">
        <f>IF($A211="","",IFERROR(_xlfn.XLOOKUP($A211,Table1[Item],Table1[Total (₹)]),"Missing"))</f>
        <v>5483.75</v>
      </c>
      <c r="G211" s="21">
        <f t="shared" si="10"/>
        <v>0</v>
      </c>
      <c r="H211" t="str">
        <f t="shared" si="11"/>
        <v>Match</v>
      </c>
      <c r="K211" t="str">
        <f>'System Generated 2026-08-24'!A211</f>
        <v>M.watr 250 Ml</v>
      </c>
    </row>
    <row r="212" spans="1:11" hidden="1" x14ac:dyDescent="0.25">
      <c r="A212" t="str">
        <v>Kakarkaya</v>
      </c>
      <c r="B212" s="20">
        <f>IF($A212="","",IFERROR(_xlfn.XLOOKUP($A212,'System Generated 2026-08-24'!$A:$A,'System Generated 2026-08-24'!$B:$B),"Missing"))</f>
        <v>0</v>
      </c>
      <c r="C212" s="20">
        <f>IF($A212="","",IFERROR(_xlfn.XLOOKUP($A212,Table1[Item],Table1[Current Stock]),"Missing"))</f>
        <v>0</v>
      </c>
      <c r="D212" s="20">
        <f t="shared" si="9"/>
        <v>0</v>
      </c>
      <c r="E212" s="21">
        <f>IF($A212="","",IFERROR(_xlfn.XLOOKUP($A212,'System Generated 2026-08-24'!$A:$A,'System Generated 2026-08-24'!$E:$E),"Missing"))</f>
        <v>0</v>
      </c>
      <c r="F212" s="21">
        <f>IF($A212="","",IFERROR(_xlfn.XLOOKUP($A212,Table1[Item],Table1[Total (₹)]),"Missing"))</f>
        <v>0</v>
      </c>
      <c r="G212" s="21">
        <f t="shared" si="10"/>
        <v>0</v>
      </c>
      <c r="H212" t="str">
        <f t="shared" si="11"/>
        <v>Match</v>
      </c>
      <c r="K212" t="str">
        <f>'System Generated 2026-08-24'!A212</f>
        <v>Maida</v>
      </c>
    </row>
    <row r="213" spans="1:11" hidden="1" x14ac:dyDescent="0.25">
      <c r="A213" t="str">
        <v>Kala Khatta Syrup</v>
      </c>
      <c r="B213" s="20">
        <f>IF($A213="","",IFERROR(_xlfn.XLOOKUP($A213,'System Generated 2026-08-24'!$A:$A,'System Generated 2026-08-24'!$B:$B),"Missing"))</f>
        <v>1</v>
      </c>
      <c r="C213" s="20">
        <f>IF($A213="","",IFERROR(_xlfn.XLOOKUP($A213,Table1[Item],Table1[Current Stock]),"Missing"))</f>
        <v>1</v>
      </c>
      <c r="D213" s="20">
        <f t="shared" si="9"/>
        <v>0</v>
      </c>
      <c r="E213" s="21">
        <f>IF($A213="","",IFERROR(_xlfn.XLOOKUP($A213,'System Generated 2026-08-24'!$A:$A,'System Generated 2026-08-24'!$E:$E),"Missing"))</f>
        <v>159</v>
      </c>
      <c r="F213" s="21">
        <f>IF($A213="","",IFERROR(_xlfn.XLOOKUP($A213,Table1[Item],Table1[Total (₹)]),"Missing"))</f>
        <v>159</v>
      </c>
      <c r="G213" s="21">
        <f t="shared" si="10"/>
        <v>0</v>
      </c>
      <c r="H213" t="str">
        <f t="shared" si="11"/>
        <v>Match</v>
      </c>
      <c r="K213" t="str">
        <f>'System Generated 2026-08-24'!A213</f>
        <v>Makhan</v>
      </c>
    </row>
    <row r="214" spans="1:11" hidden="1" x14ac:dyDescent="0.25">
      <c r="A214" t="str">
        <v>Kandagadda</v>
      </c>
      <c r="B214" s="20">
        <f>IF($A214="","",IFERROR(_xlfn.XLOOKUP($A214,'System Generated 2026-08-24'!$A:$A,'System Generated 2026-08-24'!$B:$B),"Missing"))</f>
        <v>3</v>
      </c>
      <c r="C214" s="20" t="str">
        <f>IF($A214="","",IFERROR(_xlfn.XLOOKUP($A214,Table1[Item],Table1[Current Stock]),"Missing"))</f>
        <v>Missing</v>
      </c>
      <c r="D214" s="20" t="str">
        <f t="shared" si="9"/>
        <v>N/A</v>
      </c>
      <c r="E214" s="21">
        <f>IF($A214="","",IFERROR(_xlfn.XLOOKUP($A214,'System Generated 2026-08-24'!$A:$A,'System Generated 2026-08-24'!$E:$E),"Missing"))</f>
        <v>240</v>
      </c>
      <c r="F214" s="21" t="str">
        <f>IF($A214="","",IFERROR(_xlfn.XLOOKUP($A214,Table1[Item],Table1[Total (₹)]),"Missing"))</f>
        <v>Missing</v>
      </c>
      <c r="G214" s="21" t="str">
        <f t="shared" si="10"/>
        <v>N/A</v>
      </c>
      <c r="H214" t="str">
        <f t="shared" si="11"/>
        <v>Missing in Hotel Data</v>
      </c>
      <c r="K214" t="str">
        <f>'System Generated 2026-08-24'!A214</f>
        <v>Makka Chudwa</v>
      </c>
    </row>
    <row r="215" spans="1:11" hidden="1" x14ac:dyDescent="0.25">
      <c r="A215" t="str">
        <v>Karivepaku</v>
      </c>
      <c r="B215" s="20">
        <f>IF($A215="","",IFERROR(_xlfn.XLOOKUP($A215,'System Generated 2026-08-24'!$A:$A,'System Generated 2026-08-24'!$B:$B),"Missing"))</f>
        <v>3</v>
      </c>
      <c r="C215" s="20">
        <f>IF($A215="","",IFERROR(_xlfn.XLOOKUP($A215,Table1[Item],Table1[Current Stock]),"Missing"))</f>
        <v>3</v>
      </c>
      <c r="D215" s="20">
        <f t="shared" si="9"/>
        <v>0</v>
      </c>
      <c r="E215" s="21">
        <f>IF($A215="","",IFERROR(_xlfn.XLOOKUP($A215,'System Generated 2026-08-24'!$A:$A,'System Generated 2026-08-24'!$E:$E),"Missing"))</f>
        <v>142.86000000000001</v>
      </c>
      <c r="F215" s="21">
        <f>IF($A215="","",IFERROR(_xlfn.XLOOKUP($A215,Table1[Item],Table1[Total (₹)]),"Missing"))</f>
        <v>142.857</v>
      </c>
      <c r="G215" s="21">
        <f t="shared" si="10"/>
        <v>3.0000000000143245E-3</v>
      </c>
      <c r="H215" t="str">
        <f t="shared" si="11"/>
        <v>Match</v>
      </c>
      <c r="K215" t="str">
        <f>'System Generated 2026-08-24'!A215</f>
        <v>Mamidikaya</v>
      </c>
    </row>
    <row r="216" spans="1:11" hidden="1" x14ac:dyDescent="0.25">
      <c r="A216" t="str">
        <v>Kashmiri Mirchi Powder</v>
      </c>
      <c r="B216" s="20">
        <f>IF($A216="","",IFERROR(_xlfn.XLOOKUP($A216,'System Generated 2026-08-24'!$A:$A,'System Generated 2026-08-24'!$B:$B),"Missing"))</f>
        <v>7.9</v>
      </c>
      <c r="C216" s="20">
        <f>IF($A216="","",IFERROR(_xlfn.XLOOKUP($A216,Table1[Item],Table1[Current Stock]),"Missing"))</f>
        <v>7.9</v>
      </c>
      <c r="D216" s="20">
        <f t="shared" si="9"/>
        <v>0</v>
      </c>
      <c r="E216" s="21">
        <f>IF($A216="","",IFERROR(_xlfn.XLOOKUP($A216,'System Generated 2026-08-24'!$A:$A,'System Generated 2026-08-24'!$E:$E),"Missing"))</f>
        <v>5374.5</v>
      </c>
      <c r="F216" s="21">
        <f>IF($A216="","",IFERROR(_xlfn.XLOOKUP($A216,Table1[Item],Table1[Total (₹)]),"Missing"))</f>
        <v>5374.5039999999999</v>
      </c>
      <c r="G216" s="21">
        <f t="shared" si="10"/>
        <v>-3.9999999999054126E-3</v>
      </c>
      <c r="H216" t="str">
        <f t="shared" si="11"/>
        <v>Match</v>
      </c>
      <c r="K216" t="str">
        <f>'System Generated 2026-08-24'!A216</f>
        <v>Mango</v>
      </c>
    </row>
    <row r="217" spans="1:11" hidden="1" x14ac:dyDescent="0.25">
      <c r="A217" t="str">
        <v>Kasturi Methi</v>
      </c>
      <c r="B217" s="20">
        <f>IF($A217="","",IFERROR(_xlfn.XLOOKUP($A217,'System Generated 2026-08-24'!$A:$A,'System Generated 2026-08-24'!$B:$B),"Missing"))</f>
        <v>0.86</v>
      </c>
      <c r="C217" s="20">
        <f>IF($A217="","",IFERROR(_xlfn.XLOOKUP($A217,Table1[Item],Table1[Current Stock]),"Missing"))</f>
        <v>0.86</v>
      </c>
      <c r="D217" s="20">
        <f t="shared" si="9"/>
        <v>0</v>
      </c>
      <c r="E217" s="21">
        <f>IF($A217="","",IFERROR(_xlfn.XLOOKUP($A217,'System Generated 2026-08-24'!$A:$A,'System Generated 2026-08-24'!$E:$E),"Missing"))</f>
        <v>230.31</v>
      </c>
      <c r="F217" s="21">
        <f>IF($A217="","",IFERROR(_xlfn.XLOOKUP($A217,Table1[Item],Table1[Total (₹)]),"Missing"))</f>
        <v>230.30799999999999</v>
      </c>
      <c r="G217" s="21">
        <f t="shared" si="10"/>
        <v>2.0000000000095497E-3</v>
      </c>
      <c r="H217" t="str">
        <f t="shared" si="11"/>
        <v>Match</v>
      </c>
      <c r="K217" t="str">
        <f>'System Generated 2026-08-24'!A217</f>
        <v>Mango Crush</v>
      </c>
    </row>
    <row r="218" spans="1:11" x14ac:dyDescent="0.25">
      <c r="A218" t="str">
        <v>Keera Dosakaya</v>
      </c>
      <c r="B218" s="20" t="str">
        <f>IF($A218="","",IFERROR(_xlfn.XLOOKUP($A218,'System Generated 2026-08-24'!$A:$A,'System Generated 2026-08-24'!$B:$B),"Missing"))</f>
        <v>Missing</v>
      </c>
      <c r="C218" s="20">
        <f>IF($A218="","",IFERROR(_xlfn.XLOOKUP($A218,Table1[Item],Table1[Current Stock]),"Missing"))</f>
        <v>4</v>
      </c>
      <c r="D218" s="20" t="str">
        <f t="shared" si="9"/>
        <v>N/A</v>
      </c>
      <c r="E218" s="21" t="str">
        <f>IF($A218="","",IFERROR(_xlfn.XLOOKUP($A218,'System Generated 2026-08-24'!$A:$A,'System Generated 2026-08-24'!$E:$E),"Missing"))</f>
        <v>Missing</v>
      </c>
      <c r="F218" s="21">
        <f>IF($A218="","",IFERROR(_xlfn.XLOOKUP($A218,Table1[Item],Table1[Total (₹)]),"Missing"))</f>
        <v>80</v>
      </c>
      <c r="G218" s="21" t="str">
        <f t="shared" si="10"/>
        <v>N/A</v>
      </c>
      <c r="H218" t="str">
        <f t="shared" si="11"/>
        <v>Missing in App</v>
      </c>
      <c r="K218" t="str">
        <f>'System Generated 2026-08-24'!A218</f>
        <v>Mango Ice Crem</v>
      </c>
    </row>
    <row r="219" spans="1:11" hidden="1" x14ac:dyDescent="0.25">
      <c r="A219" t="str">
        <v>Kewara Water</v>
      </c>
      <c r="B219" s="20">
        <f>IF($A219="","",IFERROR(_xlfn.XLOOKUP($A219,'System Generated 2026-08-24'!$A:$A,'System Generated 2026-08-24'!$B:$B),"Missing"))</f>
        <v>7</v>
      </c>
      <c r="C219" s="20">
        <f>IF($A219="","",IFERROR(_xlfn.XLOOKUP($A219,Table1[Item],Table1[Current Stock]),"Missing"))</f>
        <v>7</v>
      </c>
      <c r="D219" s="20">
        <f t="shared" si="9"/>
        <v>0</v>
      </c>
      <c r="E219" s="21">
        <f>IF($A219="","",IFERROR(_xlfn.XLOOKUP($A219,'System Generated 2026-08-24'!$A:$A,'System Generated 2026-08-24'!$E:$E),"Missing"))</f>
        <v>310.64999999999998</v>
      </c>
      <c r="F219" s="21">
        <f>IF($A219="","",IFERROR(_xlfn.XLOOKUP($A219,Table1[Item],Table1[Total (₹)]),"Missing"))</f>
        <v>310.64999999999998</v>
      </c>
      <c r="G219" s="21">
        <f t="shared" si="10"/>
        <v>0</v>
      </c>
      <c r="H219" t="str">
        <f t="shared" si="11"/>
        <v>Match</v>
      </c>
      <c r="K219" t="str">
        <f>'System Generated 2026-08-24'!A219</f>
        <v>Mango Pickle</v>
      </c>
    </row>
    <row r="220" spans="1:11" hidden="1" x14ac:dyDescent="0.25">
      <c r="A220" t="str">
        <v>Khas Khas</v>
      </c>
      <c r="B220" s="20">
        <f>IF($A220="","",IFERROR(_xlfn.XLOOKUP($A220,'System Generated 2026-08-24'!$A:$A,'System Generated 2026-08-24'!$B:$B),"Missing"))</f>
        <v>1.212</v>
      </c>
      <c r="C220" s="20">
        <f>IF($A220="","",IFERROR(_xlfn.XLOOKUP($A220,Table1[Item],Table1[Current Stock]),"Missing"))</f>
        <v>1.212</v>
      </c>
      <c r="D220" s="20">
        <f t="shared" si="9"/>
        <v>0</v>
      </c>
      <c r="E220" s="21">
        <f>IF($A220="","",IFERROR(_xlfn.XLOOKUP($A220,'System Generated 2026-08-24'!$A:$A,'System Generated 2026-08-24'!$E:$E),"Missing"))</f>
        <v>2070.23</v>
      </c>
      <c r="F220" s="21">
        <f>IF($A220="","",IFERROR(_xlfn.XLOOKUP($A220,Table1[Item],Table1[Total (₹)]),"Missing"))</f>
        <v>2070.2289999999998</v>
      </c>
      <c r="G220" s="21">
        <f t="shared" si="10"/>
        <v>1.0000000002037268E-3</v>
      </c>
      <c r="H220" t="str">
        <f t="shared" si="11"/>
        <v>Match</v>
      </c>
      <c r="K220" t="str">
        <f>'System Generated 2026-08-24'!A220</f>
        <v>Mangos</v>
      </c>
    </row>
    <row r="221" spans="1:11" hidden="1" x14ac:dyDescent="0.25">
      <c r="A221" t="str">
        <v>Kheera  Dosakaya</v>
      </c>
      <c r="B221" s="20">
        <f>IF($A221="","",IFERROR(_xlfn.XLOOKUP($A221,'System Generated 2026-08-24'!$A:$A,'System Generated 2026-08-24'!$B:$B),"Missing"))</f>
        <v>8</v>
      </c>
      <c r="C221" s="20" t="str">
        <f>IF($A221="","",IFERROR(_xlfn.XLOOKUP($A221,Table1[Item],Table1[Current Stock]),"Missing"))</f>
        <v>Missing</v>
      </c>
      <c r="D221" s="20" t="str">
        <f t="shared" si="9"/>
        <v>N/A</v>
      </c>
      <c r="E221" s="21">
        <f>IF($A221="","",IFERROR(_xlfn.XLOOKUP($A221,'System Generated 2026-08-24'!$A:$A,'System Generated 2026-08-24'!$E:$E),"Missing"))</f>
        <v>160</v>
      </c>
      <c r="F221" s="21" t="str">
        <f>IF($A221="","",IFERROR(_xlfn.XLOOKUP($A221,Table1[Item],Table1[Total (₹)]),"Missing"))</f>
        <v>Missing</v>
      </c>
      <c r="G221" s="21" t="str">
        <f t="shared" si="10"/>
        <v>N/A</v>
      </c>
      <c r="H221" t="str">
        <f t="shared" si="11"/>
        <v>Missing in Hotel Data</v>
      </c>
      <c r="K221" t="str">
        <f>'System Generated 2026-08-24'!A221</f>
        <v>Mask</v>
      </c>
    </row>
    <row r="222" spans="1:11" hidden="1" x14ac:dyDescent="0.25">
      <c r="A222" t="str">
        <v>King Wrap</v>
      </c>
      <c r="B222" s="20">
        <f>IF($A222="","",IFERROR(_xlfn.XLOOKUP($A222,'System Generated 2026-08-24'!$A:$A,'System Generated 2026-08-24'!$B:$B),"Missing"))</f>
        <v>3</v>
      </c>
      <c r="C222" s="20">
        <f>IF($A222="","",IFERROR(_xlfn.XLOOKUP($A222,Table1[Item],Table1[Current Stock]),"Missing"))</f>
        <v>3</v>
      </c>
      <c r="D222" s="20">
        <f t="shared" si="9"/>
        <v>0</v>
      </c>
      <c r="E222" s="21">
        <f>IF($A222="","",IFERROR(_xlfn.XLOOKUP($A222,'System Generated 2026-08-24'!$A:$A,'System Generated 2026-08-24'!$E:$E),"Missing"))</f>
        <v>1025</v>
      </c>
      <c r="F222" s="21">
        <f>IF($A222="","",IFERROR(_xlfn.XLOOKUP($A222,Table1[Item],Table1[Total (₹)]),"Missing"))</f>
        <v>1025.001</v>
      </c>
      <c r="G222" s="21">
        <f t="shared" si="10"/>
        <v>-9.9999999997635314E-4</v>
      </c>
      <c r="H222" t="str">
        <f t="shared" si="11"/>
        <v>Match</v>
      </c>
      <c r="K222" t="str">
        <f>'System Generated 2026-08-24'!A222</f>
        <v>Masoor Dal</v>
      </c>
    </row>
    <row r="223" spans="1:11" hidden="1" x14ac:dyDescent="0.25">
      <c r="A223" t="str">
        <v>Kinley 1lit Water</v>
      </c>
      <c r="B223" s="20">
        <f>IF($A223="","",IFERROR(_xlfn.XLOOKUP($A223,'System Generated 2026-08-24'!$A:$A,'System Generated 2026-08-24'!$B:$B),"Missing"))</f>
        <v>0</v>
      </c>
      <c r="C223" s="20">
        <f>IF($A223="","",IFERROR(_xlfn.XLOOKUP($A223,Table1[Item],Table1[Current Stock]),"Missing"))</f>
        <v>0</v>
      </c>
      <c r="D223" s="20">
        <f t="shared" si="9"/>
        <v>0</v>
      </c>
      <c r="E223" s="21">
        <f>IF($A223="","",IFERROR(_xlfn.XLOOKUP($A223,'System Generated 2026-08-24'!$A:$A,'System Generated 2026-08-24'!$E:$E),"Missing"))</f>
        <v>0</v>
      </c>
      <c r="F223" s="21">
        <f>IF($A223="","",IFERROR(_xlfn.XLOOKUP($A223,Table1[Item],Table1[Total (₹)]),"Missing"))</f>
        <v>0</v>
      </c>
      <c r="G223" s="21">
        <f t="shared" si="10"/>
        <v>0</v>
      </c>
      <c r="H223" t="str">
        <f t="shared" si="11"/>
        <v>Match</v>
      </c>
      <c r="K223" t="str">
        <f>'System Generated 2026-08-24'!A223</f>
        <v>Mayonnaise</v>
      </c>
    </row>
    <row r="224" spans="1:11" x14ac:dyDescent="0.25">
      <c r="A224" t="str">
        <v>Kinley 500ml Water</v>
      </c>
      <c r="B224" s="20" t="str">
        <f>IF($A224="","",IFERROR(_xlfn.XLOOKUP($A224,'System Generated 2026-08-24'!$A:$A,'System Generated 2026-08-24'!$B:$B),"Missing"))</f>
        <v>Missing</v>
      </c>
      <c r="C224" s="20">
        <f>IF($A224="","",IFERROR(_xlfn.XLOOKUP($A224,Table1[Item],Table1[Current Stock]),"Missing"))</f>
        <v>0</v>
      </c>
      <c r="D224" s="20" t="str">
        <f t="shared" si="9"/>
        <v>N/A</v>
      </c>
      <c r="E224" s="21" t="str">
        <f>IF($A224="","",IFERROR(_xlfn.XLOOKUP($A224,'System Generated 2026-08-24'!$A:$A,'System Generated 2026-08-24'!$E:$E),"Missing"))</f>
        <v>Missing</v>
      </c>
      <c r="F224" s="21">
        <f>IF($A224="","",IFERROR(_xlfn.XLOOKUP($A224,Table1[Item],Table1[Total (₹)]),"Missing"))</f>
        <v>0</v>
      </c>
      <c r="G224" s="21" t="str">
        <f t="shared" si="10"/>
        <v>N/A</v>
      </c>
      <c r="H224" t="str">
        <f t="shared" si="11"/>
        <v>Missing in App</v>
      </c>
      <c r="K224" t="str">
        <f>'System Generated 2026-08-24'!A224</f>
        <v>Meal Maker</v>
      </c>
    </row>
    <row r="225" spans="1:11" hidden="1" x14ac:dyDescent="0.25">
      <c r="A225" t="str">
        <v>Kismis</v>
      </c>
      <c r="B225" s="20">
        <f>IF($A225="","",IFERROR(_xlfn.XLOOKUP($A225,'System Generated 2026-08-24'!$A:$A,'System Generated 2026-08-24'!$B:$B),"Missing"))</f>
        <v>1.1000000000000001</v>
      </c>
      <c r="C225" s="20">
        <f>IF($A225="","",IFERROR(_xlfn.XLOOKUP($A225,Table1[Item],Table1[Current Stock]),"Missing"))</f>
        <v>1.1000000000000001</v>
      </c>
      <c r="D225" s="20">
        <f t="shared" si="9"/>
        <v>0</v>
      </c>
      <c r="E225" s="21">
        <f>IF($A225="","",IFERROR(_xlfn.XLOOKUP($A225,'System Generated 2026-08-24'!$A:$A,'System Generated 2026-08-24'!$E:$E),"Missing"))</f>
        <v>569.35</v>
      </c>
      <c r="F225" s="21">
        <f>IF($A225="","",IFERROR(_xlfn.XLOOKUP($A225,Table1[Item],Table1[Total (₹)]),"Missing"))</f>
        <v>569.34699999999998</v>
      </c>
      <c r="G225" s="21">
        <f t="shared" si="10"/>
        <v>3.0000000000427463E-3</v>
      </c>
      <c r="H225" t="str">
        <f t="shared" si="11"/>
        <v>Match</v>
      </c>
      <c r="K225" t="str">
        <f>'System Generated 2026-08-24'!A225</f>
        <v>Meal Maker Keema</v>
      </c>
    </row>
    <row r="226" spans="1:11" hidden="1" x14ac:dyDescent="0.25">
      <c r="A226" t="str">
        <v>Kissan Jam</v>
      </c>
      <c r="B226" s="20">
        <f>IF($A226="","",IFERROR(_xlfn.XLOOKUP($A226,'System Generated 2026-08-24'!$A:$A,'System Generated 2026-08-24'!$B:$B),"Missing"))</f>
        <v>0.68</v>
      </c>
      <c r="C226" s="20">
        <f>IF($A226="","",IFERROR(_xlfn.XLOOKUP($A226,Table1[Item],Table1[Current Stock]),"Missing"))</f>
        <v>0.68</v>
      </c>
      <c r="D226" s="20">
        <f t="shared" si="9"/>
        <v>0</v>
      </c>
      <c r="E226" s="21">
        <f>IF($A226="","",IFERROR(_xlfn.XLOOKUP($A226,'System Generated 2026-08-24'!$A:$A,'System Generated 2026-08-24'!$E:$E),"Missing"))</f>
        <v>61.2</v>
      </c>
      <c r="F226" s="21">
        <f>IF($A226="","",IFERROR(_xlfn.XLOOKUP($A226,Table1[Item],Table1[Total (₹)]),"Missing"))</f>
        <v>61.2</v>
      </c>
      <c r="G226" s="21">
        <f t="shared" si="10"/>
        <v>0</v>
      </c>
      <c r="H226" t="str">
        <f t="shared" si="11"/>
        <v>Match</v>
      </c>
      <c r="K226" t="str">
        <f>'System Generated 2026-08-24'!A226</f>
        <v>Mentulu</v>
      </c>
    </row>
    <row r="227" spans="1:11" hidden="1" x14ac:dyDescent="0.25">
      <c r="A227" t="str">
        <v>Kit Kat</v>
      </c>
      <c r="B227" s="20">
        <f>IF($A227="","",IFERROR(_xlfn.XLOOKUP($A227,'System Generated 2026-08-24'!$A:$A,'System Generated 2026-08-24'!$B:$B),"Missing"))</f>
        <v>30</v>
      </c>
      <c r="C227" s="20">
        <f>IF($A227="","",IFERROR(_xlfn.XLOOKUP($A227,Table1[Item],Table1[Current Stock]),"Missing"))</f>
        <v>30</v>
      </c>
      <c r="D227" s="20">
        <f t="shared" si="9"/>
        <v>0</v>
      </c>
      <c r="E227" s="21">
        <f>IF($A227="","",IFERROR(_xlfn.XLOOKUP($A227,'System Generated 2026-08-24'!$A:$A,'System Generated 2026-08-24'!$E:$E),"Missing"))</f>
        <v>830.05</v>
      </c>
      <c r="F227" s="21">
        <f>IF($A227="","",IFERROR(_xlfn.XLOOKUP($A227,Table1[Item],Table1[Total (₹)]),"Missing"))</f>
        <v>830.04600000000005</v>
      </c>
      <c r="G227" s="21">
        <f t="shared" si="10"/>
        <v>3.9999999999054126E-3</v>
      </c>
      <c r="H227" t="str">
        <f t="shared" si="11"/>
        <v>Match</v>
      </c>
      <c r="K227" t="str">
        <f>'System Generated 2026-08-24'!A227</f>
        <v>Methi</v>
      </c>
    </row>
    <row r="228" spans="1:11" hidden="1" x14ac:dyDescent="0.25">
      <c r="A228" t="str">
        <v>Kitchen King Masala</v>
      </c>
      <c r="B228" s="20">
        <f>IF($A228="","",IFERROR(_xlfn.XLOOKUP($A228,'System Generated 2026-08-24'!$A:$A,'System Generated 2026-08-24'!$B:$B),"Missing"))</f>
        <v>3</v>
      </c>
      <c r="C228" s="20">
        <f>IF($A228="","",IFERROR(_xlfn.XLOOKUP($A228,Table1[Item],Table1[Current Stock]),"Missing"))</f>
        <v>3</v>
      </c>
      <c r="D228" s="20">
        <f t="shared" si="9"/>
        <v>0</v>
      </c>
      <c r="E228" s="21">
        <f>IF($A228="","",IFERROR(_xlfn.XLOOKUP($A228,'System Generated 2026-08-24'!$A:$A,'System Generated 2026-08-24'!$E:$E),"Missing"))</f>
        <v>2070</v>
      </c>
      <c r="F228" s="21">
        <f>IF($A228="","",IFERROR(_xlfn.XLOOKUP($A228,Table1[Item],Table1[Total (₹)]),"Missing"))</f>
        <v>2070</v>
      </c>
      <c r="G228" s="21">
        <f t="shared" si="10"/>
        <v>0</v>
      </c>
      <c r="H228" t="str">
        <f t="shared" si="11"/>
        <v>Match</v>
      </c>
      <c r="K228" t="str">
        <f>'System Generated 2026-08-24'!A228</f>
        <v>Milk</v>
      </c>
    </row>
    <row r="229" spans="1:11" hidden="1" x14ac:dyDescent="0.25">
      <c r="A229" t="str">
        <v>Kiwi Crush</v>
      </c>
      <c r="B229" s="20">
        <f>IF($A229="","",IFERROR(_xlfn.XLOOKUP($A229,'System Generated 2026-08-24'!$A:$A,'System Generated 2026-08-24'!$B:$B),"Missing"))</f>
        <v>0</v>
      </c>
      <c r="C229" s="20">
        <f>IF($A229="","",IFERROR(_xlfn.XLOOKUP($A229,Table1[Item],Table1[Current Stock]),"Missing"))</f>
        <v>0</v>
      </c>
      <c r="D229" s="20">
        <f t="shared" si="9"/>
        <v>0</v>
      </c>
      <c r="E229" s="21">
        <f>IF($A229="","",IFERROR(_xlfn.XLOOKUP($A229,'System Generated 2026-08-24'!$A:$A,'System Generated 2026-08-24'!$E:$E),"Missing"))</f>
        <v>0</v>
      </c>
      <c r="F229" s="21">
        <f>IF($A229="","",IFERROR(_xlfn.XLOOKUP($A229,Table1[Item],Table1[Total (₹)]),"Missing"))</f>
        <v>0</v>
      </c>
      <c r="G229" s="21">
        <f t="shared" si="10"/>
        <v>0</v>
      </c>
      <c r="H229" t="str">
        <f t="shared" si="11"/>
        <v>Match</v>
      </c>
      <c r="K229" t="str">
        <f>'System Generated 2026-08-24'!A229</f>
        <v>Milk Maid</v>
      </c>
    </row>
    <row r="230" spans="1:11" hidden="1" x14ac:dyDescent="0.25">
      <c r="A230" t="str">
        <v>Kothimeera</v>
      </c>
      <c r="B230" s="20">
        <f>IF($A230="","",IFERROR(_xlfn.XLOOKUP($A230,'System Generated 2026-08-24'!$A:$A,'System Generated 2026-08-24'!$B:$B),"Missing"))</f>
        <v>31.5</v>
      </c>
      <c r="C230" s="20" t="str">
        <f>IF($A230="","",IFERROR(_xlfn.XLOOKUP($A230,Table1[Item],Table1[Current Stock]),"Missing"))</f>
        <v>Missing</v>
      </c>
      <c r="D230" s="20" t="str">
        <f t="shared" si="9"/>
        <v>N/A</v>
      </c>
      <c r="E230" s="21">
        <f>IF($A230="","",IFERROR(_xlfn.XLOOKUP($A230,'System Generated 2026-08-24'!$A:$A,'System Generated 2026-08-24'!$E:$E),"Missing"))</f>
        <v>1102.5</v>
      </c>
      <c r="F230" s="21" t="str">
        <f>IF($A230="","",IFERROR(_xlfn.XLOOKUP($A230,Table1[Item],Table1[Total (₹)]),"Missing"))</f>
        <v>Missing</v>
      </c>
      <c r="G230" s="21" t="str">
        <f t="shared" si="10"/>
        <v>N/A</v>
      </c>
      <c r="H230" t="str">
        <f t="shared" si="11"/>
        <v>Missing in Hotel Data</v>
      </c>
      <c r="K230" t="str">
        <f>'System Generated 2026-08-24'!A230</f>
        <v>Moistirizer 20ml</v>
      </c>
    </row>
    <row r="231" spans="1:11" x14ac:dyDescent="0.25">
      <c r="A231" t="str">
        <v>Kothimira</v>
      </c>
      <c r="B231" s="20" t="str">
        <f>IF($A231="","",IFERROR(_xlfn.XLOOKUP($A231,'System Generated 2026-08-24'!$A:$A,'System Generated 2026-08-24'!$B:$B),"Missing"))</f>
        <v>Missing</v>
      </c>
      <c r="C231" s="20">
        <f>IF($A231="","",IFERROR(_xlfn.XLOOKUP($A231,Table1[Item],Table1[Current Stock]),"Missing"))</f>
        <v>4.6500000000000004</v>
      </c>
      <c r="D231" s="20" t="str">
        <f t="shared" si="9"/>
        <v>N/A</v>
      </c>
      <c r="E231" s="21" t="str">
        <f>IF($A231="","",IFERROR(_xlfn.XLOOKUP($A231,'System Generated 2026-08-24'!$A:$A,'System Generated 2026-08-24'!$E:$E),"Missing"))</f>
        <v>Missing</v>
      </c>
      <c r="F231" s="21">
        <f>IF($A231="","",IFERROR(_xlfn.XLOOKUP($A231,Table1[Item],Table1[Total (₹)]),"Missing"))</f>
        <v>189.92599999999999</v>
      </c>
      <c r="G231" s="21" t="str">
        <f t="shared" si="10"/>
        <v>N/A</v>
      </c>
      <c r="H231" t="str">
        <f t="shared" si="11"/>
        <v>Missing in App</v>
      </c>
      <c r="K231" t="str">
        <f>'System Generated 2026-08-24'!A231</f>
        <v>Moong Dal</v>
      </c>
    </row>
    <row r="232" spans="1:11" hidden="1" x14ac:dyDescent="0.25">
      <c r="A232" t="str">
        <v>Kothmir</v>
      </c>
      <c r="B232" s="20">
        <f>IF($A232="","",IFERROR(_xlfn.XLOOKUP($A232,'System Generated 2026-08-24'!$A:$A,'System Generated 2026-08-24'!$B:$B),"Missing"))</f>
        <v>2.25</v>
      </c>
      <c r="C232" s="20" t="str">
        <f>IF($A232="","",IFERROR(_xlfn.XLOOKUP($A232,Table1[Item],Table1[Current Stock]),"Missing"))</f>
        <v>Missing</v>
      </c>
      <c r="D232" s="20" t="str">
        <f t="shared" si="9"/>
        <v>N/A</v>
      </c>
      <c r="E232" s="21">
        <f>IF($A232="","",IFERROR(_xlfn.XLOOKUP($A232,'System Generated 2026-08-24'!$A:$A,'System Generated 2026-08-24'!$E:$E),"Missing"))</f>
        <v>0</v>
      </c>
      <c r="F232" s="21" t="str">
        <f>IF($A232="","",IFERROR(_xlfn.XLOOKUP($A232,Table1[Item],Table1[Total (₹)]),"Missing"))</f>
        <v>Missing</v>
      </c>
      <c r="G232" s="21" t="str">
        <f t="shared" si="10"/>
        <v>N/A</v>
      </c>
      <c r="H232" t="str">
        <f t="shared" si="11"/>
        <v>Missing in Hotel Data</v>
      </c>
      <c r="K232" t="str">
        <f>'System Generated 2026-08-24'!A232</f>
        <v>Mops</v>
      </c>
    </row>
    <row r="233" spans="1:11" hidden="1" x14ac:dyDescent="0.25">
      <c r="A233" t="str">
        <v>Kova</v>
      </c>
      <c r="B233" s="20">
        <f>IF($A233="","",IFERROR(_xlfn.XLOOKUP($A233,'System Generated 2026-08-24'!$A:$A,'System Generated 2026-08-24'!$B:$B),"Missing"))</f>
        <v>0</v>
      </c>
      <c r="C233" s="20">
        <f>IF($A233="","",IFERROR(_xlfn.XLOOKUP($A233,Table1[Item],Table1[Current Stock]),"Missing"))</f>
        <v>0</v>
      </c>
      <c r="D233" s="20">
        <f t="shared" si="9"/>
        <v>0</v>
      </c>
      <c r="E233" s="21">
        <f>IF($A233="","",IFERROR(_xlfn.XLOOKUP($A233,'System Generated 2026-08-24'!$A:$A,'System Generated 2026-08-24'!$E:$E),"Missing"))</f>
        <v>0</v>
      </c>
      <c r="F233" s="21">
        <f>IF($A233="","",IFERROR(_xlfn.XLOOKUP($A233,Table1[Item],Table1[Total (₹)]),"Missing"))</f>
        <v>0</v>
      </c>
      <c r="G233" s="21">
        <f t="shared" si="10"/>
        <v>0</v>
      </c>
      <c r="H233" t="str">
        <f t="shared" si="11"/>
        <v>Match</v>
      </c>
      <c r="K233" t="str">
        <f>'System Generated 2026-08-24'!A233</f>
        <v>Mosambi</v>
      </c>
    </row>
    <row r="234" spans="1:11" hidden="1" x14ac:dyDescent="0.25">
      <c r="A234" t="str">
        <v>Kunafa</v>
      </c>
      <c r="B234" s="20">
        <f>IF($A234="","",IFERROR(_xlfn.XLOOKUP($A234,'System Generated 2026-08-24'!$A:$A,'System Generated 2026-08-24'!$B:$B),"Missing"))</f>
        <v>0</v>
      </c>
      <c r="C234" s="20">
        <f>IF($A234="","",IFERROR(_xlfn.XLOOKUP($A234,Table1[Item],Table1[Current Stock]),"Missing"))</f>
        <v>0</v>
      </c>
      <c r="D234" s="20">
        <f t="shared" si="9"/>
        <v>0</v>
      </c>
      <c r="E234" s="21">
        <f>IF($A234="","",IFERROR(_xlfn.XLOOKUP($A234,'System Generated 2026-08-24'!$A:$A,'System Generated 2026-08-24'!$E:$E),"Missing"))</f>
        <v>0</v>
      </c>
      <c r="F234" s="21">
        <f>IF($A234="","",IFERROR(_xlfn.XLOOKUP($A234,Table1[Item],Table1[Total (₹)]),"Missing"))</f>
        <v>0</v>
      </c>
      <c r="G234" s="21">
        <f t="shared" si="10"/>
        <v>0</v>
      </c>
      <c r="H234" t="str">
        <f t="shared" si="11"/>
        <v>Match</v>
      </c>
      <c r="K234" t="str">
        <f>'System Generated 2026-08-24'!A234</f>
        <v>Mosquito Coil</v>
      </c>
    </row>
    <row r="235" spans="1:11" hidden="1" x14ac:dyDescent="0.25">
      <c r="A235" t="str">
        <v>Kurbani</v>
      </c>
      <c r="B235" s="20">
        <f>IF($A235="","",IFERROR(_xlfn.XLOOKUP($A235,'System Generated 2026-08-24'!$A:$A,'System Generated 2026-08-24'!$B:$B),"Missing"))</f>
        <v>4.75</v>
      </c>
      <c r="C235" s="20">
        <f>IF($A235="","",IFERROR(_xlfn.XLOOKUP($A235,Table1[Item],Table1[Current Stock]),"Missing"))</f>
        <v>4.75</v>
      </c>
      <c r="D235" s="20">
        <f t="shared" si="9"/>
        <v>0</v>
      </c>
      <c r="E235" s="21">
        <f>IF($A235="","",IFERROR(_xlfn.XLOOKUP($A235,'System Generated 2026-08-24'!$A:$A,'System Generated 2026-08-24'!$E:$E),"Missing"))</f>
        <v>1496.9</v>
      </c>
      <c r="F235" s="21">
        <f>IF($A235="","",IFERROR(_xlfn.XLOOKUP($A235,Table1[Item],Table1[Total (₹)]),"Missing"))</f>
        <v>1496.9010000000001</v>
      </c>
      <c r="G235" s="21">
        <f t="shared" si="10"/>
        <v>-9.9999999997635314E-4</v>
      </c>
      <c r="H235" t="str">
        <f t="shared" si="11"/>
        <v>Match</v>
      </c>
      <c r="K235" t="str">
        <f>'System Generated 2026-08-24'!A235</f>
        <v>Mote</v>
      </c>
    </row>
    <row r="236" spans="1:11" hidden="1" x14ac:dyDescent="0.25">
      <c r="A236" t="str">
        <v>Lamsa</v>
      </c>
      <c r="B236" s="20">
        <f>IF($A236="","",IFERROR(_xlfn.XLOOKUP($A236,'System Generated 2026-08-24'!$A:$A,'System Generated 2026-08-24'!$B:$B),"Missing"))</f>
        <v>34</v>
      </c>
      <c r="C236" s="20">
        <f>IF($A236="","",IFERROR(_xlfn.XLOOKUP($A236,Table1[Item],Table1[Current Stock]),"Missing"))</f>
        <v>34</v>
      </c>
      <c r="D236" s="20">
        <f t="shared" si="9"/>
        <v>0</v>
      </c>
      <c r="E236" s="21">
        <f>IF($A236="","",IFERROR(_xlfn.XLOOKUP($A236,'System Generated 2026-08-24'!$A:$A,'System Generated 2026-08-24'!$E:$E),"Missing"))</f>
        <v>927.27</v>
      </c>
      <c r="F236" s="21">
        <f>IF($A236="","",IFERROR(_xlfn.XLOOKUP($A236,Table1[Item],Table1[Total (₹)]),"Missing"))</f>
        <v>927.27200000000005</v>
      </c>
      <c r="G236" s="21">
        <f t="shared" si="10"/>
        <v>-2.0000000000663931E-3</v>
      </c>
      <c r="H236" t="str">
        <f t="shared" si="11"/>
        <v>Match</v>
      </c>
      <c r="K236" t="str">
        <f>'System Generated 2026-08-24'!A236</f>
        <v>Mozzarella Cheese</v>
      </c>
    </row>
    <row r="237" spans="1:11" hidden="1" x14ac:dyDescent="0.25">
      <c r="A237" t="str">
        <v>Lavang</v>
      </c>
      <c r="B237" s="20">
        <f>IF($A237="","",IFERROR(_xlfn.XLOOKUP($A237,'System Generated 2026-08-24'!$A:$A,'System Generated 2026-08-24'!$B:$B),"Missing"))</f>
        <v>0.42</v>
      </c>
      <c r="C237" s="20">
        <f>IF($A237="","",IFERROR(_xlfn.XLOOKUP($A237,Table1[Item],Table1[Current Stock]),"Missing"))</f>
        <v>0.42</v>
      </c>
      <c r="D237" s="20">
        <f t="shared" si="9"/>
        <v>0</v>
      </c>
      <c r="E237" s="21">
        <f>IF($A237="","",IFERROR(_xlfn.XLOOKUP($A237,'System Generated 2026-08-24'!$A:$A,'System Generated 2026-08-24'!$E:$E),"Missing"))</f>
        <v>374.71</v>
      </c>
      <c r="F237" s="21">
        <f>IF($A237="","",IFERROR(_xlfn.XLOOKUP($A237,Table1[Item],Table1[Total (₹)]),"Missing"))</f>
        <v>374.71</v>
      </c>
      <c r="G237" s="21">
        <f t="shared" si="10"/>
        <v>0</v>
      </c>
      <c r="H237" t="str">
        <f t="shared" si="11"/>
        <v>Match</v>
      </c>
      <c r="K237" t="str">
        <f>'System Generated 2026-08-24'!A237</f>
        <v>Mtr Sambar Powder</v>
      </c>
    </row>
    <row r="238" spans="1:11" x14ac:dyDescent="0.25">
      <c r="A238" t="str">
        <v>Leaf Buffe Paltes</v>
      </c>
      <c r="B238" s="20" t="str">
        <f>IF($A238="","",IFERROR(_xlfn.XLOOKUP($A238,'System Generated 2026-08-24'!$A:$A,'System Generated 2026-08-24'!$B:$B),"Missing"))</f>
        <v>Missing</v>
      </c>
      <c r="C238" s="20">
        <f>IF($A238="","",IFERROR(_xlfn.XLOOKUP($A238,Table1[Item],Table1[Current Stock]),"Missing"))</f>
        <v>3</v>
      </c>
      <c r="D238" s="20" t="str">
        <f t="shared" si="9"/>
        <v>N/A</v>
      </c>
      <c r="E238" s="21" t="str">
        <f>IF($A238="","",IFERROR(_xlfn.XLOOKUP($A238,'System Generated 2026-08-24'!$A:$A,'System Generated 2026-08-24'!$E:$E),"Missing"))</f>
        <v>Missing</v>
      </c>
      <c r="F238" s="21">
        <f>IF($A238="","",IFERROR(_xlfn.XLOOKUP($A238,Table1[Item],Table1[Total (₹)]),"Missing"))</f>
        <v>435</v>
      </c>
      <c r="G238" s="21" t="str">
        <f t="shared" si="10"/>
        <v>N/A</v>
      </c>
      <c r="H238" t="str">
        <f t="shared" si="11"/>
        <v>Missing in App</v>
      </c>
      <c r="K238" t="str">
        <f>'System Generated 2026-08-24'!A238</f>
        <v>Munakkaya</v>
      </c>
    </row>
    <row r="239" spans="1:11" hidden="1" x14ac:dyDescent="0.25">
      <c r="A239" t="str">
        <v>Lemon Salt</v>
      </c>
      <c r="B239" s="20">
        <f>IF($A239="","",IFERROR(_xlfn.XLOOKUP($A239,'System Generated 2026-08-24'!$A:$A,'System Generated 2026-08-24'!$B:$B),"Missing"))</f>
        <v>0.3</v>
      </c>
      <c r="C239" s="20">
        <f>IF($A239="","",IFERROR(_xlfn.XLOOKUP($A239,Table1[Item],Table1[Current Stock]),"Missing"))</f>
        <v>0.3</v>
      </c>
      <c r="D239" s="20">
        <f t="shared" si="9"/>
        <v>0</v>
      </c>
      <c r="E239" s="21">
        <f>IF($A239="","",IFERROR(_xlfn.XLOOKUP($A239,'System Generated 2026-08-24'!$A:$A,'System Generated 2026-08-24'!$E:$E),"Missing"))</f>
        <v>49.5</v>
      </c>
      <c r="F239" s="21">
        <f>IF($A239="","",IFERROR(_xlfn.XLOOKUP($A239,Table1[Item],Table1[Total (₹)]),"Missing"))</f>
        <v>49.5</v>
      </c>
      <c r="G239" s="21">
        <f t="shared" si="10"/>
        <v>0</v>
      </c>
      <c r="H239" t="str">
        <f t="shared" si="11"/>
        <v>Match</v>
      </c>
      <c r="K239" t="str">
        <f>'System Generated 2026-08-24'!A239</f>
        <v>Murmura</v>
      </c>
    </row>
    <row r="240" spans="1:11" hidden="1" x14ac:dyDescent="0.25">
      <c r="A240" t="str">
        <v>Lemons</v>
      </c>
      <c r="B240" s="20">
        <f>IF($A240="","",IFERROR(_xlfn.XLOOKUP($A240,'System Generated 2026-08-24'!$A:$A,'System Generated 2026-08-24'!$B:$B),"Missing"))</f>
        <v>8.01</v>
      </c>
      <c r="C240" s="20">
        <f>IF($A240="","",IFERROR(_xlfn.XLOOKUP($A240,Table1[Item],Table1[Current Stock]),"Missing"))</f>
        <v>8.01</v>
      </c>
      <c r="D240" s="20">
        <f t="shared" si="9"/>
        <v>0</v>
      </c>
      <c r="E240" s="21">
        <f>IF($A240="","",IFERROR(_xlfn.XLOOKUP($A240,'System Generated 2026-08-24'!$A:$A,'System Generated 2026-08-24'!$E:$E),"Missing"))</f>
        <v>517.98</v>
      </c>
      <c r="F240" s="21">
        <f>IF($A240="","",IFERROR(_xlfn.XLOOKUP($A240,Table1[Item],Table1[Total (₹)]),"Missing"))</f>
        <v>517.98</v>
      </c>
      <c r="G240" s="21">
        <f t="shared" si="10"/>
        <v>0</v>
      </c>
      <c r="H240" t="str">
        <f t="shared" si="11"/>
        <v>Match</v>
      </c>
      <c r="K240" t="str">
        <f>'System Generated 2026-08-24'!A240</f>
        <v>Mushroom</v>
      </c>
    </row>
    <row r="241" spans="1:11" hidden="1" x14ac:dyDescent="0.25">
      <c r="A241" t="str">
        <v>Local Channa</v>
      </c>
      <c r="B241" s="20">
        <f>IF($A241="","",IFERROR(_xlfn.XLOOKUP($A241,'System Generated 2026-08-24'!$A:$A,'System Generated 2026-08-24'!$B:$B),"Missing"))</f>
        <v>1.5</v>
      </c>
      <c r="C241" s="20">
        <f>IF($A241="","",IFERROR(_xlfn.XLOOKUP($A241,Table1[Item],Table1[Current Stock]),"Missing"))</f>
        <v>1.5</v>
      </c>
      <c r="D241" s="20">
        <f t="shared" si="9"/>
        <v>0</v>
      </c>
      <c r="E241" s="21">
        <f>IF($A241="","",IFERROR(_xlfn.XLOOKUP($A241,'System Generated 2026-08-24'!$A:$A,'System Generated 2026-08-24'!$E:$E),"Missing"))</f>
        <v>118.22</v>
      </c>
      <c r="F241" s="21">
        <f>IF($A241="","",IFERROR(_xlfn.XLOOKUP($A241,Table1[Item],Table1[Total (₹)]),"Missing"))</f>
        <v>118.21899999999999</v>
      </c>
      <c r="G241" s="21">
        <f t="shared" si="10"/>
        <v>1.0000000000047748E-3</v>
      </c>
      <c r="H241" t="str">
        <f t="shared" si="11"/>
        <v>Match</v>
      </c>
      <c r="K241" t="str">
        <f>'System Generated 2026-08-24'!A241</f>
        <v>Muskmelon</v>
      </c>
    </row>
    <row r="242" spans="1:11" hidden="1" x14ac:dyDescent="0.25">
      <c r="A242" t="str">
        <v>M.water 1l</v>
      </c>
      <c r="B242" s="20">
        <f>IF($A242="","",IFERROR(_xlfn.XLOOKUP($A242,'System Generated 2026-08-24'!$A:$A,'System Generated 2026-08-24'!$B:$B),"Missing"))</f>
        <v>11</v>
      </c>
      <c r="C242" s="20">
        <f>IF($A242="","",IFERROR(_xlfn.XLOOKUP($A242,Table1[Item],Table1[Current Stock]),"Missing"))</f>
        <v>11</v>
      </c>
      <c r="D242" s="20">
        <f t="shared" si="9"/>
        <v>0</v>
      </c>
      <c r="E242" s="21">
        <f>IF($A242="","",IFERROR(_xlfn.XLOOKUP($A242,'System Generated 2026-08-24'!$A:$A,'System Generated 2026-08-24'!$E:$E),"Missing"))</f>
        <v>1530.32</v>
      </c>
      <c r="F242" s="21">
        <f>IF($A242="","",IFERROR(_xlfn.XLOOKUP($A242,Table1[Item],Table1[Total (₹)]),"Missing"))</f>
        <v>1530.32</v>
      </c>
      <c r="G242" s="21">
        <f t="shared" si="10"/>
        <v>0</v>
      </c>
      <c r="H242" t="str">
        <f t="shared" si="11"/>
        <v>Match</v>
      </c>
      <c r="K242" t="str">
        <f>'System Generated 2026-08-24'!A242</f>
        <v>Mustard Oil</v>
      </c>
    </row>
    <row r="243" spans="1:11" hidden="1" x14ac:dyDescent="0.25">
      <c r="A243" t="str">
        <v>M.water 500ml</v>
      </c>
      <c r="B243" s="20">
        <f>IF($A243="","",IFERROR(_xlfn.XLOOKUP($A243,'System Generated 2026-08-24'!$A:$A,'System Generated 2026-08-24'!$B:$B),"Missing"))</f>
        <v>11</v>
      </c>
      <c r="C243" s="20">
        <f>IF($A243="","",IFERROR(_xlfn.XLOOKUP($A243,Table1[Item],Table1[Current Stock]),"Missing"))</f>
        <v>11</v>
      </c>
      <c r="D243" s="20">
        <f t="shared" si="9"/>
        <v>0</v>
      </c>
      <c r="E243" s="21">
        <f>IF($A243="","",IFERROR(_xlfn.XLOOKUP($A243,'System Generated 2026-08-24'!$A:$A,'System Generated 2026-08-24'!$E:$E),"Missing"))</f>
        <v>2014.12</v>
      </c>
      <c r="F243" s="21">
        <f>IF($A243="","",IFERROR(_xlfn.XLOOKUP($A243,Table1[Item],Table1[Total (₹)]),"Missing"))</f>
        <v>2014.1220000000001</v>
      </c>
      <c r="G243" s="21">
        <f t="shared" si="10"/>
        <v>-2.00000000018008E-3</v>
      </c>
      <c r="H243" t="str">
        <f t="shared" si="11"/>
        <v>Match</v>
      </c>
      <c r="K243" t="str">
        <f>'System Generated 2026-08-24'!A243</f>
        <v>Mutton</v>
      </c>
    </row>
    <row r="244" spans="1:11" hidden="1" x14ac:dyDescent="0.25">
      <c r="A244" t="str">
        <v>M.watr 250 Ml</v>
      </c>
      <c r="B244" s="20">
        <f>IF($A244="","",IFERROR(_xlfn.XLOOKUP($A244,'System Generated 2026-08-24'!$A:$A,'System Generated 2026-08-24'!$B:$B),"Missing"))</f>
        <v>4</v>
      </c>
      <c r="C244" s="20">
        <f>IF($A244="","",IFERROR(_xlfn.XLOOKUP($A244,Table1[Item],Table1[Current Stock]),"Missing"))</f>
        <v>4</v>
      </c>
      <c r="D244" s="20">
        <f t="shared" si="9"/>
        <v>0</v>
      </c>
      <c r="E244" s="21">
        <f>IF($A244="","",IFERROR(_xlfn.XLOOKUP($A244,'System Generated 2026-08-24'!$A:$A,'System Generated 2026-08-24'!$E:$E),"Missing"))</f>
        <v>683.7</v>
      </c>
      <c r="F244" s="21">
        <f>IF($A244="","",IFERROR(_xlfn.XLOOKUP($A244,Table1[Item],Table1[Total (₹)]),"Missing"))</f>
        <v>683.70399999999995</v>
      </c>
      <c r="G244" s="21">
        <f t="shared" si="10"/>
        <v>-3.9999999999054126E-3</v>
      </c>
      <c r="H244" t="str">
        <f t="shared" si="11"/>
        <v>Match</v>
      </c>
      <c r="K244" t="str">
        <f>'System Generated 2026-08-24'!A244</f>
        <v>Mutton Keema</v>
      </c>
    </row>
    <row r="245" spans="1:11" hidden="1" x14ac:dyDescent="0.25">
      <c r="A245" t="str">
        <v>Maida</v>
      </c>
      <c r="B245" s="20">
        <f>IF($A245="","",IFERROR(_xlfn.XLOOKUP($A245,'System Generated 2026-08-24'!$A:$A,'System Generated 2026-08-24'!$B:$B),"Missing"))</f>
        <v>50.7</v>
      </c>
      <c r="C245" s="20">
        <f>IF($A245="","",IFERROR(_xlfn.XLOOKUP($A245,Table1[Item],Table1[Current Stock]),"Missing"))</f>
        <v>50.7</v>
      </c>
      <c r="D245" s="20">
        <f t="shared" si="9"/>
        <v>0</v>
      </c>
      <c r="E245" s="21">
        <f>IF($A245="","",IFERROR(_xlfn.XLOOKUP($A245,'System Generated 2026-08-24'!$A:$A,'System Generated 2026-08-24'!$E:$E),"Missing"))</f>
        <v>2150.9899999999998</v>
      </c>
      <c r="F245" s="21">
        <f>IF($A245="","",IFERROR(_xlfn.XLOOKUP($A245,Table1[Item],Table1[Total (₹)]),"Missing"))</f>
        <v>2150.9879999999998</v>
      </c>
      <c r="G245" s="21">
        <f t="shared" si="10"/>
        <v>1.9999999999527063E-3</v>
      </c>
      <c r="H245" t="str">
        <f t="shared" si="11"/>
        <v>Match</v>
      </c>
      <c r="K245" t="str">
        <f>'System Generated 2026-08-24'!A245</f>
        <v>Name Boards</v>
      </c>
    </row>
    <row r="246" spans="1:11" hidden="1" x14ac:dyDescent="0.25">
      <c r="A246" t="str">
        <v>Makhan</v>
      </c>
      <c r="B246" s="20">
        <f>IF($A246="","",IFERROR(_xlfn.XLOOKUP($A246,'System Generated 2026-08-24'!$A:$A,'System Generated 2026-08-24'!$B:$B),"Missing"))</f>
        <v>0</v>
      </c>
      <c r="C246" s="20">
        <f>IF($A246="","",IFERROR(_xlfn.XLOOKUP($A246,Table1[Item],Table1[Current Stock]),"Missing"))</f>
        <v>0</v>
      </c>
      <c r="D246" s="20">
        <f t="shared" si="9"/>
        <v>0</v>
      </c>
      <c r="E246" s="21">
        <f>IF($A246="","",IFERROR(_xlfn.XLOOKUP($A246,'System Generated 2026-08-24'!$A:$A,'System Generated 2026-08-24'!$E:$E),"Missing"))</f>
        <v>0</v>
      </c>
      <c r="F246" s="21">
        <f>IF($A246="","",IFERROR(_xlfn.XLOOKUP($A246,Table1[Item],Table1[Total (₹)]),"Missing"))</f>
        <v>0</v>
      </c>
      <c r="G246" s="21">
        <f t="shared" si="10"/>
        <v>0</v>
      </c>
      <c r="H246" t="str">
        <f t="shared" si="11"/>
        <v>Match</v>
      </c>
      <c r="K246" t="str">
        <f>'System Generated 2026-08-24'!A246</f>
        <v>Napkins</v>
      </c>
    </row>
    <row r="247" spans="1:11" hidden="1" x14ac:dyDescent="0.25">
      <c r="A247" t="str">
        <v>Makka Chudwa</v>
      </c>
      <c r="B247" s="20">
        <f>IF($A247="","",IFERROR(_xlfn.XLOOKUP($A247,'System Generated 2026-08-24'!$A:$A,'System Generated 2026-08-24'!$B:$B),"Missing"))</f>
        <v>5</v>
      </c>
      <c r="C247" s="20">
        <f>IF($A247="","",IFERROR(_xlfn.XLOOKUP($A247,Table1[Item],Table1[Current Stock]),"Missing"))</f>
        <v>5</v>
      </c>
      <c r="D247" s="20">
        <f t="shared" si="9"/>
        <v>0</v>
      </c>
      <c r="E247" s="21">
        <f>IF($A247="","",IFERROR(_xlfn.XLOOKUP($A247,'System Generated 2026-08-24'!$A:$A,'System Generated 2026-08-24'!$E:$E),"Missing"))</f>
        <v>498.04</v>
      </c>
      <c r="F247" s="21">
        <f>IF($A247="","",IFERROR(_xlfn.XLOOKUP($A247,Table1[Item],Table1[Total (₹)]),"Missing"))</f>
        <v>498.04399999999998</v>
      </c>
      <c r="G247" s="21">
        <f t="shared" si="10"/>
        <v>-3.999999999962256E-3</v>
      </c>
      <c r="H247" t="str">
        <f t="shared" si="11"/>
        <v>Match</v>
      </c>
      <c r="K247" t="str">
        <f>'System Generated 2026-08-24'!A247</f>
        <v>Noodles</v>
      </c>
    </row>
    <row r="248" spans="1:11" hidden="1" x14ac:dyDescent="0.25">
      <c r="A248" t="str">
        <v>Mamidikaya</v>
      </c>
      <c r="B248" s="20">
        <f>IF($A248="","",IFERROR(_xlfn.XLOOKUP($A248,'System Generated 2026-08-24'!$A:$A,'System Generated 2026-08-24'!$B:$B),"Missing"))</f>
        <v>0</v>
      </c>
      <c r="C248" s="20" t="str">
        <f>IF($A248="","",IFERROR(_xlfn.XLOOKUP($A248,Table1[Item],Table1[Current Stock]),"Missing"))</f>
        <v>Missing</v>
      </c>
      <c r="D248" s="20" t="str">
        <f t="shared" si="9"/>
        <v>N/A</v>
      </c>
      <c r="E248" s="21">
        <f>IF($A248="","",IFERROR(_xlfn.XLOOKUP($A248,'System Generated 2026-08-24'!$A:$A,'System Generated 2026-08-24'!$E:$E),"Missing"))</f>
        <v>0</v>
      </c>
      <c r="F248" s="21" t="str">
        <f>IF($A248="","",IFERROR(_xlfn.XLOOKUP($A248,Table1[Item],Table1[Total (₹)]),"Missing"))</f>
        <v>Missing</v>
      </c>
      <c r="G248" s="21" t="str">
        <f t="shared" si="10"/>
        <v>N/A</v>
      </c>
      <c r="H248" t="str">
        <f t="shared" si="11"/>
        <v>Missing in Hotel Data</v>
      </c>
      <c r="K248" t="str">
        <f>'System Generated 2026-08-24'!A248</f>
        <v>Nutella Chocolate</v>
      </c>
    </row>
    <row r="249" spans="1:11" hidden="1" x14ac:dyDescent="0.25">
      <c r="A249" t="str">
        <v>Mango</v>
      </c>
      <c r="B249" s="20">
        <f>IF($A249="","",IFERROR(_xlfn.XLOOKUP($A249,'System Generated 2026-08-24'!$A:$A,'System Generated 2026-08-24'!$B:$B),"Missing"))</f>
        <v>0</v>
      </c>
      <c r="C249" s="20" t="str">
        <f>IF($A249="","",IFERROR(_xlfn.XLOOKUP($A249,Table1[Item],Table1[Current Stock]),"Missing"))</f>
        <v>Missing</v>
      </c>
      <c r="D249" s="20" t="str">
        <f t="shared" si="9"/>
        <v>N/A</v>
      </c>
      <c r="E249" s="21">
        <f>IF($A249="","",IFERROR(_xlfn.XLOOKUP($A249,'System Generated 2026-08-24'!$A:$A,'System Generated 2026-08-24'!$E:$E),"Missing"))</f>
        <v>0</v>
      </c>
      <c r="F249" s="21" t="str">
        <f>IF($A249="","",IFERROR(_xlfn.XLOOKUP($A249,Table1[Item],Table1[Total (₹)]),"Missing"))</f>
        <v>Missing</v>
      </c>
      <c r="G249" s="21" t="str">
        <f t="shared" si="10"/>
        <v>N/A</v>
      </c>
      <c r="H249" t="str">
        <f t="shared" si="11"/>
        <v>Missing in Hotel Data</v>
      </c>
      <c r="K249" t="str">
        <f>'System Generated 2026-08-24'!A249</f>
        <v>Odonil</v>
      </c>
    </row>
    <row r="250" spans="1:11" hidden="1" x14ac:dyDescent="0.25">
      <c r="A250" t="str">
        <v>Mango Crush</v>
      </c>
      <c r="B250" s="20">
        <f>IF($A250="","",IFERROR(_xlfn.XLOOKUP($A250,'System Generated 2026-08-24'!$A:$A,'System Generated 2026-08-24'!$B:$B),"Missing"))</f>
        <v>1</v>
      </c>
      <c r="C250" s="20">
        <f>IF($A250="","",IFERROR(_xlfn.XLOOKUP($A250,Table1[Item],Table1[Current Stock]),"Missing"))</f>
        <v>1</v>
      </c>
      <c r="D250" s="20">
        <f t="shared" si="9"/>
        <v>0</v>
      </c>
      <c r="E250" s="21">
        <f>IF($A250="","",IFERROR(_xlfn.XLOOKUP($A250,'System Generated 2026-08-24'!$A:$A,'System Generated 2026-08-24'!$E:$E),"Missing"))</f>
        <v>180</v>
      </c>
      <c r="F250" s="21">
        <f>IF($A250="","",IFERROR(_xlfn.XLOOKUP($A250,Table1[Item],Table1[Total (₹)]),"Missing"))</f>
        <v>180</v>
      </c>
      <c r="G250" s="21">
        <f t="shared" si="10"/>
        <v>0</v>
      </c>
      <c r="H250" t="str">
        <f t="shared" si="11"/>
        <v>Match</v>
      </c>
      <c r="K250" t="str">
        <f>'System Generated 2026-08-24'!A250</f>
        <v>Onion</v>
      </c>
    </row>
    <row r="251" spans="1:11" hidden="1" x14ac:dyDescent="0.25">
      <c r="A251" t="str">
        <v>Mango Ice Crem</v>
      </c>
      <c r="B251" s="20">
        <f>IF($A251="","",IFERROR(_xlfn.XLOOKUP($A251,'System Generated 2026-08-24'!$A:$A,'System Generated 2026-08-24'!$B:$B),"Missing"))</f>
        <v>0</v>
      </c>
      <c r="C251" s="20">
        <f>IF($A251="","",IFERROR(_xlfn.XLOOKUP($A251,Table1[Item],Table1[Current Stock]),"Missing"))</f>
        <v>0</v>
      </c>
      <c r="D251" s="20">
        <f t="shared" si="9"/>
        <v>0</v>
      </c>
      <c r="E251" s="21">
        <f>IF($A251="","",IFERROR(_xlfn.XLOOKUP($A251,'System Generated 2026-08-24'!$A:$A,'System Generated 2026-08-24'!$E:$E),"Missing"))</f>
        <v>0</v>
      </c>
      <c r="F251" s="21">
        <f>IF($A251="","",IFERROR(_xlfn.XLOOKUP($A251,Table1[Item],Table1[Total (₹)]),"Missing"))</f>
        <v>0</v>
      </c>
      <c r="G251" s="21">
        <f t="shared" si="10"/>
        <v>0</v>
      </c>
      <c r="H251" t="str">
        <f t="shared" si="11"/>
        <v>Match</v>
      </c>
      <c r="K251" t="str">
        <f>'System Generated 2026-08-24'!A251</f>
        <v>Orange</v>
      </c>
    </row>
    <row r="252" spans="1:11" hidden="1" x14ac:dyDescent="0.25">
      <c r="A252" t="str">
        <v>Mango Pickle</v>
      </c>
      <c r="B252" s="20">
        <f>IF($A252="","",IFERROR(_xlfn.XLOOKUP($A252,'System Generated 2026-08-24'!$A:$A,'System Generated 2026-08-24'!$B:$B),"Missing"))</f>
        <v>0</v>
      </c>
      <c r="C252" s="20">
        <f>IF($A252="","",IFERROR(_xlfn.XLOOKUP($A252,Table1[Item],Table1[Current Stock]),"Missing"))</f>
        <v>0</v>
      </c>
      <c r="D252" s="20">
        <f t="shared" si="9"/>
        <v>0</v>
      </c>
      <c r="E252" s="21">
        <f>IF($A252="","",IFERROR(_xlfn.XLOOKUP($A252,'System Generated 2026-08-24'!$A:$A,'System Generated 2026-08-24'!$E:$E),"Missing"))</f>
        <v>0</v>
      </c>
      <c r="F252" s="21">
        <f>IF($A252="","",IFERROR(_xlfn.XLOOKUP($A252,Table1[Item],Table1[Total (₹)]),"Missing"))</f>
        <v>0</v>
      </c>
      <c r="G252" s="21">
        <f t="shared" si="10"/>
        <v>0</v>
      </c>
      <c r="H252" t="str">
        <f t="shared" si="11"/>
        <v>Match</v>
      </c>
      <c r="K252" t="str">
        <f>'System Generated 2026-08-24'!A252</f>
        <v>Orange Syrup</v>
      </c>
    </row>
    <row r="253" spans="1:11" hidden="1" x14ac:dyDescent="0.25">
      <c r="A253" t="str">
        <v>Mangos</v>
      </c>
      <c r="B253" s="20">
        <f>IF($A253="","",IFERROR(_xlfn.XLOOKUP($A253,'System Generated 2026-08-24'!$A:$A,'System Generated 2026-08-24'!$B:$B),"Missing"))</f>
        <v>0</v>
      </c>
      <c r="C253" s="20">
        <f>IF($A253="","",IFERROR(_xlfn.XLOOKUP($A253,Table1[Item],Table1[Current Stock]),"Missing"))</f>
        <v>0</v>
      </c>
      <c r="D253" s="20">
        <f t="shared" si="9"/>
        <v>0</v>
      </c>
      <c r="E253" s="21">
        <f>IF($A253="","",IFERROR(_xlfn.XLOOKUP($A253,'System Generated 2026-08-24'!$A:$A,'System Generated 2026-08-24'!$E:$E),"Missing"))</f>
        <v>0</v>
      </c>
      <c r="F253" s="21">
        <f>IF($A253="","",IFERROR(_xlfn.XLOOKUP($A253,Table1[Item],Table1[Total (₹)]),"Missing"))</f>
        <v>0</v>
      </c>
      <c r="G253" s="21">
        <f t="shared" si="10"/>
        <v>0</v>
      </c>
      <c r="H253" t="str">
        <f t="shared" si="11"/>
        <v>Match</v>
      </c>
      <c r="K253" t="str">
        <f>'System Generated 2026-08-24'!A253</f>
        <v>Oregano 500gm</v>
      </c>
    </row>
    <row r="254" spans="1:11" x14ac:dyDescent="0.25">
      <c r="A254" t="str">
        <v>Marodride</v>
      </c>
      <c r="B254" s="20" t="str">
        <f>IF($A254="","",IFERROR(_xlfn.XLOOKUP($A254,'System Generated 2026-08-24'!$A:$A,'System Generated 2026-08-24'!$B:$B),"Missing"))</f>
        <v>Missing</v>
      </c>
      <c r="C254" s="20">
        <f>IF($A254="","",IFERROR(_xlfn.XLOOKUP($A254,Table1[Item],Table1[Current Stock]),"Missing"))</f>
        <v>0</v>
      </c>
      <c r="D254" s="20" t="str">
        <f t="shared" si="9"/>
        <v>N/A</v>
      </c>
      <c r="E254" s="21" t="str">
        <f>IF($A254="","",IFERROR(_xlfn.XLOOKUP($A254,'System Generated 2026-08-24'!$A:$A,'System Generated 2026-08-24'!$E:$E),"Missing"))</f>
        <v>Missing</v>
      </c>
      <c r="F254" s="21">
        <f>IF($A254="","",IFERROR(_xlfn.XLOOKUP($A254,Table1[Item],Table1[Total (₹)]),"Missing"))</f>
        <v>0</v>
      </c>
      <c r="G254" s="21" t="str">
        <f t="shared" si="10"/>
        <v>N/A</v>
      </c>
      <c r="H254" t="str">
        <f t="shared" si="11"/>
        <v>Missing in App</v>
      </c>
      <c r="K254" t="str">
        <f>'System Generated 2026-08-24'!A254</f>
        <v>Oregano Sachet</v>
      </c>
    </row>
    <row r="255" spans="1:11" hidden="1" x14ac:dyDescent="0.25">
      <c r="A255" t="str">
        <v>Mask</v>
      </c>
      <c r="B255" s="20">
        <f>IF($A255="","",IFERROR(_xlfn.XLOOKUP($A255,'System Generated 2026-08-24'!$A:$A,'System Generated 2026-08-24'!$B:$B),"Missing"))</f>
        <v>40</v>
      </c>
      <c r="C255" s="20">
        <f>IF($A255="","",IFERROR(_xlfn.XLOOKUP($A255,Table1[Item],Table1[Current Stock]),"Missing"))</f>
        <v>40</v>
      </c>
      <c r="D255" s="20">
        <f t="shared" si="9"/>
        <v>0</v>
      </c>
      <c r="E255" s="21">
        <f>IF($A255="","",IFERROR(_xlfn.XLOOKUP($A255,'System Generated 2026-08-24'!$A:$A,'System Generated 2026-08-24'!$E:$E),"Missing"))</f>
        <v>160</v>
      </c>
      <c r="F255" s="21">
        <f>IF($A255="","",IFERROR(_xlfn.XLOOKUP($A255,Table1[Item],Table1[Total (₹)]),"Missing"))</f>
        <v>160</v>
      </c>
      <c r="G255" s="21">
        <f t="shared" si="10"/>
        <v>0</v>
      </c>
      <c r="H255" t="str">
        <f t="shared" si="11"/>
        <v>Match</v>
      </c>
      <c r="K255" t="str">
        <f>'System Generated 2026-08-24'!A255</f>
        <v>Oreo Biscuits</v>
      </c>
    </row>
    <row r="256" spans="1:11" hidden="1" x14ac:dyDescent="0.25">
      <c r="A256" t="str">
        <v>Masoor Dal</v>
      </c>
      <c r="B256" s="20">
        <f>IF($A256="","",IFERROR(_xlfn.XLOOKUP($A256,'System Generated 2026-08-24'!$A:$A,'System Generated 2026-08-24'!$B:$B),"Missing"))</f>
        <v>21.5</v>
      </c>
      <c r="C256" s="20">
        <f>IF($A256="","",IFERROR(_xlfn.XLOOKUP($A256,Table1[Item],Table1[Current Stock]),"Missing"))</f>
        <v>21.5</v>
      </c>
      <c r="D256" s="20">
        <f t="shared" si="9"/>
        <v>0</v>
      </c>
      <c r="E256" s="21">
        <f>IF($A256="","",IFERROR(_xlfn.XLOOKUP($A256,'System Generated 2026-08-24'!$A:$A,'System Generated 2026-08-24'!$E:$E),"Missing"))</f>
        <v>1763</v>
      </c>
      <c r="F256" s="21">
        <f>IF($A256="","",IFERROR(_xlfn.XLOOKUP($A256,Table1[Item],Table1[Total (₹)]),"Missing"))</f>
        <v>1763</v>
      </c>
      <c r="G256" s="21">
        <f t="shared" si="10"/>
        <v>0</v>
      </c>
      <c r="H256" t="str">
        <f t="shared" si="11"/>
        <v>Match</v>
      </c>
      <c r="K256" t="str">
        <f>'System Generated 2026-08-24'!A256</f>
        <v>Original Mint Mojitho</v>
      </c>
    </row>
    <row r="257" spans="1:11" hidden="1" x14ac:dyDescent="0.25">
      <c r="A257" t="str">
        <v>Mayonnaise</v>
      </c>
      <c r="B257" s="20">
        <f>IF($A257="","",IFERROR(_xlfn.XLOOKUP($A257,'System Generated 2026-08-24'!$A:$A,'System Generated 2026-08-24'!$B:$B),"Missing"))</f>
        <v>9</v>
      </c>
      <c r="C257" s="20">
        <f>IF($A257="","",IFERROR(_xlfn.XLOOKUP($A257,Table1[Item],Table1[Current Stock]),"Missing"))</f>
        <v>9</v>
      </c>
      <c r="D257" s="20">
        <f t="shared" si="9"/>
        <v>0</v>
      </c>
      <c r="E257" s="21">
        <f>IF($A257="","",IFERROR(_xlfn.XLOOKUP($A257,'System Generated 2026-08-24'!$A:$A,'System Generated 2026-08-24'!$E:$E),"Missing"))</f>
        <v>1145</v>
      </c>
      <c r="F257" s="21">
        <f>IF($A257="","",IFERROR(_xlfn.XLOOKUP($A257,Table1[Item],Table1[Total (₹)]),"Missing"))</f>
        <v>1144.998</v>
      </c>
      <c r="G257" s="21">
        <f t="shared" si="10"/>
        <v>1.9999999999527063E-3</v>
      </c>
      <c r="H257" t="str">
        <f t="shared" si="11"/>
        <v>Match</v>
      </c>
      <c r="K257" t="str">
        <f>'System Generated 2026-08-24'!A257</f>
        <v>Palak</v>
      </c>
    </row>
    <row r="258" spans="1:11" hidden="1" x14ac:dyDescent="0.25">
      <c r="A258" t="str">
        <v>Meal Maker</v>
      </c>
      <c r="B258" s="20">
        <f>IF($A258="","",IFERROR(_xlfn.XLOOKUP($A258,'System Generated 2026-08-24'!$A:$A,'System Generated 2026-08-24'!$B:$B),"Missing"))</f>
        <v>4</v>
      </c>
      <c r="C258" s="20">
        <f>IF($A258="","",IFERROR(_xlfn.XLOOKUP($A258,Table1[Item],Table1[Current Stock]),"Missing"))</f>
        <v>4</v>
      </c>
      <c r="D258" s="20">
        <f t="shared" si="9"/>
        <v>0</v>
      </c>
      <c r="E258" s="21">
        <f>IF($A258="","",IFERROR(_xlfn.XLOOKUP($A258,'System Generated 2026-08-24'!$A:$A,'System Generated 2026-08-24'!$E:$E),"Missing"))</f>
        <v>369.11</v>
      </c>
      <c r="F258" s="21">
        <f>IF($A258="","",IFERROR(_xlfn.XLOOKUP($A258,Table1[Item],Table1[Total (₹)]),"Missing"))</f>
        <v>369.11099999999999</v>
      </c>
      <c r="G258" s="21">
        <f t="shared" si="10"/>
        <v>-9.9999999997635314E-4</v>
      </c>
      <c r="H258" t="str">
        <f t="shared" si="11"/>
        <v>Match</v>
      </c>
      <c r="K258" t="str">
        <f>'System Generated 2026-08-24'!A258</f>
        <v>Pally Chutney</v>
      </c>
    </row>
    <row r="259" spans="1:11" hidden="1" x14ac:dyDescent="0.25">
      <c r="A259" t="str">
        <v>Meal Maker Keema</v>
      </c>
      <c r="B259" s="20">
        <f>IF($A259="","",IFERROR(_xlfn.XLOOKUP($A259,'System Generated 2026-08-24'!$A:$A,'System Generated 2026-08-24'!$B:$B),"Missing"))</f>
        <v>5</v>
      </c>
      <c r="C259" s="20">
        <f>IF($A259="","",IFERROR(_xlfn.XLOOKUP($A259,Table1[Item],Table1[Current Stock]),"Missing"))</f>
        <v>5</v>
      </c>
      <c r="D259" s="20">
        <f t="shared" ref="D259:D322" si="12">IF($A259="","",IF(OR(B259="Missing",C259="Missing"),"N/A",B259-C259))</f>
        <v>0</v>
      </c>
      <c r="E259" s="21">
        <f>IF($A259="","",IFERROR(_xlfn.XLOOKUP($A259,'System Generated 2026-08-24'!$A:$A,'System Generated 2026-08-24'!$E:$E),"Missing"))</f>
        <v>721.18</v>
      </c>
      <c r="F259" s="21">
        <f>IF($A259="","",IFERROR(_xlfn.XLOOKUP($A259,Table1[Item],Table1[Total (₹)]),"Missing"))</f>
        <v>721.17499999999995</v>
      </c>
      <c r="G259" s="21">
        <f t="shared" ref="G259:G322" si="13">IF($A259="","",IF(OR(E259="Missing",F259="Missing"),"N/A",E259-F259))</f>
        <v>4.9999999999954525E-3</v>
      </c>
      <c r="H259" t="str">
        <f t="shared" ref="H259:H322" si="14">IF($A259="","",IF(B259="Missing","Missing in App",IF(C259="Missing","Missing in Hotel Data",IF(D259=0,"Match","Discrepancy"))))</f>
        <v>Match</v>
      </c>
      <c r="K259" t="str">
        <f>'System Generated 2026-08-24'!A259</f>
        <v>Palm Oil</v>
      </c>
    </row>
    <row r="260" spans="1:11" x14ac:dyDescent="0.25">
      <c r="A260" t="str">
        <v>Mental</v>
      </c>
      <c r="B260" s="20" t="str">
        <f>IF($A260="","",IFERROR(_xlfn.XLOOKUP($A260,'System Generated 2026-08-24'!$A:$A,'System Generated 2026-08-24'!$B:$B),"Missing"))</f>
        <v>Missing</v>
      </c>
      <c r="C260" s="20">
        <f>IF($A260="","",IFERROR(_xlfn.XLOOKUP($A260,Table1[Item],Table1[Current Stock]),"Missing"))</f>
        <v>0</v>
      </c>
      <c r="D260" s="20" t="str">
        <f t="shared" si="12"/>
        <v>N/A</v>
      </c>
      <c r="E260" s="21" t="str">
        <f>IF($A260="","",IFERROR(_xlfn.XLOOKUP($A260,'System Generated 2026-08-24'!$A:$A,'System Generated 2026-08-24'!$E:$E),"Missing"))</f>
        <v>Missing</v>
      </c>
      <c r="F260" s="21">
        <f>IF($A260="","",IFERROR(_xlfn.XLOOKUP($A260,Table1[Item],Table1[Total (₹)]),"Missing"))</f>
        <v>0</v>
      </c>
      <c r="G260" s="21" t="str">
        <f t="shared" si="13"/>
        <v>N/A</v>
      </c>
      <c r="H260" t="str">
        <f t="shared" si="14"/>
        <v>Missing in App</v>
      </c>
      <c r="K260" t="str">
        <f>'System Generated 2026-08-24'!A260</f>
        <v>Paneer</v>
      </c>
    </row>
    <row r="261" spans="1:11" hidden="1" x14ac:dyDescent="0.25">
      <c r="A261" t="str">
        <v>Mentulu</v>
      </c>
      <c r="B261" s="20">
        <f>IF($A261="","",IFERROR(_xlfn.XLOOKUP($A261,'System Generated 2026-08-24'!$A:$A,'System Generated 2026-08-24'!$B:$B),"Missing"))</f>
        <v>2.4500000000000002</v>
      </c>
      <c r="C261" s="20">
        <f>IF($A261="","",IFERROR(_xlfn.XLOOKUP($A261,Table1[Item],Table1[Current Stock]),"Missing"))</f>
        <v>2.4500000000000002</v>
      </c>
      <c r="D261" s="20">
        <f t="shared" si="12"/>
        <v>0</v>
      </c>
      <c r="E261" s="21">
        <f>IF($A261="","",IFERROR(_xlfn.XLOOKUP($A261,'System Generated 2026-08-24'!$A:$A,'System Generated 2026-08-24'!$E:$E),"Missing"))</f>
        <v>373.33</v>
      </c>
      <c r="F261" s="21">
        <f>IF($A261="","",IFERROR(_xlfn.XLOOKUP($A261,Table1[Item],Table1[Total (₹)]),"Missing"))</f>
        <v>373.33100000000002</v>
      </c>
      <c r="G261" s="21">
        <f t="shared" si="13"/>
        <v>-1.0000000000331966E-3</v>
      </c>
      <c r="H261" t="str">
        <f t="shared" si="14"/>
        <v>Match</v>
      </c>
      <c r="K261" t="str">
        <f>'System Generated 2026-08-24'!A261</f>
        <v>Paneer Momos</v>
      </c>
    </row>
    <row r="262" spans="1:11" hidden="1" x14ac:dyDescent="0.25">
      <c r="A262" t="str">
        <v>Methi</v>
      </c>
      <c r="B262" s="20">
        <f>IF($A262="","",IFERROR(_xlfn.XLOOKUP($A262,'System Generated 2026-08-24'!$A:$A,'System Generated 2026-08-24'!$B:$B),"Missing"))</f>
        <v>5</v>
      </c>
      <c r="C262" s="20" t="str">
        <f>IF($A262="","",IFERROR(_xlfn.XLOOKUP($A262,Table1[Item],Table1[Current Stock]),"Missing"))</f>
        <v>Missing</v>
      </c>
      <c r="D262" s="20" t="str">
        <f t="shared" si="12"/>
        <v>N/A</v>
      </c>
      <c r="E262" s="21">
        <f>IF($A262="","",IFERROR(_xlfn.XLOOKUP($A262,'System Generated 2026-08-24'!$A:$A,'System Generated 2026-08-24'!$E:$E),"Missing"))</f>
        <v>0</v>
      </c>
      <c r="F262" s="21" t="str">
        <f>IF($A262="","",IFERROR(_xlfn.XLOOKUP($A262,Table1[Item],Table1[Total (₹)]),"Missing"))</f>
        <v>Missing</v>
      </c>
      <c r="G262" s="21" t="str">
        <f t="shared" si="13"/>
        <v>N/A</v>
      </c>
      <c r="H262" t="str">
        <f t="shared" si="14"/>
        <v>Missing in Hotel Data</v>
      </c>
      <c r="K262" t="str">
        <f>'System Generated 2026-08-24'!A262</f>
        <v>Papad</v>
      </c>
    </row>
    <row r="263" spans="1:11" hidden="1" x14ac:dyDescent="0.25">
      <c r="A263" t="str">
        <v>Milk</v>
      </c>
      <c r="B263" s="20">
        <f>IF($A263="","",IFERROR(_xlfn.XLOOKUP($A263,'System Generated 2026-08-24'!$A:$A,'System Generated 2026-08-24'!$B:$B),"Missing"))</f>
        <v>4.5</v>
      </c>
      <c r="C263" s="20">
        <f>IF($A263="","",IFERROR(_xlfn.XLOOKUP($A263,Table1[Item],Table1[Current Stock]),"Missing"))</f>
        <v>4.5</v>
      </c>
      <c r="D263" s="20">
        <f t="shared" si="12"/>
        <v>0</v>
      </c>
      <c r="E263" s="21">
        <f>IF($A263="","",IFERROR(_xlfn.XLOOKUP($A263,'System Generated 2026-08-24'!$A:$A,'System Generated 2026-08-24'!$E:$E),"Missing"))</f>
        <v>247.88</v>
      </c>
      <c r="F263" s="21">
        <f>IF($A263="","",IFERROR(_xlfn.XLOOKUP($A263,Table1[Item],Table1[Total (₹)]),"Missing"))</f>
        <v>247.88</v>
      </c>
      <c r="G263" s="21">
        <f t="shared" si="13"/>
        <v>0</v>
      </c>
      <c r="H263" t="str">
        <f t="shared" si="14"/>
        <v>Match</v>
      </c>
      <c r="K263" t="str">
        <f>'System Generated 2026-08-24'!A263</f>
        <v>Paper Rolls</v>
      </c>
    </row>
    <row r="264" spans="1:11" hidden="1" x14ac:dyDescent="0.25">
      <c r="A264" t="str">
        <v>Milk Maid</v>
      </c>
      <c r="B264" s="20">
        <f>IF($A264="","",IFERROR(_xlfn.XLOOKUP($A264,'System Generated 2026-08-24'!$A:$A,'System Generated 2026-08-24'!$B:$B),"Missing"))</f>
        <v>2</v>
      </c>
      <c r="C264" s="20">
        <f>IF($A264="","",IFERROR(_xlfn.XLOOKUP($A264,Table1[Item],Table1[Current Stock]),"Missing"))</f>
        <v>2</v>
      </c>
      <c r="D264" s="20">
        <f t="shared" si="12"/>
        <v>0</v>
      </c>
      <c r="E264" s="21">
        <f>IF($A264="","",IFERROR(_xlfn.XLOOKUP($A264,'System Generated 2026-08-24'!$A:$A,'System Generated 2026-08-24'!$E:$E),"Missing"))</f>
        <v>272</v>
      </c>
      <c r="F264" s="21">
        <f>IF($A264="","",IFERROR(_xlfn.XLOOKUP($A264,Table1[Item],Table1[Total (₹)]),"Missing"))</f>
        <v>272</v>
      </c>
      <c r="G264" s="21">
        <f t="shared" si="13"/>
        <v>0</v>
      </c>
      <c r="H264" t="str">
        <f t="shared" si="14"/>
        <v>Match</v>
      </c>
      <c r="K264" t="str">
        <f>'System Generated 2026-08-24'!A264</f>
        <v>Parcel Covers 4*6</v>
      </c>
    </row>
    <row r="265" spans="1:11" x14ac:dyDescent="0.25">
      <c r="A265" t="str">
        <v>Milk Powder</v>
      </c>
      <c r="B265" s="20" t="str">
        <f>IF($A265="","",IFERROR(_xlfn.XLOOKUP($A265,'System Generated 2026-08-24'!$A:$A,'System Generated 2026-08-24'!$B:$B),"Missing"))</f>
        <v>Missing</v>
      </c>
      <c r="C265" s="20">
        <f>IF($A265="","",IFERROR(_xlfn.XLOOKUP($A265,Table1[Item],Table1[Current Stock]),"Missing"))</f>
        <v>0</v>
      </c>
      <c r="D265" s="20" t="str">
        <f t="shared" si="12"/>
        <v>N/A</v>
      </c>
      <c r="E265" s="21" t="str">
        <f>IF($A265="","",IFERROR(_xlfn.XLOOKUP($A265,'System Generated 2026-08-24'!$A:$A,'System Generated 2026-08-24'!$E:$E),"Missing"))</f>
        <v>Missing</v>
      </c>
      <c r="F265" s="21">
        <f>IF($A265="","",IFERROR(_xlfn.XLOOKUP($A265,Table1[Item],Table1[Total (₹)]),"Missing"))</f>
        <v>0</v>
      </c>
      <c r="G265" s="21" t="str">
        <f t="shared" si="13"/>
        <v>N/A</v>
      </c>
      <c r="H265" t="str">
        <f t="shared" si="14"/>
        <v>Missing in App</v>
      </c>
      <c r="K265" t="str">
        <f>'System Generated 2026-08-24'!A265</f>
        <v>Parcel Covers 5*8</v>
      </c>
    </row>
    <row r="266" spans="1:11" hidden="1" x14ac:dyDescent="0.25">
      <c r="A266" t="str">
        <v>Moistirizer 20ml</v>
      </c>
      <c r="B266" s="20">
        <f>IF($A266="","",IFERROR(_xlfn.XLOOKUP($A266,'System Generated 2026-08-24'!$A:$A,'System Generated 2026-08-24'!$B:$B),"Missing"))</f>
        <v>561</v>
      </c>
      <c r="C266" s="20">
        <f>IF($A266="","",IFERROR(_xlfn.XLOOKUP($A266,Table1[Item],Table1[Current Stock]),"Missing"))</f>
        <v>561</v>
      </c>
      <c r="D266" s="20">
        <f t="shared" si="12"/>
        <v>0</v>
      </c>
      <c r="E266" s="21">
        <f>IF($A266="","",IFERROR(_xlfn.XLOOKUP($A266,'System Generated 2026-08-24'!$A:$A,'System Generated 2026-08-24'!$E:$E),"Missing"))</f>
        <v>0</v>
      </c>
      <c r="F266" s="21">
        <f>IF($A266="","",IFERROR(_xlfn.XLOOKUP($A266,Table1[Item],Table1[Total (₹)]),"Missing"))</f>
        <v>0</v>
      </c>
      <c r="G266" s="21">
        <f t="shared" si="13"/>
        <v>0</v>
      </c>
      <c r="H266" t="str">
        <f t="shared" si="14"/>
        <v>Match</v>
      </c>
      <c r="K266" t="str">
        <f>'System Generated 2026-08-24'!A266</f>
        <v>Parcel Covers 6*9</v>
      </c>
    </row>
    <row r="267" spans="1:11" hidden="1" x14ac:dyDescent="0.25">
      <c r="A267" t="str">
        <v>Moong Dal</v>
      </c>
      <c r="B267" s="20">
        <f>IF($A267="","",IFERROR(_xlfn.XLOOKUP($A267,'System Generated 2026-08-24'!$A:$A,'System Generated 2026-08-24'!$B:$B),"Missing"))</f>
        <v>40.6</v>
      </c>
      <c r="C267" s="20">
        <f>IF($A267="","",IFERROR(_xlfn.XLOOKUP($A267,Table1[Item],Table1[Current Stock]),"Missing"))</f>
        <v>40.6</v>
      </c>
      <c r="D267" s="20">
        <f t="shared" si="12"/>
        <v>0</v>
      </c>
      <c r="E267" s="21">
        <f>IF($A267="","",IFERROR(_xlfn.XLOOKUP($A267,'System Generated 2026-08-24'!$A:$A,'System Generated 2026-08-24'!$E:$E),"Missing"))</f>
        <v>3799</v>
      </c>
      <c r="F267" s="21">
        <f>IF($A267="","",IFERROR(_xlfn.XLOOKUP($A267,Table1[Item],Table1[Total (₹)]),"Missing"))</f>
        <v>3798.9989999999998</v>
      </c>
      <c r="G267" s="21">
        <f t="shared" si="13"/>
        <v>1.0000000002037268E-3</v>
      </c>
      <c r="H267" t="str">
        <f t="shared" si="14"/>
        <v>Match</v>
      </c>
      <c r="K267" t="str">
        <f>'System Generated 2026-08-24'!A267</f>
        <v>Party Chicken</v>
      </c>
    </row>
    <row r="268" spans="1:11" hidden="1" x14ac:dyDescent="0.25">
      <c r="A268" t="str">
        <v>Mops</v>
      </c>
      <c r="B268" s="20">
        <f>IF($A268="","",IFERROR(_xlfn.XLOOKUP($A268,'System Generated 2026-08-24'!$A:$A,'System Generated 2026-08-24'!$B:$B),"Missing"))</f>
        <v>5</v>
      </c>
      <c r="C268" s="20">
        <f>IF($A268="","",IFERROR(_xlfn.XLOOKUP($A268,Table1[Item],Table1[Current Stock]),"Missing"))</f>
        <v>5</v>
      </c>
      <c r="D268" s="20">
        <f t="shared" si="12"/>
        <v>0</v>
      </c>
      <c r="E268" s="21">
        <f>IF($A268="","",IFERROR(_xlfn.XLOOKUP($A268,'System Generated 2026-08-24'!$A:$A,'System Generated 2026-08-24'!$E:$E),"Missing"))</f>
        <v>604.35</v>
      </c>
      <c r="F268" s="21">
        <f>IF($A268="","",IFERROR(_xlfn.XLOOKUP($A268,Table1[Item],Table1[Total (₹)]),"Missing"))</f>
        <v>604.35</v>
      </c>
      <c r="G268" s="21">
        <f t="shared" si="13"/>
        <v>0</v>
      </c>
      <c r="H268" t="str">
        <f t="shared" si="14"/>
        <v>Match</v>
      </c>
      <c r="K268" t="str">
        <f>'System Generated 2026-08-24'!A268</f>
        <v>Pasta</v>
      </c>
    </row>
    <row r="269" spans="1:11" hidden="1" x14ac:dyDescent="0.25">
      <c r="A269" t="str">
        <v>Mosambi</v>
      </c>
      <c r="B269" s="20">
        <f>IF($A269="","",IFERROR(_xlfn.XLOOKUP($A269,'System Generated 2026-08-24'!$A:$A,'System Generated 2026-08-24'!$B:$B),"Missing"))</f>
        <v>1</v>
      </c>
      <c r="C269" s="20">
        <f>IF($A269="","",IFERROR(_xlfn.XLOOKUP($A269,Table1[Item],Table1[Current Stock]),"Missing"))</f>
        <v>1</v>
      </c>
      <c r="D269" s="20">
        <f t="shared" si="12"/>
        <v>0</v>
      </c>
      <c r="E269" s="21">
        <f>IF($A269="","",IFERROR(_xlfn.XLOOKUP($A269,'System Generated 2026-08-24'!$A:$A,'System Generated 2026-08-24'!$E:$E),"Missing"))</f>
        <v>113.11</v>
      </c>
      <c r="F269" s="21">
        <f>IF($A269="","",IFERROR(_xlfn.XLOOKUP($A269,Table1[Item],Table1[Total (₹)]),"Missing"))</f>
        <v>113.111</v>
      </c>
      <c r="G269" s="21">
        <f t="shared" si="13"/>
        <v>-1.0000000000047748E-3</v>
      </c>
      <c r="H269" t="str">
        <f t="shared" si="14"/>
        <v>Match</v>
      </c>
      <c r="K269" t="str">
        <f>'System Generated 2026-08-24'!A269</f>
        <v>Pather Pool</v>
      </c>
    </row>
    <row r="270" spans="1:11" hidden="1" x14ac:dyDescent="0.25">
      <c r="A270" t="str">
        <v>Mosquito Coil</v>
      </c>
      <c r="B270" s="20">
        <f>IF($A270="","",IFERROR(_xlfn.XLOOKUP($A270,'System Generated 2026-08-24'!$A:$A,'System Generated 2026-08-24'!$B:$B),"Missing"))</f>
        <v>0</v>
      </c>
      <c r="C270" s="20">
        <f>IF($A270="","",IFERROR(_xlfn.XLOOKUP($A270,Table1[Item],Table1[Current Stock]),"Missing"))</f>
        <v>0</v>
      </c>
      <c r="D270" s="20">
        <f t="shared" si="12"/>
        <v>0</v>
      </c>
      <c r="E270" s="21">
        <f>IF($A270="","",IFERROR(_xlfn.XLOOKUP($A270,'System Generated 2026-08-24'!$A:$A,'System Generated 2026-08-24'!$E:$E),"Missing"))</f>
        <v>0</v>
      </c>
      <c r="F270" s="21">
        <f>IF($A270="","",IFERROR(_xlfn.XLOOKUP($A270,Table1[Item],Table1[Total (₹)]),"Missing"))</f>
        <v>0</v>
      </c>
      <c r="G270" s="21">
        <f t="shared" si="13"/>
        <v>0</v>
      </c>
      <c r="H270" t="str">
        <f t="shared" si="14"/>
        <v>Match</v>
      </c>
      <c r="K270" t="str">
        <f>'System Generated 2026-08-24'!A270</f>
        <v>Pav</v>
      </c>
    </row>
    <row r="271" spans="1:11" hidden="1" x14ac:dyDescent="0.25">
      <c r="A271" t="str">
        <v>Mote</v>
      </c>
      <c r="B271" s="20">
        <f>IF($A271="","",IFERROR(_xlfn.XLOOKUP($A271,'System Generated 2026-08-24'!$A:$A,'System Generated 2026-08-24'!$B:$B),"Missing"))</f>
        <v>4</v>
      </c>
      <c r="C271" s="20">
        <f>IF($A271="","",IFERROR(_xlfn.XLOOKUP($A271,Table1[Item],Table1[Current Stock]),"Missing"))</f>
        <v>4</v>
      </c>
      <c r="D271" s="20">
        <f t="shared" si="12"/>
        <v>0</v>
      </c>
      <c r="E271" s="21">
        <f>IF($A271="","",IFERROR(_xlfn.XLOOKUP($A271,'System Generated 2026-08-24'!$A:$A,'System Generated 2026-08-24'!$E:$E),"Missing"))</f>
        <v>404</v>
      </c>
      <c r="F271" s="21">
        <f>IF($A271="","",IFERROR(_xlfn.XLOOKUP($A271,Table1[Item],Table1[Total (₹)]),"Missing"))</f>
        <v>404</v>
      </c>
      <c r="G271" s="21">
        <f t="shared" si="13"/>
        <v>0</v>
      </c>
      <c r="H271" t="str">
        <f t="shared" si="14"/>
        <v>Match</v>
      </c>
      <c r="K271" t="str">
        <f>'System Generated 2026-08-24'!A271</f>
        <v>Pavbaji Masala</v>
      </c>
    </row>
    <row r="272" spans="1:11" hidden="1" x14ac:dyDescent="0.25">
      <c r="A272" t="str">
        <v>Mozzarella Cheese</v>
      </c>
      <c r="B272" s="20">
        <f>IF($A272="","",IFERROR(_xlfn.XLOOKUP($A272,'System Generated 2026-08-24'!$A:$A,'System Generated 2026-08-24'!$B:$B),"Missing"))</f>
        <v>2</v>
      </c>
      <c r="C272" s="20">
        <f>IF($A272="","",IFERROR(_xlfn.XLOOKUP($A272,Table1[Item],Table1[Current Stock]),"Missing"))</f>
        <v>2</v>
      </c>
      <c r="D272" s="20">
        <f t="shared" si="12"/>
        <v>0</v>
      </c>
      <c r="E272" s="21">
        <f>IF($A272="","",IFERROR(_xlfn.XLOOKUP($A272,'System Generated 2026-08-24'!$A:$A,'System Generated 2026-08-24'!$E:$E),"Missing"))</f>
        <v>835.31</v>
      </c>
      <c r="F272" s="21">
        <f>IF($A272="","",IFERROR(_xlfn.XLOOKUP($A272,Table1[Item],Table1[Total (₹)]),"Missing"))</f>
        <v>835.30600000000004</v>
      </c>
      <c r="G272" s="21">
        <f t="shared" si="13"/>
        <v>3.9999999999054126E-3</v>
      </c>
      <c r="H272" t="str">
        <f t="shared" si="14"/>
        <v>Match</v>
      </c>
      <c r="K272" t="str">
        <f>'System Generated 2026-08-24'!A272</f>
        <v>Pepper</v>
      </c>
    </row>
    <row r="273" spans="1:11" hidden="1" x14ac:dyDescent="0.25">
      <c r="A273" t="str">
        <v>Mtr Sambar Powder</v>
      </c>
      <c r="B273" s="20">
        <f>IF($A273="","",IFERROR(_xlfn.XLOOKUP($A273,'System Generated 2026-08-24'!$A:$A,'System Generated 2026-08-24'!$B:$B),"Missing"))</f>
        <v>11</v>
      </c>
      <c r="C273" s="20">
        <f>IF($A273="","",IFERROR(_xlfn.XLOOKUP($A273,Table1[Item],Table1[Current Stock]),"Missing"))</f>
        <v>11</v>
      </c>
      <c r="D273" s="20">
        <f t="shared" si="12"/>
        <v>0</v>
      </c>
      <c r="E273" s="21">
        <f>IF($A273="","",IFERROR(_xlfn.XLOOKUP($A273,'System Generated 2026-08-24'!$A:$A,'System Generated 2026-08-24'!$E:$E),"Missing"))</f>
        <v>1633.15</v>
      </c>
      <c r="F273" s="21">
        <f>IF($A273="","",IFERROR(_xlfn.XLOOKUP($A273,Table1[Item],Table1[Total (₹)]),"Missing"))</f>
        <v>1633.1479999999999</v>
      </c>
      <c r="G273" s="21">
        <f t="shared" si="13"/>
        <v>2.00000000018008E-3</v>
      </c>
      <c r="H273" t="str">
        <f t="shared" si="14"/>
        <v>Match</v>
      </c>
      <c r="K273" t="str">
        <f>'System Generated 2026-08-24'!A273</f>
        <v>Peri Peri</v>
      </c>
    </row>
    <row r="274" spans="1:11" hidden="1" x14ac:dyDescent="0.25">
      <c r="A274" t="str">
        <v>Munakkaya</v>
      </c>
      <c r="B274" s="20">
        <f>IF($A274="","",IFERROR(_xlfn.XLOOKUP($A274,'System Generated 2026-08-24'!$A:$A,'System Generated 2026-08-24'!$B:$B),"Missing"))</f>
        <v>4.3999996000000001</v>
      </c>
      <c r="C274" s="20" t="str">
        <f>IF($A274="","",IFERROR(_xlfn.XLOOKUP($A274,Table1[Item],Table1[Current Stock]),"Missing"))</f>
        <v>Missing</v>
      </c>
      <c r="D274" s="20" t="str">
        <f t="shared" si="12"/>
        <v>N/A</v>
      </c>
      <c r="E274" s="21">
        <f>IF($A274="","",IFERROR(_xlfn.XLOOKUP($A274,'System Generated 2026-08-24'!$A:$A,'System Generated 2026-08-24'!$E:$E),"Missing"))</f>
        <v>264</v>
      </c>
      <c r="F274" s="21" t="str">
        <f>IF($A274="","",IFERROR(_xlfn.XLOOKUP($A274,Table1[Item],Table1[Total (₹)]),"Missing"))</f>
        <v>Missing</v>
      </c>
      <c r="G274" s="21" t="str">
        <f t="shared" si="13"/>
        <v>N/A</v>
      </c>
      <c r="H274" t="str">
        <f t="shared" si="14"/>
        <v>Missing in Hotel Data</v>
      </c>
      <c r="K274" t="str">
        <f>'System Generated 2026-08-24'!A274</f>
        <v>Pesarlu</v>
      </c>
    </row>
    <row r="275" spans="1:11" x14ac:dyDescent="0.25">
      <c r="A275" t="str">
        <v>Munigekaya</v>
      </c>
      <c r="B275" s="20" t="str">
        <f>IF($A275="","",IFERROR(_xlfn.XLOOKUP($A275,'System Generated 2026-08-24'!$A:$A,'System Generated 2026-08-24'!$B:$B),"Missing"))</f>
        <v>Missing</v>
      </c>
      <c r="C275" s="20">
        <f>IF($A275="","",IFERROR(_xlfn.XLOOKUP($A275,Table1[Item],Table1[Current Stock]),"Missing"))</f>
        <v>2.4</v>
      </c>
      <c r="D275" s="20" t="str">
        <f t="shared" si="12"/>
        <v>N/A</v>
      </c>
      <c r="E275" s="21" t="str">
        <f>IF($A275="","",IFERROR(_xlfn.XLOOKUP($A275,'System Generated 2026-08-24'!$A:$A,'System Generated 2026-08-24'!$E:$E),"Missing"))</f>
        <v>Missing</v>
      </c>
      <c r="F275" s="21">
        <f>IF($A275="","",IFERROR(_xlfn.XLOOKUP($A275,Table1[Item],Table1[Total (₹)]),"Missing"))</f>
        <v>144</v>
      </c>
      <c r="G275" s="21" t="str">
        <f t="shared" si="13"/>
        <v>N/A</v>
      </c>
      <c r="H275" t="str">
        <f t="shared" si="14"/>
        <v>Missing in App</v>
      </c>
      <c r="K275" t="str">
        <f>'System Generated 2026-08-24'!A275</f>
        <v>Pillow Covers</v>
      </c>
    </row>
    <row r="276" spans="1:11" x14ac:dyDescent="0.25">
      <c r="A276" t="str">
        <v>Muottn Keema</v>
      </c>
      <c r="B276" s="20" t="str">
        <f>IF($A276="","",IFERROR(_xlfn.XLOOKUP($A276,'System Generated 2026-08-24'!$A:$A,'System Generated 2026-08-24'!$B:$B),"Missing"))</f>
        <v>Missing</v>
      </c>
      <c r="C276" s="20">
        <f>IF($A276="","",IFERROR(_xlfn.XLOOKUP($A276,Table1[Item],Table1[Current Stock]),"Missing"))</f>
        <v>0</v>
      </c>
      <c r="D276" s="20" t="str">
        <f t="shared" si="12"/>
        <v>N/A</v>
      </c>
      <c r="E276" s="21" t="str">
        <f>IF($A276="","",IFERROR(_xlfn.XLOOKUP($A276,'System Generated 2026-08-24'!$A:$A,'System Generated 2026-08-24'!$E:$E),"Missing"))</f>
        <v>Missing</v>
      </c>
      <c r="F276" s="21">
        <f>IF($A276="","",IFERROR(_xlfn.XLOOKUP($A276,Table1[Item],Table1[Total (₹)]),"Missing"))</f>
        <v>0</v>
      </c>
      <c r="G276" s="21" t="str">
        <f t="shared" si="13"/>
        <v>N/A</v>
      </c>
      <c r="H276" t="str">
        <f t="shared" si="14"/>
        <v>Missing in App</v>
      </c>
      <c r="K276" t="str">
        <f>'System Generated 2026-08-24'!A276</f>
        <v>Pineapple</v>
      </c>
    </row>
    <row r="277" spans="1:11" hidden="1" x14ac:dyDescent="0.25">
      <c r="A277" t="str">
        <v>Murmura</v>
      </c>
      <c r="B277" s="20">
        <f>IF($A277="","",IFERROR(_xlfn.XLOOKUP($A277,'System Generated 2026-08-24'!$A:$A,'System Generated 2026-08-24'!$B:$B),"Missing"))</f>
        <v>3</v>
      </c>
      <c r="C277" s="20">
        <f>IF($A277="","",IFERROR(_xlfn.XLOOKUP($A277,Table1[Item],Table1[Current Stock]),"Missing"))</f>
        <v>3</v>
      </c>
      <c r="D277" s="20">
        <f t="shared" si="12"/>
        <v>0</v>
      </c>
      <c r="E277" s="21">
        <f>IF($A277="","",IFERROR(_xlfn.XLOOKUP($A277,'System Generated 2026-08-24'!$A:$A,'System Generated 2026-08-24'!$E:$E),"Missing"))</f>
        <v>199.29</v>
      </c>
      <c r="F277" s="21">
        <f>IF($A277="","",IFERROR(_xlfn.XLOOKUP($A277,Table1[Item],Table1[Total (₹)]),"Missing"))</f>
        <v>199.286</v>
      </c>
      <c r="G277" s="21">
        <f t="shared" si="13"/>
        <v>3.9999999999906777E-3</v>
      </c>
      <c r="H277" t="str">
        <f t="shared" si="14"/>
        <v>Match</v>
      </c>
      <c r="K277" t="str">
        <f>'System Generated 2026-08-24'!A277</f>
        <v>Pineapple Syrup</v>
      </c>
    </row>
    <row r="278" spans="1:11" hidden="1" x14ac:dyDescent="0.25">
      <c r="A278" t="str">
        <v>Mushroom</v>
      </c>
      <c r="B278" s="20">
        <f>IF($A278="","",IFERROR(_xlfn.XLOOKUP($A278,'System Generated 2026-08-24'!$A:$A,'System Generated 2026-08-24'!$B:$B),"Missing"))</f>
        <v>1</v>
      </c>
      <c r="C278" s="20">
        <f>IF($A278="","",IFERROR(_xlfn.XLOOKUP($A278,Table1[Item],Table1[Current Stock]),"Missing"))</f>
        <v>1</v>
      </c>
      <c r="D278" s="20">
        <f t="shared" si="12"/>
        <v>0</v>
      </c>
      <c r="E278" s="21">
        <f>IF($A278="","",IFERROR(_xlfn.XLOOKUP($A278,'System Generated 2026-08-24'!$A:$A,'System Generated 2026-08-24'!$E:$E),"Missing"))</f>
        <v>68.8</v>
      </c>
      <c r="F278" s="21">
        <f>IF($A278="","",IFERROR(_xlfn.XLOOKUP($A278,Table1[Item],Table1[Total (₹)]),"Missing"))</f>
        <v>68.802999999999997</v>
      </c>
      <c r="G278" s="21">
        <f t="shared" si="13"/>
        <v>-3.0000000000001137E-3</v>
      </c>
      <c r="H278" t="str">
        <f t="shared" si="14"/>
        <v>Match</v>
      </c>
      <c r="K278" t="str">
        <f>'System Generated 2026-08-24'!A278</f>
        <v>Pista</v>
      </c>
    </row>
    <row r="279" spans="1:11" hidden="1" x14ac:dyDescent="0.25">
      <c r="A279" t="str">
        <v>Muskmelon</v>
      </c>
      <c r="B279" s="20">
        <f>IF($A279="","",IFERROR(_xlfn.XLOOKUP($A279,'System Generated 2026-08-24'!$A:$A,'System Generated 2026-08-24'!$B:$B),"Missing"))</f>
        <v>0</v>
      </c>
      <c r="C279" s="20">
        <f>IF($A279="","",IFERROR(_xlfn.XLOOKUP($A279,Table1[Item],Table1[Current Stock]),"Missing"))</f>
        <v>0</v>
      </c>
      <c r="D279" s="20">
        <f t="shared" si="12"/>
        <v>0</v>
      </c>
      <c r="E279" s="21">
        <f>IF($A279="","",IFERROR(_xlfn.XLOOKUP($A279,'System Generated 2026-08-24'!$A:$A,'System Generated 2026-08-24'!$E:$E),"Missing"))</f>
        <v>0</v>
      </c>
      <c r="F279" s="21">
        <f>IF($A279="","",IFERROR(_xlfn.XLOOKUP($A279,Table1[Item],Table1[Total (₹)]),"Missing"))</f>
        <v>0</v>
      </c>
      <c r="G279" s="21">
        <f t="shared" si="13"/>
        <v>0</v>
      </c>
      <c r="H279" t="str">
        <f t="shared" si="14"/>
        <v>Match</v>
      </c>
      <c r="K279" t="str">
        <f>'System Generated 2026-08-24'!A279</f>
        <v>Pista Ice Cream</v>
      </c>
    </row>
    <row r="280" spans="1:11" hidden="1" x14ac:dyDescent="0.25">
      <c r="A280" t="str">
        <v>Mustard Oil</v>
      </c>
      <c r="B280" s="20">
        <f>IF($A280="","",IFERROR(_xlfn.XLOOKUP($A280,'System Generated 2026-08-24'!$A:$A,'System Generated 2026-08-24'!$B:$B),"Missing"))</f>
        <v>5</v>
      </c>
      <c r="C280" s="20">
        <f>IF($A280="","",IFERROR(_xlfn.XLOOKUP($A280,Table1[Item],Table1[Current Stock]),"Missing"))</f>
        <v>5</v>
      </c>
      <c r="D280" s="20">
        <f t="shared" si="12"/>
        <v>0</v>
      </c>
      <c r="E280" s="21">
        <f>IF($A280="","",IFERROR(_xlfn.XLOOKUP($A280,'System Generated 2026-08-24'!$A:$A,'System Generated 2026-08-24'!$E:$E),"Missing"))</f>
        <v>977</v>
      </c>
      <c r="F280" s="21">
        <f>IF($A280="","",IFERROR(_xlfn.XLOOKUP($A280,Table1[Item],Table1[Total (₹)]),"Missing"))</f>
        <v>977</v>
      </c>
      <c r="G280" s="21">
        <f t="shared" si="13"/>
        <v>0</v>
      </c>
      <c r="H280" t="str">
        <f t="shared" si="14"/>
        <v>Match</v>
      </c>
      <c r="K280" t="str">
        <f>'System Generated 2026-08-24'!A280</f>
        <v>Pitambaram</v>
      </c>
    </row>
    <row r="281" spans="1:11" x14ac:dyDescent="0.25">
      <c r="A281" t="str">
        <v>Muttaon Botti</v>
      </c>
      <c r="B281" s="20" t="str">
        <f>IF($A281="","",IFERROR(_xlfn.XLOOKUP($A281,'System Generated 2026-08-24'!$A:$A,'System Generated 2026-08-24'!$B:$B),"Missing"))</f>
        <v>Missing</v>
      </c>
      <c r="C281" s="20">
        <f>IF($A281="","",IFERROR(_xlfn.XLOOKUP($A281,Table1[Item],Table1[Current Stock]),"Missing"))</f>
        <v>0</v>
      </c>
      <c r="D281" s="20" t="str">
        <f t="shared" si="12"/>
        <v>N/A</v>
      </c>
      <c r="E281" s="21" t="str">
        <f>IF($A281="","",IFERROR(_xlfn.XLOOKUP($A281,'System Generated 2026-08-24'!$A:$A,'System Generated 2026-08-24'!$E:$E),"Missing"))</f>
        <v>Missing</v>
      </c>
      <c r="F281" s="21">
        <f>IF($A281="","",IFERROR(_xlfn.XLOOKUP($A281,Table1[Item],Table1[Total (₹)]),"Missing"))</f>
        <v>0</v>
      </c>
      <c r="G281" s="21" t="str">
        <f t="shared" si="13"/>
        <v>N/A</v>
      </c>
      <c r="H281" t="str">
        <f t="shared" si="14"/>
        <v>Missing in App</v>
      </c>
      <c r="K281" t="str">
        <f>'System Generated 2026-08-24'!A281</f>
        <v>Pizza Box Big</v>
      </c>
    </row>
    <row r="282" spans="1:11" hidden="1" x14ac:dyDescent="0.25">
      <c r="A282" t="str">
        <v>Mutton</v>
      </c>
      <c r="B282" s="20">
        <f>IF($A282="","",IFERROR(_xlfn.XLOOKUP($A282,'System Generated 2026-08-24'!$A:$A,'System Generated 2026-08-24'!$B:$B),"Missing"))</f>
        <v>0</v>
      </c>
      <c r="C282" s="20">
        <f>IF($A282="","",IFERROR(_xlfn.XLOOKUP($A282,Table1[Item],Table1[Current Stock]),"Missing"))</f>
        <v>0</v>
      </c>
      <c r="D282" s="20">
        <f t="shared" si="12"/>
        <v>0</v>
      </c>
      <c r="E282" s="21">
        <f>IF($A282="","",IFERROR(_xlfn.XLOOKUP($A282,'System Generated 2026-08-24'!$A:$A,'System Generated 2026-08-24'!$E:$E),"Missing"))</f>
        <v>0</v>
      </c>
      <c r="F282" s="21">
        <f>IF($A282="","",IFERROR(_xlfn.XLOOKUP($A282,Table1[Item],Table1[Total (₹)]),"Missing"))</f>
        <v>0</v>
      </c>
      <c r="G282" s="21">
        <f t="shared" si="13"/>
        <v>0</v>
      </c>
      <c r="H282" t="str">
        <f t="shared" si="14"/>
        <v>Match</v>
      </c>
      <c r="K282" t="str">
        <f>'System Generated 2026-08-24'!A282</f>
        <v>Pizza Box Small</v>
      </c>
    </row>
    <row r="283" spans="1:11" hidden="1" x14ac:dyDescent="0.25">
      <c r="A283" t="str">
        <v>Mutton Keema</v>
      </c>
      <c r="B283" s="20">
        <f>IF($A283="","",IFERROR(_xlfn.XLOOKUP($A283,'System Generated 2026-08-24'!$A:$A,'System Generated 2026-08-24'!$B:$B),"Missing"))</f>
        <v>0</v>
      </c>
      <c r="C283" s="20">
        <f>IF($A283="","",IFERROR(_xlfn.XLOOKUP($A283,Table1[Item],Table1[Current Stock]),"Missing"))</f>
        <v>0</v>
      </c>
      <c r="D283" s="20">
        <f t="shared" si="12"/>
        <v>0</v>
      </c>
      <c r="E283" s="21">
        <f>IF($A283="","",IFERROR(_xlfn.XLOOKUP($A283,'System Generated 2026-08-24'!$A:$A,'System Generated 2026-08-24'!$E:$E),"Missing"))</f>
        <v>0</v>
      </c>
      <c r="F283" s="21">
        <f>IF($A283="","",IFERROR(_xlfn.XLOOKUP($A283,Table1[Item],Table1[Total (₹)]),"Missing"))</f>
        <v>0</v>
      </c>
      <c r="G283" s="21">
        <f t="shared" si="13"/>
        <v>0</v>
      </c>
      <c r="H283" t="str">
        <f t="shared" si="14"/>
        <v>Match</v>
      </c>
      <c r="K283" t="str">
        <f>'System Generated 2026-08-24'!A283</f>
        <v>Pizza Sauce</v>
      </c>
    </row>
    <row r="284" spans="1:11" hidden="1" x14ac:dyDescent="0.25">
      <c r="A284" t="str">
        <v>Name Boards</v>
      </c>
      <c r="B284" s="20">
        <f>IF($A284="","",IFERROR(_xlfn.XLOOKUP($A284,'System Generated 2026-08-24'!$A:$A,'System Generated 2026-08-24'!$B:$B),"Missing"))</f>
        <v>68</v>
      </c>
      <c r="C284" s="20">
        <f>IF($A284="","",IFERROR(_xlfn.XLOOKUP($A284,Table1[Item],Table1[Current Stock]),"Missing"))</f>
        <v>68</v>
      </c>
      <c r="D284" s="20">
        <f t="shared" si="12"/>
        <v>0</v>
      </c>
      <c r="E284" s="21">
        <f>IF($A284="","",IFERROR(_xlfn.XLOOKUP($A284,'System Generated 2026-08-24'!$A:$A,'System Generated 2026-08-24'!$E:$E),"Missing"))</f>
        <v>167.9</v>
      </c>
      <c r="F284" s="21">
        <f>IF($A284="","",IFERROR(_xlfn.XLOOKUP($A284,Table1[Item],Table1[Total (₹)]),"Missing"))</f>
        <v>167.90199999999999</v>
      </c>
      <c r="G284" s="21">
        <f t="shared" si="13"/>
        <v>-1.999999999981128E-3</v>
      </c>
      <c r="H284" t="str">
        <f t="shared" si="14"/>
        <v>Match</v>
      </c>
      <c r="K284" t="str">
        <f>'System Generated 2026-08-24'!A284</f>
        <v>Potato</v>
      </c>
    </row>
    <row r="285" spans="1:11" hidden="1" x14ac:dyDescent="0.25">
      <c r="A285" t="str">
        <v>Napkins</v>
      </c>
      <c r="B285" s="20">
        <f>IF($A285="","",IFERROR(_xlfn.XLOOKUP($A285,'System Generated 2026-08-24'!$A:$A,'System Generated 2026-08-24'!$B:$B),"Missing"))</f>
        <v>1154</v>
      </c>
      <c r="C285" s="20">
        <f>IF($A285="","",IFERROR(_xlfn.XLOOKUP($A285,Table1[Item],Table1[Current Stock]),"Missing"))</f>
        <v>1154</v>
      </c>
      <c r="D285" s="20">
        <f t="shared" si="12"/>
        <v>0</v>
      </c>
      <c r="E285" s="21">
        <f>IF($A285="","",IFERROR(_xlfn.XLOOKUP($A285,'System Generated 2026-08-24'!$A:$A,'System Generated 2026-08-24'!$E:$E),"Missing"))</f>
        <v>23081</v>
      </c>
      <c r="F285" s="21">
        <f>IF($A285="","",IFERROR(_xlfn.XLOOKUP($A285,Table1[Item],Table1[Total (₹)]),"Missing"))</f>
        <v>23081.039000000001</v>
      </c>
      <c r="G285" s="21">
        <f t="shared" si="13"/>
        <v>-3.9000000000669388E-2</v>
      </c>
      <c r="H285" t="str">
        <f t="shared" si="14"/>
        <v>Match</v>
      </c>
      <c r="K285" t="str">
        <f>'System Generated 2026-08-24'!A285</f>
        <v>Potlakaya</v>
      </c>
    </row>
    <row r="286" spans="1:11" hidden="1" x14ac:dyDescent="0.25">
      <c r="A286" t="str">
        <v>Noodles</v>
      </c>
      <c r="B286" s="20">
        <f>IF($A286="","",IFERROR(_xlfn.XLOOKUP($A286,'System Generated 2026-08-24'!$A:$A,'System Generated 2026-08-24'!$B:$B),"Missing"))</f>
        <v>24</v>
      </c>
      <c r="C286" s="20">
        <f>IF($A286="","",IFERROR(_xlfn.XLOOKUP($A286,Table1[Item],Table1[Current Stock]),"Missing"))</f>
        <v>24</v>
      </c>
      <c r="D286" s="20">
        <f t="shared" si="12"/>
        <v>0</v>
      </c>
      <c r="E286" s="21">
        <f>IF($A286="","",IFERROR(_xlfn.XLOOKUP($A286,'System Generated 2026-08-24'!$A:$A,'System Generated 2026-08-24'!$E:$E),"Missing"))</f>
        <v>1152</v>
      </c>
      <c r="F286" s="21">
        <f>IF($A286="","",IFERROR(_xlfn.XLOOKUP($A286,Table1[Item],Table1[Total (₹)]),"Missing"))</f>
        <v>1152</v>
      </c>
      <c r="G286" s="21">
        <f t="shared" si="13"/>
        <v>0</v>
      </c>
      <c r="H286" t="str">
        <f t="shared" si="14"/>
        <v>Match</v>
      </c>
      <c r="K286" t="str">
        <f>'System Generated 2026-08-24'!A286</f>
        <v>Prawns</v>
      </c>
    </row>
    <row r="287" spans="1:11" hidden="1" x14ac:dyDescent="0.25">
      <c r="A287" t="str">
        <v>Nutella Chocolate</v>
      </c>
      <c r="B287" s="20">
        <f>IF($A287="","",IFERROR(_xlfn.XLOOKUP($A287,'System Generated 2026-08-24'!$A:$A,'System Generated 2026-08-24'!$B:$B),"Missing"))</f>
        <v>3</v>
      </c>
      <c r="C287" s="20">
        <f>IF($A287="","",IFERROR(_xlfn.XLOOKUP($A287,Table1[Item],Table1[Current Stock]),"Missing"))</f>
        <v>3</v>
      </c>
      <c r="D287" s="20">
        <f t="shared" si="12"/>
        <v>0</v>
      </c>
      <c r="E287" s="21">
        <f>IF($A287="","",IFERROR(_xlfn.XLOOKUP($A287,'System Generated 2026-08-24'!$A:$A,'System Generated 2026-08-24'!$E:$E),"Missing"))</f>
        <v>1022.61</v>
      </c>
      <c r="F287" s="21">
        <f>IF($A287="","",IFERROR(_xlfn.XLOOKUP($A287,Table1[Item],Table1[Total (₹)]),"Missing"))</f>
        <v>1022.61</v>
      </c>
      <c r="G287" s="21">
        <f t="shared" si="13"/>
        <v>0</v>
      </c>
      <c r="H287" t="str">
        <f t="shared" si="14"/>
        <v>Match</v>
      </c>
      <c r="K287" t="str">
        <f>'System Generated 2026-08-24'!A287</f>
        <v>Pudina</v>
      </c>
    </row>
    <row r="288" spans="1:11" hidden="1" x14ac:dyDescent="0.25">
      <c r="A288" t="str">
        <v>Odonil</v>
      </c>
      <c r="B288" s="20">
        <f>IF($A288="","",IFERROR(_xlfn.XLOOKUP($A288,'System Generated 2026-08-24'!$A:$A,'System Generated 2026-08-24'!$B:$B),"Missing"))</f>
        <v>8</v>
      </c>
      <c r="C288" s="20">
        <f>IF($A288="","",IFERROR(_xlfn.XLOOKUP($A288,Table1[Item],Table1[Current Stock]),"Missing"))</f>
        <v>8</v>
      </c>
      <c r="D288" s="20">
        <f t="shared" si="12"/>
        <v>0</v>
      </c>
      <c r="E288" s="21">
        <f>IF($A288="","",IFERROR(_xlfn.XLOOKUP($A288,'System Generated 2026-08-24'!$A:$A,'System Generated 2026-08-24'!$E:$E),"Missing"))</f>
        <v>349.73</v>
      </c>
      <c r="F288" s="21">
        <f>IF($A288="","",IFERROR(_xlfn.XLOOKUP($A288,Table1[Item],Table1[Total (₹)]),"Missing"))</f>
        <v>349.73399999999998</v>
      </c>
      <c r="G288" s="21">
        <f t="shared" si="13"/>
        <v>-3.999999999962256E-3</v>
      </c>
      <c r="H288" t="str">
        <f t="shared" si="14"/>
        <v>Match</v>
      </c>
      <c r="K288" t="str">
        <f>'System Generated 2026-08-24'!A288</f>
        <v>Puff Roti</v>
      </c>
    </row>
    <row r="289" spans="1:11" hidden="1" x14ac:dyDescent="0.25">
      <c r="A289" t="str">
        <v>Onion</v>
      </c>
      <c r="B289" s="20">
        <f>IF($A289="","",IFERROR(_xlfn.XLOOKUP($A289,'System Generated 2026-08-24'!$A:$A,'System Generated 2026-08-24'!$B:$B),"Missing"))</f>
        <v>19.420000000000002</v>
      </c>
      <c r="C289" s="20">
        <f>IF($A289="","",IFERROR(_xlfn.XLOOKUP($A289,Table1[Item],Table1[Current Stock]),"Missing"))</f>
        <v>19.420000000000002</v>
      </c>
      <c r="D289" s="20">
        <f t="shared" si="12"/>
        <v>0</v>
      </c>
      <c r="E289" s="21">
        <f>IF($A289="","",IFERROR(_xlfn.XLOOKUP($A289,'System Generated 2026-08-24'!$A:$A,'System Generated 2026-08-24'!$E:$E),"Missing"))</f>
        <v>469.23</v>
      </c>
      <c r="F289" s="21">
        <f>IF($A289="","",IFERROR(_xlfn.XLOOKUP($A289,Table1[Item],Table1[Total (₹)]),"Missing"))</f>
        <v>469.226</v>
      </c>
      <c r="G289" s="21">
        <f t="shared" si="13"/>
        <v>4.0000000000190994E-3</v>
      </c>
      <c r="H289" t="str">
        <f t="shared" si="14"/>
        <v>Match</v>
      </c>
      <c r="K289" t="str">
        <f>'System Generated 2026-08-24'!A289</f>
        <v>Putani</v>
      </c>
    </row>
    <row r="290" spans="1:11" hidden="1" x14ac:dyDescent="0.25">
      <c r="A290" t="str">
        <v>Orange</v>
      </c>
      <c r="B290" s="20">
        <f>IF($A290="","",IFERROR(_xlfn.XLOOKUP($A290,'System Generated 2026-08-24'!$A:$A,'System Generated 2026-08-24'!$B:$B),"Missing"))</f>
        <v>0</v>
      </c>
      <c r="C290" s="20">
        <f>IF($A290="","",IFERROR(_xlfn.XLOOKUP($A290,Table1[Item],Table1[Current Stock]),"Missing"))</f>
        <v>0</v>
      </c>
      <c r="D290" s="20">
        <f t="shared" si="12"/>
        <v>0</v>
      </c>
      <c r="E290" s="21">
        <f>IF($A290="","",IFERROR(_xlfn.XLOOKUP($A290,'System Generated 2026-08-24'!$A:$A,'System Generated 2026-08-24'!$E:$E),"Missing"))</f>
        <v>0</v>
      </c>
      <c r="F290" s="21">
        <f>IF($A290="","",IFERROR(_xlfn.XLOOKUP($A290,Table1[Item],Table1[Total (₹)]),"Missing"))</f>
        <v>0</v>
      </c>
      <c r="G290" s="21">
        <f t="shared" si="13"/>
        <v>0</v>
      </c>
      <c r="H290" t="str">
        <f t="shared" si="14"/>
        <v>Match</v>
      </c>
      <c r="K290" t="str">
        <f>'System Generated 2026-08-24'!A290</f>
        <v>Raddish</v>
      </c>
    </row>
    <row r="291" spans="1:11" hidden="1" x14ac:dyDescent="0.25">
      <c r="A291" t="str">
        <v>Orange Syrup</v>
      </c>
      <c r="B291" s="20">
        <f>IF($A291="","",IFERROR(_xlfn.XLOOKUP($A291,'System Generated 2026-08-24'!$A:$A,'System Generated 2026-08-24'!$B:$B),"Missing"))</f>
        <v>0</v>
      </c>
      <c r="C291" s="20">
        <f>IF($A291="","",IFERROR(_xlfn.XLOOKUP($A291,Table1[Item],Table1[Current Stock]),"Missing"))</f>
        <v>0</v>
      </c>
      <c r="D291" s="20">
        <f t="shared" si="12"/>
        <v>0</v>
      </c>
      <c r="E291" s="21">
        <f>IF($A291="","",IFERROR(_xlfn.XLOOKUP($A291,'System Generated 2026-08-24'!$A:$A,'System Generated 2026-08-24'!$E:$E),"Missing"))</f>
        <v>0</v>
      </c>
      <c r="F291" s="21">
        <f>IF($A291="","",IFERROR(_xlfn.XLOOKUP($A291,Table1[Item],Table1[Total (₹)]),"Missing"))</f>
        <v>0</v>
      </c>
      <c r="G291" s="21">
        <f t="shared" si="13"/>
        <v>0</v>
      </c>
      <c r="H291" t="str">
        <f t="shared" si="14"/>
        <v>Match</v>
      </c>
      <c r="K291" t="str">
        <f>'System Generated 2026-08-24'!A291</f>
        <v>Ragi Flour</v>
      </c>
    </row>
    <row r="292" spans="1:11" hidden="1" x14ac:dyDescent="0.25">
      <c r="A292" t="str">
        <v>Oregano 500gm</v>
      </c>
      <c r="B292" s="20">
        <f>IF($A292="","",IFERROR(_xlfn.XLOOKUP($A292,'System Generated 2026-08-24'!$A:$A,'System Generated 2026-08-24'!$B:$B),"Missing"))</f>
        <v>2</v>
      </c>
      <c r="C292" s="20">
        <f>IF($A292="","",IFERROR(_xlfn.XLOOKUP($A292,Table1[Item],Table1[Current Stock]),"Missing"))</f>
        <v>2</v>
      </c>
      <c r="D292" s="20">
        <f t="shared" si="12"/>
        <v>0</v>
      </c>
      <c r="E292" s="21">
        <f>IF($A292="","",IFERROR(_xlfn.XLOOKUP($A292,'System Generated 2026-08-24'!$A:$A,'System Generated 2026-08-24'!$E:$E),"Missing"))</f>
        <v>1000</v>
      </c>
      <c r="F292" s="21">
        <f>IF($A292="","",IFERROR(_xlfn.XLOOKUP($A292,Table1[Item],Table1[Total (₹)]),"Missing"))</f>
        <v>1000</v>
      </c>
      <c r="G292" s="21">
        <f t="shared" si="13"/>
        <v>0</v>
      </c>
      <c r="H292" t="str">
        <f t="shared" si="14"/>
        <v>Match</v>
      </c>
      <c r="K292" t="str">
        <f>'System Generated 2026-08-24'!A292</f>
        <v>Rai</v>
      </c>
    </row>
    <row r="293" spans="1:11" hidden="1" x14ac:dyDescent="0.25">
      <c r="A293" t="str">
        <v>Oregano Sachet</v>
      </c>
      <c r="B293" s="20">
        <f>IF($A293="","",IFERROR(_xlfn.XLOOKUP($A293,'System Generated 2026-08-24'!$A:$A,'System Generated 2026-08-24'!$B:$B),"Missing"))</f>
        <v>100</v>
      </c>
      <c r="C293" s="20">
        <f>IF($A293="","",IFERROR(_xlfn.XLOOKUP($A293,Table1[Item],Table1[Current Stock]),"Missing"))</f>
        <v>100</v>
      </c>
      <c r="D293" s="20">
        <f t="shared" si="12"/>
        <v>0</v>
      </c>
      <c r="E293" s="21">
        <f>IF($A293="","",IFERROR(_xlfn.XLOOKUP($A293,'System Generated 2026-08-24'!$A:$A,'System Generated 2026-08-24'!$E:$E),"Missing"))</f>
        <v>160</v>
      </c>
      <c r="F293" s="21">
        <f>IF($A293="","",IFERROR(_xlfn.XLOOKUP($A293,Table1[Item],Table1[Total (₹)]),"Missing"))</f>
        <v>160</v>
      </c>
      <c r="G293" s="21">
        <f t="shared" si="13"/>
        <v>0</v>
      </c>
      <c r="H293" t="str">
        <f t="shared" si="14"/>
        <v>Match</v>
      </c>
      <c r="K293" t="str">
        <f>'System Generated 2026-08-24'!A293</f>
        <v>Rajma</v>
      </c>
    </row>
    <row r="294" spans="1:11" x14ac:dyDescent="0.25">
      <c r="A294" t="str">
        <v>Oreng</v>
      </c>
      <c r="B294" s="20" t="str">
        <f>IF($A294="","",IFERROR(_xlfn.XLOOKUP($A294,'System Generated 2026-08-24'!$A:$A,'System Generated 2026-08-24'!$B:$B),"Missing"))</f>
        <v>Missing</v>
      </c>
      <c r="C294" s="20">
        <f>IF($A294="","",IFERROR(_xlfn.XLOOKUP($A294,Table1[Item],Table1[Current Stock]),"Missing"))</f>
        <v>0</v>
      </c>
      <c r="D294" s="20" t="str">
        <f t="shared" si="12"/>
        <v>N/A</v>
      </c>
      <c r="E294" s="21" t="str">
        <f>IF($A294="","",IFERROR(_xlfn.XLOOKUP($A294,'System Generated 2026-08-24'!$A:$A,'System Generated 2026-08-24'!$E:$E),"Missing"))</f>
        <v>Missing</v>
      </c>
      <c r="F294" s="21">
        <f>IF($A294="","",IFERROR(_xlfn.XLOOKUP($A294,Table1[Item],Table1[Total (₹)]),"Missing"))</f>
        <v>0</v>
      </c>
      <c r="G294" s="21" t="str">
        <f t="shared" si="13"/>
        <v>N/A</v>
      </c>
      <c r="H294" t="str">
        <f t="shared" si="14"/>
        <v>Missing in App</v>
      </c>
      <c r="K294" t="str">
        <f>'System Generated 2026-08-24'!A294</f>
        <v>Ramjadu</v>
      </c>
    </row>
    <row r="295" spans="1:11" hidden="1" x14ac:dyDescent="0.25">
      <c r="A295" t="str">
        <v>Oreo Biscuits</v>
      </c>
      <c r="B295" s="20">
        <f>IF($A295="","",IFERROR(_xlfn.XLOOKUP($A295,'System Generated 2026-08-24'!$A:$A,'System Generated 2026-08-24'!$B:$B),"Missing"))</f>
        <v>24</v>
      </c>
      <c r="C295" s="20">
        <f>IF($A295="","",IFERROR(_xlfn.XLOOKUP($A295,Table1[Item],Table1[Current Stock]),"Missing"))</f>
        <v>24</v>
      </c>
      <c r="D295" s="20">
        <f t="shared" si="12"/>
        <v>0</v>
      </c>
      <c r="E295" s="21">
        <f>IF($A295="","",IFERROR(_xlfn.XLOOKUP($A295,'System Generated 2026-08-24'!$A:$A,'System Generated 2026-08-24'!$E:$E),"Missing"))</f>
        <v>561.91</v>
      </c>
      <c r="F295" s="21">
        <f>IF($A295="","",IFERROR(_xlfn.XLOOKUP($A295,Table1[Item],Table1[Total (₹)]),"Missing"))</f>
        <v>561.91200000000003</v>
      </c>
      <c r="G295" s="21">
        <f t="shared" si="13"/>
        <v>-2.0000000000663931E-3</v>
      </c>
      <c r="H295" t="str">
        <f t="shared" si="14"/>
        <v>Match</v>
      </c>
      <c r="K295" t="str">
        <f>'System Generated 2026-08-24'!A295</f>
        <v>Rectrangle Box 500ml</v>
      </c>
    </row>
    <row r="296" spans="1:11" hidden="1" x14ac:dyDescent="0.25">
      <c r="A296" t="str">
        <v>Original Mint Mojitho</v>
      </c>
      <c r="B296" s="20">
        <f>IF($A296="","",IFERROR(_xlfn.XLOOKUP($A296,'System Generated 2026-08-24'!$A:$A,'System Generated 2026-08-24'!$B:$B),"Missing"))</f>
        <v>1</v>
      </c>
      <c r="C296" s="20">
        <f>IF($A296="","",IFERROR(_xlfn.XLOOKUP($A296,Table1[Item],Table1[Current Stock]),"Missing"))</f>
        <v>1</v>
      </c>
      <c r="D296" s="20">
        <f t="shared" si="12"/>
        <v>0</v>
      </c>
      <c r="E296" s="21">
        <f>IF($A296="","",IFERROR(_xlfn.XLOOKUP($A296,'System Generated 2026-08-24'!$A:$A,'System Generated 2026-08-24'!$E:$E),"Missing"))</f>
        <v>356</v>
      </c>
      <c r="F296" s="21">
        <f>IF($A296="","",IFERROR(_xlfn.XLOOKUP($A296,Table1[Item],Table1[Total (₹)]),"Missing"))</f>
        <v>356</v>
      </c>
      <c r="G296" s="21">
        <f t="shared" si="13"/>
        <v>0</v>
      </c>
      <c r="H296" t="str">
        <f t="shared" si="14"/>
        <v>Match</v>
      </c>
      <c r="K296" t="str">
        <f>'System Generated 2026-08-24'!A296</f>
        <v>Red Chilly</v>
      </c>
    </row>
    <row r="297" spans="1:11" x14ac:dyDescent="0.25">
      <c r="A297" t="str">
        <v>Osmaniya Biscuts</v>
      </c>
      <c r="B297" s="20" t="str">
        <f>IF($A297="","",IFERROR(_xlfn.XLOOKUP($A297,'System Generated 2026-08-24'!$A:$A,'System Generated 2026-08-24'!$B:$B),"Missing"))</f>
        <v>Missing</v>
      </c>
      <c r="C297" s="20">
        <f>IF($A297="","",IFERROR(_xlfn.XLOOKUP($A297,Table1[Item],Table1[Current Stock]),"Missing"))</f>
        <v>0</v>
      </c>
      <c r="D297" s="20" t="str">
        <f t="shared" si="12"/>
        <v>N/A</v>
      </c>
      <c r="E297" s="21" t="str">
        <f>IF($A297="","",IFERROR(_xlfn.XLOOKUP($A297,'System Generated 2026-08-24'!$A:$A,'System Generated 2026-08-24'!$E:$E),"Missing"))</f>
        <v>Missing</v>
      </c>
      <c r="F297" s="21">
        <f>IF($A297="","",IFERROR(_xlfn.XLOOKUP($A297,Table1[Item],Table1[Total (₹)]),"Missing"))</f>
        <v>0</v>
      </c>
      <c r="G297" s="21" t="str">
        <f t="shared" si="13"/>
        <v>N/A</v>
      </c>
      <c r="H297" t="str">
        <f t="shared" si="14"/>
        <v>Missing in App</v>
      </c>
      <c r="K297" t="str">
        <f>'System Generated 2026-08-24'!A297</f>
        <v>Red Chilly Sauce</v>
      </c>
    </row>
    <row r="298" spans="1:11" hidden="1" x14ac:dyDescent="0.25">
      <c r="A298" t="str">
        <v>Palak</v>
      </c>
      <c r="B298" s="20">
        <f>IF($A298="","",IFERROR(_xlfn.XLOOKUP($A298,'System Generated 2026-08-24'!$A:$A,'System Generated 2026-08-24'!$B:$B),"Missing"))</f>
        <v>14</v>
      </c>
      <c r="C298" s="20">
        <f>IF($A298="","",IFERROR(_xlfn.XLOOKUP($A298,Table1[Item],Table1[Current Stock]),"Missing"))</f>
        <v>14</v>
      </c>
      <c r="D298" s="20">
        <f t="shared" si="12"/>
        <v>0</v>
      </c>
      <c r="E298" s="21">
        <f>IF($A298="","",IFERROR(_xlfn.XLOOKUP($A298,'System Generated 2026-08-24'!$A:$A,'System Generated 2026-08-24'!$E:$E),"Missing"))</f>
        <v>668.04</v>
      </c>
      <c r="F298" s="21">
        <f>IF($A298="","",IFERROR(_xlfn.XLOOKUP($A298,Table1[Item],Table1[Total (₹)]),"Missing"))</f>
        <v>668.04399999999998</v>
      </c>
      <c r="G298" s="21">
        <f t="shared" si="13"/>
        <v>-4.0000000000190994E-3</v>
      </c>
      <c r="H298" t="str">
        <f t="shared" si="14"/>
        <v>Match</v>
      </c>
      <c r="K298" t="str">
        <f>'System Generated 2026-08-24'!A298</f>
        <v>Rock Salt</v>
      </c>
    </row>
    <row r="299" spans="1:11" hidden="1" x14ac:dyDescent="0.25">
      <c r="A299" t="str">
        <v>Pally Chutney</v>
      </c>
      <c r="B299" s="20">
        <f>IF($A299="","",IFERROR(_xlfn.XLOOKUP($A299,'System Generated 2026-08-24'!$A:$A,'System Generated 2026-08-24'!$B:$B),"Missing"))</f>
        <v>97.5</v>
      </c>
      <c r="C299" s="20">
        <f>IF($A299="","",IFERROR(_xlfn.XLOOKUP($A299,Table1[Item],Table1[Current Stock]),"Missing"))</f>
        <v>97.5</v>
      </c>
      <c r="D299" s="20">
        <f t="shared" si="12"/>
        <v>0</v>
      </c>
      <c r="E299" s="21">
        <f>IF($A299="","",IFERROR(_xlfn.XLOOKUP($A299,'System Generated 2026-08-24'!$A:$A,'System Generated 2026-08-24'!$E:$E),"Missing"))</f>
        <v>12801</v>
      </c>
      <c r="F299" s="21">
        <f>IF($A299="","",IFERROR(_xlfn.XLOOKUP($A299,Table1[Item],Table1[Total (₹)]),"Missing"))</f>
        <v>12800.97</v>
      </c>
      <c r="G299" s="21">
        <f t="shared" si="13"/>
        <v>3.0000000000654836E-2</v>
      </c>
      <c r="H299" t="str">
        <f t="shared" si="14"/>
        <v>Match</v>
      </c>
      <c r="K299" t="str">
        <f>'System Generated 2026-08-24'!A299</f>
        <v>Room Freshner</v>
      </c>
    </row>
    <row r="300" spans="1:11" hidden="1" x14ac:dyDescent="0.25">
      <c r="A300" t="str">
        <v>Palm Oil</v>
      </c>
      <c r="B300" s="20">
        <f>IF($A300="","",IFERROR(_xlfn.XLOOKUP($A300,'System Generated 2026-08-24'!$A:$A,'System Generated 2026-08-24'!$B:$B),"Missing"))</f>
        <v>172</v>
      </c>
      <c r="C300" s="20">
        <f>IF($A300="","",IFERROR(_xlfn.XLOOKUP($A300,Table1[Item],Table1[Current Stock]),"Missing"))</f>
        <v>172</v>
      </c>
      <c r="D300" s="20">
        <f t="shared" si="12"/>
        <v>0</v>
      </c>
      <c r="E300" s="21">
        <f>IF($A300="","",IFERROR(_xlfn.XLOOKUP($A300,'System Generated 2026-08-24'!$A:$A,'System Generated 2026-08-24'!$E:$E),"Missing"))</f>
        <v>21055.4</v>
      </c>
      <c r="F300" s="21">
        <f>IF($A300="","",IFERROR(_xlfn.XLOOKUP($A300,Table1[Item],Table1[Total (₹)]),"Missing"))</f>
        <v>21055.38</v>
      </c>
      <c r="G300" s="21">
        <f t="shared" si="13"/>
        <v>2.0000000000436557E-2</v>
      </c>
      <c r="H300" t="str">
        <f t="shared" si="14"/>
        <v>Match</v>
      </c>
      <c r="K300" t="str">
        <f>'System Generated 2026-08-24'!A300</f>
        <v>Rose Syrup</v>
      </c>
    </row>
    <row r="301" spans="1:11" x14ac:dyDescent="0.25">
      <c r="A301" t="str">
        <v>Pan Kesari</v>
      </c>
      <c r="B301" s="20" t="str">
        <f>IF($A301="","",IFERROR(_xlfn.XLOOKUP($A301,'System Generated 2026-08-24'!$A:$A,'System Generated 2026-08-24'!$B:$B),"Missing"))</f>
        <v>Missing</v>
      </c>
      <c r="C301" s="20">
        <f>IF($A301="","",IFERROR(_xlfn.XLOOKUP($A301,Table1[Item],Table1[Current Stock]),"Missing"))</f>
        <v>0</v>
      </c>
      <c r="D301" s="20" t="str">
        <f t="shared" si="12"/>
        <v>N/A</v>
      </c>
      <c r="E301" s="21" t="str">
        <f>IF($A301="","",IFERROR(_xlfn.XLOOKUP($A301,'System Generated 2026-08-24'!$A:$A,'System Generated 2026-08-24'!$E:$E),"Missing"))</f>
        <v>Missing</v>
      </c>
      <c r="F301" s="21">
        <f>IF($A301="","",IFERROR(_xlfn.XLOOKUP($A301,Table1[Item],Table1[Total (₹)]),"Missing"))</f>
        <v>0</v>
      </c>
      <c r="G301" s="21" t="str">
        <f t="shared" si="13"/>
        <v>N/A</v>
      </c>
      <c r="H301" t="str">
        <f t="shared" si="14"/>
        <v>Missing in App</v>
      </c>
      <c r="K301" t="str">
        <f>'System Generated 2026-08-24'!A301</f>
        <v>Rose Water</v>
      </c>
    </row>
    <row r="302" spans="1:11" hidden="1" x14ac:dyDescent="0.25">
      <c r="A302" t="str">
        <v>Paneer</v>
      </c>
      <c r="B302" s="20">
        <f>IF($A302="","",IFERROR(_xlfn.XLOOKUP($A302,'System Generated 2026-08-24'!$A:$A,'System Generated 2026-08-24'!$B:$B),"Missing"))</f>
        <v>4</v>
      </c>
      <c r="C302" s="20">
        <f>IF($A302="","",IFERROR(_xlfn.XLOOKUP($A302,Table1[Item],Table1[Current Stock]),"Missing"))</f>
        <v>4</v>
      </c>
      <c r="D302" s="20">
        <f t="shared" si="12"/>
        <v>0</v>
      </c>
      <c r="E302" s="21">
        <f>IF($A302="","",IFERROR(_xlfn.XLOOKUP($A302,'System Generated 2026-08-24'!$A:$A,'System Generated 2026-08-24'!$E:$E),"Missing"))</f>
        <v>1601.38</v>
      </c>
      <c r="F302" s="21">
        <f>IF($A302="","",IFERROR(_xlfn.XLOOKUP($A302,Table1[Item],Table1[Total (₹)]),"Missing"))</f>
        <v>1601.38</v>
      </c>
      <c r="G302" s="21">
        <f t="shared" si="13"/>
        <v>0</v>
      </c>
      <c r="H302" t="str">
        <f t="shared" si="14"/>
        <v>Match</v>
      </c>
      <c r="K302" t="str">
        <f>'System Generated 2026-08-24'!A302</f>
        <v>Round Containar750ml</v>
      </c>
    </row>
    <row r="303" spans="1:11" hidden="1" x14ac:dyDescent="0.25">
      <c r="A303" t="str">
        <v>Paneer Momos</v>
      </c>
      <c r="B303" s="20">
        <f>IF($A303="","",IFERROR(_xlfn.XLOOKUP($A303,'System Generated 2026-08-24'!$A:$A,'System Generated 2026-08-24'!$B:$B),"Missing"))</f>
        <v>9</v>
      </c>
      <c r="C303" s="20">
        <f>IF($A303="","",IFERROR(_xlfn.XLOOKUP($A303,Table1[Item],Table1[Current Stock]),"Missing"))</f>
        <v>9</v>
      </c>
      <c r="D303" s="20">
        <f t="shared" si="12"/>
        <v>0</v>
      </c>
      <c r="E303" s="21">
        <f>IF($A303="","",IFERROR(_xlfn.XLOOKUP($A303,'System Generated 2026-08-24'!$A:$A,'System Generated 2026-08-24'!$E:$E),"Missing"))</f>
        <v>2563.16</v>
      </c>
      <c r="F303" s="21">
        <f>IF($A303="","",IFERROR(_xlfn.XLOOKUP($A303,Table1[Item],Table1[Total (₹)]),"Missing"))</f>
        <v>2563.1550000000002</v>
      </c>
      <c r="G303" s="21">
        <f t="shared" si="13"/>
        <v>4.999999999654392E-3</v>
      </c>
      <c r="H303" t="str">
        <f t="shared" si="14"/>
        <v>Match</v>
      </c>
      <c r="K303" t="str">
        <f>'System Generated 2026-08-24'!A303</f>
        <v>Round Pally</v>
      </c>
    </row>
    <row r="304" spans="1:11" x14ac:dyDescent="0.25">
      <c r="A304" t="str">
        <v>Panipuri Covars</v>
      </c>
      <c r="B304" s="20" t="str">
        <f>IF($A304="","",IFERROR(_xlfn.XLOOKUP($A304,'System Generated 2026-08-24'!$A:$A,'System Generated 2026-08-24'!$B:$B),"Missing"))</f>
        <v>Missing</v>
      </c>
      <c r="C304" s="20">
        <f>IF($A304="","",IFERROR(_xlfn.XLOOKUP($A304,Table1[Item],Table1[Current Stock]),"Missing"))</f>
        <v>4</v>
      </c>
      <c r="D304" s="20" t="str">
        <f t="shared" si="12"/>
        <v>N/A</v>
      </c>
      <c r="E304" s="21" t="str">
        <f>IF($A304="","",IFERROR(_xlfn.XLOOKUP($A304,'System Generated 2026-08-24'!$A:$A,'System Generated 2026-08-24'!$E:$E),"Missing"))</f>
        <v>Missing</v>
      </c>
      <c r="F304" s="21">
        <f>IF($A304="","",IFERROR(_xlfn.XLOOKUP($A304,Table1[Item],Table1[Total (₹)]),"Missing"))</f>
        <v>880</v>
      </c>
      <c r="G304" s="21" t="str">
        <f t="shared" si="13"/>
        <v>N/A</v>
      </c>
      <c r="H304" t="str">
        <f t="shared" si="14"/>
        <v>Missing in App</v>
      </c>
      <c r="K304" t="str">
        <f>'System Generated 2026-08-24'!A304</f>
        <v>Sabjee Binge</v>
      </c>
    </row>
    <row r="305" spans="1:11" hidden="1" x14ac:dyDescent="0.25">
      <c r="A305" t="str">
        <v>Papad</v>
      </c>
      <c r="B305" s="20">
        <f>IF($A305="","",IFERROR(_xlfn.XLOOKUP($A305,'System Generated 2026-08-24'!$A:$A,'System Generated 2026-08-24'!$B:$B),"Missing"))</f>
        <v>20</v>
      </c>
      <c r="C305" s="20">
        <f>IF($A305="","",IFERROR(_xlfn.XLOOKUP($A305,Table1[Item],Table1[Current Stock]),"Missing"))</f>
        <v>20</v>
      </c>
      <c r="D305" s="20">
        <f t="shared" si="12"/>
        <v>0</v>
      </c>
      <c r="E305" s="21">
        <f>IF($A305="","",IFERROR(_xlfn.XLOOKUP($A305,'System Generated 2026-08-24'!$A:$A,'System Generated 2026-08-24'!$E:$E),"Missing"))</f>
        <v>1000</v>
      </c>
      <c r="F305" s="21">
        <f>IF($A305="","",IFERROR(_xlfn.XLOOKUP($A305,Table1[Item],Table1[Total (₹)]),"Missing"))</f>
        <v>1000</v>
      </c>
      <c r="G305" s="21">
        <f t="shared" si="13"/>
        <v>0</v>
      </c>
      <c r="H305" t="str">
        <f t="shared" si="14"/>
        <v>Match</v>
      </c>
      <c r="K305" t="str">
        <f>'System Generated 2026-08-24'!A305</f>
        <v>Sabudana</v>
      </c>
    </row>
    <row r="306" spans="1:11" x14ac:dyDescent="0.25">
      <c r="A306" t="str">
        <v>Paper 1000ml Rect. Bowl</v>
      </c>
      <c r="B306" s="20" t="str">
        <f>IF($A306="","",IFERROR(_xlfn.XLOOKUP($A306,'System Generated 2026-08-24'!$A:$A,'System Generated 2026-08-24'!$B:$B),"Missing"))</f>
        <v>Missing</v>
      </c>
      <c r="C306" s="20">
        <f>IF($A306="","",IFERROR(_xlfn.XLOOKUP($A306,Table1[Item],Table1[Current Stock]),"Missing"))</f>
        <v>5400</v>
      </c>
      <c r="D306" s="20" t="str">
        <f t="shared" si="12"/>
        <v>N/A</v>
      </c>
      <c r="E306" s="21" t="str">
        <f>IF($A306="","",IFERROR(_xlfn.XLOOKUP($A306,'System Generated 2026-08-24'!$A:$A,'System Generated 2026-08-24'!$E:$E),"Missing"))</f>
        <v>Missing</v>
      </c>
      <c r="F306" s="21">
        <f>IF($A306="","",IFERROR(_xlfn.XLOOKUP($A306,Table1[Item],Table1[Total (₹)]),"Missing"))</f>
        <v>63720</v>
      </c>
      <c r="G306" s="21" t="str">
        <f t="shared" si="13"/>
        <v>N/A</v>
      </c>
      <c r="H306" t="str">
        <f t="shared" si="14"/>
        <v>Missing in App</v>
      </c>
      <c r="K306" t="str">
        <f>'System Generated 2026-08-24'!A306</f>
        <v>Saffron</v>
      </c>
    </row>
    <row r="307" spans="1:11" x14ac:dyDescent="0.25">
      <c r="A307" t="str">
        <v>Paper 1000ml Rect. Lid</v>
      </c>
      <c r="B307" s="20" t="str">
        <f>IF($A307="","",IFERROR(_xlfn.XLOOKUP($A307,'System Generated 2026-08-24'!$A:$A,'System Generated 2026-08-24'!$B:$B),"Missing"))</f>
        <v>Missing</v>
      </c>
      <c r="C307" s="20">
        <f>IF($A307="","",IFERROR(_xlfn.XLOOKUP($A307,Table1[Item],Table1[Current Stock]),"Missing"))</f>
        <v>6000</v>
      </c>
      <c r="D307" s="20" t="str">
        <f t="shared" si="12"/>
        <v>N/A</v>
      </c>
      <c r="E307" s="21" t="str">
        <f>IF($A307="","",IFERROR(_xlfn.XLOOKUP($A307,'System Generated 2026-08-24'!$A:$A,'System Generated 2026-08-24'!$E:$E),"Missing"))</f>
        <v>Missing</v>
      </c>
      <c r="F307" s="21">
        <f>IF($A307="","",IFERROR(_xlfn.XLOOKUP($A307,Table1[Item],Table1[Total (₹)]),"Missing"))</f>
        <v>42480</v>
      </c>
      <c r="G307" s="21" t="str">
        <f t="shared" si="13"/>
        <v>N/A</v>
      </c>
      <c r="H307" t="str">
        <f t="shared" si="14"/>
        <v>Missing in App</v>
      </c>
      <c r="K307" t="str">
        <f>'System Generated 2026-08-24'!A307</f>
        <v>Sajeera</v>
      </c>
    </row>
    <row r="308" spans="1:11" x14ac:dyDescent="0.25">
      <c r="A308" t="str">
        <v>Paper 140ml Bowl</v>
      </c>
      <c r="B308" s="20" t="str">
        <f>IF($A308="","",IFERROR(_xlfn.XLOOKUP($A308,'System Generated 2026-08-24'!$A:$A,'System Generated 2026-08-24'!$B:$B),"Missing"))</f>
        <v>Missing</v>
      </c>
      <c r="C308" s="20">
        <f>IF($A308="","",IFERROR(_xlfn.XLOOKUP($A308,Table1[Item],Table1[Current Stock]),"Missing"))</f>
        <v>10100</v>
      </c>
      <c r="D308" s="20" t="str">
        <f t="shared" si="12"/>
        <v>N/A</v>
      </c>
      <c r="E308" s="21" t="str">
        <f>IF($A308="","",IFERROR(_xlfn.XLOOKUP($A308,'System Generated 2026-08-24'!$A:$A,'System Generated 2026-08-24'!$E:$E),"Missing"))</f>
        <v>Missing</v>
      </c>
      <c r="F308" s="21">
        <f>IF($A308="","",IFERROR(_xlfn.XLOOKUP($A308,Table1[Item],Table1[Total (₹)]),"Missing"))</f>
        <v>23836</v>
      </c>
      <c r="G308" s="21" t="str">
        <f t="shared" si="13"/>
        <v>N/A</v>
      </c>
      <c r="H308" t="str">
        <f t="shared" si="14"/>
        <v>Missing in App</v>
      </c>
      <c r="K308" t="str">
        <f>'System Generated 2026-08-24'!A308</f>
        <v>Salt Big</v>
      </c>
    </row>
    <row r="309" spans="1:11" x14ac:dyDescent="0.25">
      <c r="A309" t="str">
        <v>Paper 140ml Lid</v>
      </c>
      <c r="B309" s="20" t="str">
        <f>IF($A309="","",IFERROR(_xlfn.XLOOKUP($A309,'System Generated 2026-08-24'!$A:$A,'System Generated 2026-08-24'!$B:$B),"Missing"))</f>
        <v>Missing</v>
      </c>
      <c r="C309" s="20">
        <f>IF($A309="","",IFERROR(_xlfn.XLOOKUP($A309,Table1[Item],Table1[Current Stock]),"Missing"))</f>
        <v>10410</v>
      </c>
      <c r="D309" s="20" t="str">
        <f t="shared" si="12"/>
        <v>N/A</v>
      </c>
      <c r="E309" s="21" t="str">
        <f>IF($A309="","",IFERROR(_xlfn.XLOOKUP($A309,'System Generated 2026-08-24'!$A:$A,'System Generated 2026-08-24'!$E:$E),"Missing"))</f>
        <v>Missing</v>
      </c>
      <c r="F309" s="21">
        <f>IF($A309="","",IFERROR(_xlfn.XLOOKUP($A309,Table1[Item],Table1[Total (₹)]),"Missing"))</f>
        <v>17176.5</v>
      </c>
      <c r="G309" s="21" t="str">
        <f t="shared" si="13"/>
        <v>N/A</v>
      </c>
      <c r="H309" t="str">
        <f t="shared" si="14"/>
        <v>Missing in App</v>
      </c>
      <c r="K309" t="str">
        <f>'System Generated 2026-08-24'!A309</f>
        <v>Sandwich Box</v>
      </c>
    </row>
    <row r="310" spans="1:11" x14ac:dyDescent="0.25">
      <c r="A310" t="str">
        <v>Paper 350ml Bowl</v>
      </c>
      <c r="B310" s="20" t="str">
        <f>IF($A310="","",IFERROR(_xlfn.XLOOKUP($A310,'System Generated 2026-08-24'!$A:$A,'System Generated 2026-08-24'!$B:$B),"Missing"))</f>
        <v>Missing</v>
      </c>
      <c r="C310" s="20">
        <f>IF($A310="","",IFERROR(_xlfn.XLOOKUP($A310,Table1[Item],Table1[Current Stock]),"Missing"))</f>
        <v>5300</v>
      </c>
      <c r="D310" s="20" t="str">
        <f t="shared" si="12"/>
        <v>N/A</v>
      </c>
      <c r="E310" s="21" t="str">
        <f>IF($A310="","",IFERROR(_xlfn.XLOOKUP($A310,'System Generated 2026-08-24'!$A:$A,'System Generated 2026-08-24'!$E:$E),"Missing"))</f>
        <v>Missing</v>
      </c>
      <c r="F310" s="21">
        <f>IF($A310="","",IFERROR(_xlfn.XLOOKUP($A310,Table1[Item],Table1[Total (₹)]),"Missing"))</f>
        <v>21889</v>
      </c>
      <c r="G310" s="21" t="str">
        <f t="shared" si="13"/>
        <v>N/A</v>
      </c>
      <c r="H310" t="str">
        <f t="shared" si="14"/>
        <v>Missing in App</v>
      </c>
      <c r="K310" t="str">
        <f>'System Generated 2026-08-24'!A310</f>
        <v>Sandwich Bread</v>
      </c>
    </row>
    <row r="311" spans="1:11" x14ac:dyDescent="0.25">
      <c r="A311" t="str">
        <v>Paper 350ml Lid</v>
      </c>
      <c r="B311" s="20" t="str">
        <f>IF($A311="","",IFERROR(_xlfn.XLOOKUP($A311,'System Generated 2026-08-24'!$A:$A,'System Generated 2026-08-24'!$B:$B),"Missing"))</f>
        <v>Missing</v>
      </c>
      <c r="C311" s="20">
        <f>IF($A311="","",IFERROR(_xlfn.XLOOKUP($A311,Table1[Item],Table1[Current Stock]),"Missing"))</f>
        <v>5600</v>
      </c>
      <c r="D311" s="20" t="str">
        <f t="shared" si="12"/>
        <v>N/A</v>
      </c>
      <c r="E311" s="21" t="str">
        <f>IF($A311="","",IFERROR(_xlfn.XLOOKUP($A311,'System Generated 2026-08-24'!$A:$A,'System Generated 2026-08-24'!$E:$E),"Missing"))</f>
        <v>Missing</v>
      </c>
      <c r="F311" s="21">
        <f>IF($A311="","",IFERROR(_xlfn.XLOOKUP($A311,Table1[Item],Table1[Total (₹)]),"Missing"))</f>
        <v>19824</v>
      </c>
      <c r="G311" s="21" t="str">
        <f t="shared" si="13"/>
        <v>N/A</v>
      </c>
      <c r="H311" t="str">
        <f t="shared" si="14"/>
        <v>Missing in App</v>
      </c>
      <c r="K311" t="str">
        <f>'System Generated 2026-08-24'!A311</f>
        <v>Schezwan Chutney</v>
      </c>
    </row>
    <row r="312" spans="1:11" x14ac:dyDescent="0.25">
      <c r="A312" t="str">
        <v>Paper 500ml Bowl</v>
      </c>
      <c r="B312" s="20" t="str">
        <f>IF($A312="","",IFERROR(_xlfn.XLOOKUP($A312,'System Generated 2026-08-24'!$A:$A,'System Generated 2026-08-24'!$B:$B),"Missing"))</f>
        <v>Missing</v>
      </c>
      <c r="C312" s="20">
        <f>IF($A312="","",IFERROR(_xlfn.XLOOKUP($A312,Table1[Item],Table1[Current Stock]),"Missing"))</f>
        <v>4475</v>
      </c>
      <c r="D312" s="20" t="str">
        <f t="shared" si="12"/>
        <v>N/A</v>
      </c>
      <c r="E312" s="21" t="str">
        <f>IF($A312="","",IFERROR(_xlfn.XLOOKUP($A312,'System Generated 2026-08-24'!$A:$A,'System Generated 2026-08-24'!$E:$E),"Missing"))</f>
        <v>Missing</v>
      </c>
      <c r="F312" s="21">
        <f>IF($A312="","",IFERROR(_xlfn.XLOOKUP($A312,Table1[Item],Table1[Total (₹)]),"Missing"))</f>
        <v>26402.5</v>
      </c>
      <c r="G312" s="21" t="str">
        <f t="shared" si="13"/>
        <v>N/A</v>
      </c>
      <c r="H312" t="str">
        <f t="shared" si="14"/>
        <v>Missing in App</v>
      </c>
      <c r="K312" t="str">
        <f>'System Generated 2026-08-24'!A312</f>
        <v>Schezwan Sauce</v>
      </c>
    </row>
    <row r="313" spans="1:11" x14ac:dyDescent="0.25">
      <c r="A313" t="str">
        <v>Paper 500ml Lid</v>
      </c>
      <c r="B313" s="20" t="str">
        <f>IF($A313="","",IFERROR(_xlfn.XLOOKUP($A313,'System Generated 2026-08-24'!$A:$A,'System Generated 2026-08-24'!$B:$B),"Missing"))</f>
        <v>Missing</v>
      </c>
      <c r="C313" s="20">
        <f>IF($A313="","",IFERROR(_xlfn.XLOOKUP($A313,Table1[Item],Table1[Current Stock]),"Missing"))</f>
        <v>3900</v>
      </c>
      <c r="D313" s="20" t="str">
        <f t="shared" si="12"/>
        <v>N/A</v>
      </c>
      <c r="E313" s="21" t="str">
        <f>IF($A313="","",IFERROR(_xlfn.XLOOKUP($A313,'System Generated 2026-08-24'!$A:$A,'System Generated 2026-08-24'!$E:$E),"Missing"))</f>
        <v>Missing</v>
      </c>
      <c r="F313" s="21">
        <f>IF($A313="","",IFERROR(_xlfn.XLOOKUP($A313,Table1[Item],Table1[Total (₹)]),"Missing"))</f>
        <v>18408</v>
      </c>
      <c r="G313" s="21" t="str">
        <f t="shared" si="13"/>
        <v>N/A</v>
      </c>
      <c r="H313" t="str">
        <f t="shared" si="14"/>
        <v>Missing in App</v>
      </c>
      <c r="K313" t="str">
        <f>'System Generated 2026-08-24'!A313</f>
        <v>Scrubber Ordinary</v>
      </c>
    </row>
    <row r="314" spans="1:11" x14ac:dyDescent="0.25">
      <c r="A314" t="str">
        <v>Paper 750ml Rect. Bowl</v>
      </c>
      <c r="B314" s="20" t="str">
        <f>IF($A314="","",IFERROR(_xlfn.XLOOKUP($A314,'System Generated 2026-08-24'!$A:$A,'System Generated 2026-08-24'!$B:$B),"Missing"))</f>
        <v>Missing</v>
      </c>
      <c r="C314" s="20">
        <f>IF($A314="","",IFERROR(_xlfn.XLOOKUP($A314,Table1[Item],Table1[Current Stock]),"Missing"))</f>
        <v>5350</v>
      </c>
      <c r="D314" s="20" t="str">
        <f t="shared" si="12"/>
        <v>N/A</v>
      </c>
      <c r="E314" s="21" t="str">
        <f>IF($A314="","",IFERROR(_xlfn.XLOOKUP($A314,'System Generated 2026-08-24'!$A:$A,'System Generated 2026-08-24'!$E:$E),"Missing"))</f>
        <v>Missing</v>
      </c>
      <c r="F314" s="21">
        <f>IF($A314="","",IFERROR(_xlfn.XLOOKUP($A314,Table1[Item],Table1[Total (₹)]),"Missing"))</f>
        <v>46652</v>
      </c>
      <c r="G314" s="21" t="str">
        <f t="shared" si="13"/>
        <v>N/A</v>
      </c>
      <c r="H314" t="str">
        <f t="shared" si="14"/>
        <v>Missing in App</v>
      </c>
      <c r="K314" t="str">
        <f>'System Generated 2026-08-24'!A314</f>
        <v>Scrubber Plastic</v>
      </c>
    </row>
    <row r="315" spans="1:11" x14ac:dyDescent="0.25">
      <c r="A315" t="str">
        <v>Paper 750ml Rect. Lid</v>
      </c>
      <c r="B315" s="20" t="str">
        <f>IF($A315="","",IFERROR(_xlfn.XLOOKUP($A315,'System Generated 2026-08-24'!$A:$A,'System Generated 2026-08-24'!$B:$B),"Missing"))</f>
        <v>Missing</v>
      </c>
      <c r="C315" s="20">
        <f>IF($A315="","",IFERROR(_xlfn.XLOOKUP($A315,Table1[Item],Table1[Current Stock]),"Missing"))</f>
        <v>5350</v>
      </c>
      <c r="D315" s="20" t="str">
        <f t="shared" si="12"/>
        <v>N/A</v>
      </c>
      <c r="E315" s="21" t="str">
        <f>IF($A315="","",IFERROR(_xlfn.XLOOKUP($A315,'System Generated 2026-08-24'!$A:$A,'System Generated 2026-08-24'!$E:$E),"Missing"))</f>
        <v>Missing</v>
      </c>
      <c r="F315" s="21">
        <f>IF($A315="","",IFERROR(_xlfn.XLOOKUP($A315,Table1[Item],Table1[Total (₹)]),"Missing"))</f>
        <v>37878</v>
      </c>
      <c r="G315" s="21" t="str">
        <f t="shared" si="13"/>
        <v>N/A</v>
      </c>
      <c r="H315" t="str">
        <f t="shared" si="14"/>
        <v>Missing in App</v>
      </c>
      <c r="K315" t="str">
        <f>'System Generated 2026-08-24'!A315</f>
        <v>Scrubber Steel</v>
      </c>
    </row>
    <row r="316" spans="1:11" x14ac:dyDescent="0.25">
      <c r="A316" t="str">
        <v>Paper Cover White</v>
      </c>
      <c r="B316" s="20" t="str">
        <f>IF($A316="","",IFERROR(_xlfn.XLOOKUP($A316,'System Generated 2026-08-24'!$A:$A,'System Generated 2026-08-24'!$B:$B),"Missing"))</f>
        <v>Missing</v>
      </c>
      <c r="C316" s="20">
        <f>IF($A316="","",IFERROR(_xlfn.XLOOKUP($A316,Table1[Item],Table1[Current Stock]),"Missing"))</f>
        <v>0</v>
      </c>
      <c r="D316" s="20" t="str">
        <f t="shared" si="12"/>
        <v>N/A</v>
      </c>
      <c r="E316" s="21" t="str">
        <f>IF($A316="","",IFERROR(_xlfn.XLOOKUP($A316,'System Generated 2026-08-24'!$A:$A,'System Generated 2026-08-24'!$E:$E),"Missing"))</f>
        <v>Missing</v>
      </c>
      <c r="F316" s="21">
        <f>IF($A316="","",IFERROR(_xlfn.XLOOKUP($A316,Table1[Item],Table1[Total (₹)]),"Missing"))</f>
        <v>0</v>
      </c>
      <c r="G316" s="21" t="str">
        <f t="shared" si="13"/>
        <v>N/A</v>
      </c>
      <c r="H316" t="str">
        <f t="shared" si="14"/>
        <v>Missing in App</v>
      </c>
      <c r="K316" t="str">
        <f>'System Generated 2026-08-24'!A316</f>
        <v>Semiya</v>
      </c>
    </row>
    <row r="317" spans="1:11" x14ac:dyDescent="0.25">
      <c r="A317" t="str">
        <v>Paper Covers Small</v>
      </c>
      <c r="B317" s="20" t="str">
        <f>IF($A317="","",IFERROR(_xlfn.XLOOKUP($A317,'System Generated 2026-08-24'!$A:$A,'System Generated 2026-08-24'!$B:$B),"Missing"))</f>
        <v>Missing</v>
      </c>
      <c r="C317" s="20">
        <f>IF($A317="","",IFERROR(_xlfn.XLOOKUP($A317,Table1[Item],Table1[Current Stock]),"Missing"))</f>
        <v>0</v>
      </c>
      <c r="D317" s="20" t="str">
        <f t="shared" si="12"/>
        <v>N/A</v>
      </c>
      <c r="E317" s="21" t="str">
        <f>IF($A317="","",IFERROR(_xlfn.XLOOKUP($A317,'System Generated 2026-08-24'!$A:$A,'System Generated 2026-08-24'!$E:$E),"Missing"))</f>
        <v>Missing</v>
      </c>
      <c r="F317" s="21">
        <f>IF($A317="","",IFERROR(_xlfn.XLOOKUP($A317,Table1[Item],Table1[Total (₹)]),"Missing"))</f>
        <v>0</v>
      </c>
      <c r="G317" s="21" t="str">
        <f t="shared" si="13"/>
        <v>N/A</v>
      </c>
      <c r="H317" t="str">
        <f t="shared" si="14"/>
        <v>Missing in App</v>
      </c>
      <c r="K317" t="str">
        <f>'System Generated 2026-08-24'!A317</f>
        <v>Shampoo</v>
      </c>
    </row>
    <row r="318" spans="1:11" hidden="1" x14ac:dyDescent="0.25">
      <c r="A318" t="str">
        <v>Paper Rolls</v>
      </c>
      <c r="B318" s="20">
        <f>IF($A318="","",IFERROR(_xlfn.XLOOKUP($A318,'System Generated 2026-08-24'!$A:$A,'System Generated 2026-08-24'!$B:$B),"Missing"))</f>
        <v>7</v>
      </c>
      <c r="C318" s="20">
        <f>IF($A318="","",IFERROR(_xlfn.XLOOKUP($A318,Table1[Item],Table1[Current Stock]),"Missing"))</f>
        <v>7</v>
      </c>
      <c r="D318" s="20">
        <f t="shared" si="12"/>
        <v>0</v>
      </c>
      <c r="E318" s="21">
        <f>IF($A318="","",IFERROR(_xlfn.XLOOKUP($A318,'System Generated 2026-08-24'!$A:$A,'System Generated 2026-08-24'!$E:$E),"Missing"))</f>
        <v>326.39999999999998</v>
      </c>
      <c r="F318" s="21">
        <f>IF($A318="","",IFERROR(_xlfn.XLOOKUP($A318,Table1[Item],Table1[Total (₹)]),"Missing"))</f>
        <v>326.39999999999998</v>
      </c>
      <c r="G318" s="21">
        <f t="shared" si="13"/>
        <v>0</v>
      </c>
      <c r="H318" t="str">
        <f t="shared" si="14"/>
        <v>Match</v>
      </c>
      <c r="K318" t="str">
        <f>'System Generated 2026-08-24'!A318</f>
        <v>Shampoo Gel</v>
      </c>
    </row>
    <row r="319" spans="1:11" hidden="1" x14ac:dyDescent="0.25">
      <c r="A319" t="str">
        <v>Parcel Covers 4*6</v>
      </c>
      <c r="B319" s="20">
        <f>IF($A319="","",IFERROR(_xlfn.XLOOKUP($A319,'System Generated 2026-08-24'!$A:$A,'System Generated 2026-08-24'!$B:$B),"Missing"))</f>
        <v>25</v>
      </c>
      <c r="C319" s="20">
        <f>IF($A319="","",IFERROR(_xlfn.XLOOKUP($A319,Table1[Item],Table1[Current Stock]),"Missing"))</f>
        <v>25</v>
      </c>
      <c r="D319" s="20">
        <f t="shared" si="12"/>
        <v>0</v>
      </c>
      <c r="E319" s="21">
        <f>IF($A319="","",IFERROR(_xlfn.XLOOKUP($A319,'System Generated 2026-08-24'!$A:$A,'System Generated 2026-08-24'!$E:$E),"Missing"))</f>
        <v>1180.77</v>
      </c>
      <c r="F319" s="21">
        <f>IF($A319="","",IFERROR(_xlfn.XLOOKUP($A319,Table1[Item],Table1[Total (₹)]),"Missing"))</f>
        <v>1180.77</v>
      </c>
      <c r="G319" s="21">
        <f t="shared" si="13"/>
        <v>0</v>
      </c>
      <c r="H319" t="str">
        <f t="shared" si="14"/>
        <v>Match</v>
      </c>
      <c r="K319" t="str">
        <f>'System Generated 2026-08-24'!A319</f>
        <v>Shower Gel</v>
      </c>
    </row>
    <row r="320" spans="1:11" hidden="1" x14ac:dyDescent="0.25">
      <c r="A320" t="str">
        <v>Parcel Covers 5*8</v>
      </c>
      <c r="B320" s="20">
        <f>IF($A320="","",IFERROR(_xlfn.XLOOKUP($A320,'System Generated 2026-08-24'!$A:$A,'System Generated 2026-08-24'!$B:$B),"Missing"))</f>
        <v>40</v>
      </c>
      <c r="C320" s="20">
        <f>IF($A320="","",IFERROR(_xlfn.XLOOKUP($A320,Table1[Item],Table1[Current Stock]),"Missing"))</f>
        <v>40</v>
      </c>
      <c r="D320" s="20">
        <f t="shared" si="12"/>
        <v>0</v>
      </c>
      <c r="E320" s="21">
        <f>IF($A320="","",IFERROR(_xlfn.XLOOKUP($A320,'System Generated 2026-08-24'!$A:$A,'System Generated 2026-08-24'!$E:$E),"Missing"))</f>
        <v>2970.73</v>
      </c>
      <c r="F320" s="21">
        <f>IF($A320="","",IFERROR(_xlfn.XLOOKUP($A320,Table1[Item],Table1[Total (₹)]),"Missing"))</f>
        <v>2970.732</v>
      </c>
      <c r="G320" s="21">
        <f t="shared" si="13"/>
        <v>-1.9999999999527063E-3</v>
      </c>
      <c r="H320" t="str">
        <f t="shared" si="14"/>
        <v>Match</v>
      </c>
      <c r="K320" t="str">
        <f>'System Generated 2026-08-24'!A320</f>
        <v>Shyamagadda</v>
      </c>
    </row>
    <row r="321" spans="1:11" hidden="1" x14ac:dyDescent="0.25">
      <c r="A321" t="str">
        <v>Parcel Covers 6*9</v>
      </c>
      <c r="B321" s="20">
        <f>IF($A321="","",IFERROR(_xlfn.XLOOKUP($A321,'System Generated 2026-08-24'!$A:$A,'System Generated 2026-08-24'!$B:$B),"Missing"))</f>
        <v>47</v>
      </c>
      <c r="C321" s="20">
        <f>IF($A321="","",IFERROR(_xlfn.XLOOKUP($A321,Table1[Item],Table1[Current Stock]),"Missing"))</f>
        <v>47</v>
      </c>
      <c r="D321" s="20">
        <f t="shared" si="12"/>
        <v>0</v>
      </c>
      <c r="E321" s="21">
        <f>IF($A321="","",IFERROR(_xlfn.XLOOKUP($A321,'System Generated 2026-08-24'!$A:$A,'System Generated 2026-08-24'!$E:$E),"Missing"))</f>
        <v>3101.88</v>
      </c>
      <c r="F321" s="21">
        <f>IF($A321="","",IFERROR(_xlfn.XLOOKUP($A321,Table1[Item],Table1[Total (₹)]),"Missing"))</f>
        <v>3101.8780000000002</v>
      </c>
      <c r="G321" s="21">
        <f t="shared" si="13"/>
        <v>1.9999999999527063E-3</v>
      </c>
      <c r="H321" t="str">
        <f t="shared" si="14"/>
        <v>Match</v>
      </c>
      <c r="K321" t="str">
        <f>'System Generated 2026-08-24'!A321</f>
        <v>Silver Container Big</v>
      </c>
    </row>
    <row r="322" spans="1:11" hidden="1" x14ac:dyDescent="0.25">
      <c r="A322" t="str">
        <v>Party Chicken</v>
      </c>
      <c r="B322" s="20">
        <f>IF($A322="","",IFERROR(_xlfn.XLOOKUP($A322,'System Generated 2026-08-24'!$A:$A,'System Generated 2026-08-24'!$B:$B),"Missing"))</f>
        <v>46.5</v>
      </c>
      <c r="C322" s="20" t="str">
        <f>IF($A322="","",IFERROR(_xlfn.XLOOKUP($A322,Table1[Item],Table1[Current Stock]),"Missing"))</f>
        <v>Missing</v>
      </c>
      <c r="D322" s="20" t="str">
        <f t="shared" si="12"/>
        <v>N/A</v>
      </c>
      <c r="E322" s="21">
        <f>IF($A322="","",IFERROR(_xlfn.XLOOKUP($A322,'System Generated 2026-08-24'!$A:$A,'System Generated 2026-08-24'!$E:$E),"Missing"))</f>
        <v>11355.3</v>
      </c>
      <c r="F322" s="21" t="str">
        <f>IF($A322="","",IFERROR(_xlfn.XLOOKUP($A322,Table1[Item],Table1[Total (₹)]),"Missing"))</f>
        <v>Missing</v>
      </c>
      <c r="G322" s="21" t="str">
        <f t="shared" si="13"/>
        <v>N/A</v>
      </c>
      <c r="H322" t="str">
        <f t="shared" si="14"/>
        <v>Missing in Hotel Data</v>
      </c>
      <c r="K322" t="str">
        <f>'System Generated 2026-08-24'!A322</f>
        <v>Silver Foil</v>
      </c>
    </row>
    <row r="323" spans="1:11" x14ac:dyDescent="0.25">
      <c r="A323" t="str">
        <v>Party Chiken</v>
      </c>
      <c r="B323" s="20" t="str">
        <f>IF($A323="","",IFERROR(_xlfn.XLOOKUP($A323,'System Generated 2026-08-24'!$A:$A,'System Generated 2026-08-24'!$B:$B),"Missing"))</f>
        <v>Missing</v>
      </c>
      <c r="C323" s="20">
        <f>IF($A323="","",IFERROR(_xlfn.XLOOKUP($A323,Table1[Item],Table1[Current Stock]),"Missing"))</f>
        <v>0</v>
      </c>
      <c r="D323" s="20" t="str">
        <f t="shared" ref="D323:D386" si="15">IF($A323="","",IF(OR(B323="Missing",C323="Missing"),"N/A",B323-C323))</f>
        <v>N/A</v>
      </c>
      <c r="E323" s="21" t="str">
        <f>IF($A323="","",IFERROR(_xlfn.XLOOKUP($A323,'System Generated 2026-08-24'!$A:$A,'System Generated 2026-08-24'!$E:$E),"Missing"))</f>
        <v>Missing</v>
      </c>
      <c r="F323" s="21">
        <f>IF($A323="","",IFERROR(_xlfn.XLOOKUP($A323,Table1[Item],Table1[Total (₹)]),"Missing"))</f>
        <v>0</v>
      </c>
      <c r="G323" s="21" t="str">
        <f t="shared" ref="G323:G386" si="16">IF($A323="","",IF(OR(E323="Missing",F323="Missing"),"N/A",E323-F323))</f>
        <v>N/A</v>
      </c>
      <c r="H323" t="str">
        <f t="shared" ref="H323:H386" si="17">IF($A323="","",IF(B323="Missing","Missing in App",IF(C323="Missing","Missing in Hotel Data",IF(D323=0,"Match","Discrepancy"))))</f>
        <v>Missing in App</v>
      </c>
      <c r="K323" t="str">
        <f>'System Generated 2026-08-24'!A323</f>
        <v>Silver Pouch 5*7</v>
      </c>
    </row>
    <row r="324" spans="1:11" x14ac:dyDescent="0.25">
      <c r="A324" t="str">
        <v>Party Item Cook</v>
      </c>
      <c r="B324" s="20" t="str">
        <f>IF($A324="","",IFERROR(_xlfn.XLOOKUP($A324,'System Generated 2026-08-24'!$A:$A,'System Generated 2026-08-24'!$B:$B),"Missing"))</f>
        <v>Missing</v>
      </c>
      <c r="C324" s="20">
        <f>IF($A324="","",IFERROR(_xlfn.XLOOKUP($A324,Table1[Item],Table1[Current Stock]),"Missing"))</f>
        <v>0</v>
      </c>
      <c r="D324" s="20" t="str">
        <f t="shared" si="15"/>
        <v>N/A</v>
      </c>
      <c r="E324" s="21" t="str">
        <f>IF($A324="","",IFERROR(_xlfn.XLOOKUP($A324,'System Generated 2026-08-24'!$A:$A,'System Generated 2026-08-24'!$E:$E),"Missing"))</f>
        <v>Missing</v>
      </c>
      <c r="F324" s="21">
        <f>IF($A324="","",IFERROR(_xlfn.XLOOKUP($A324,Table1[Item],Table1[Total (₹)]),"Missing"))</f>
        <v>0</v>
      </c>
      <c r="G324" s="21" t="str">
        <f t="shared" si="16"/>
        <v>N/A</v>
      </c>
      <c r="H324" t="str">
        <f t="shared" si="17"/>
        <v>Missing in App</v>
      </c>
      <c r="K324" t="str">
        <f>'System Generated 2026-08-24'!A324</f>
        <v>Silver Pouch 6*8</v>
      </c>
    </row>
    <row r="325" spans="1:11" hidden="1" x14ac:dyDescent="0.25">
      <c r="A325" t="str">
        <v>Pasta</v>
      </c>
      <c r="B325" s="20">
        <f>IF($A325="","",IFERROR(_xlfn.XLOOKUP($A325,'System Generated 2026-08-24'!$A:$A,'System Generated 2026-08-24'!$B:$B),"Missing"))</f>
        <v>6</v>
      </c>
      <c r="C325" s="20">
        <f>IF($A325="","",IFERROR(_xlfn.XLOOKUP($A325,Table1[Item],Table1[Current Stock]),"Missing"))</f>
        <v>6</v>
      </c>
      <c r="D325" s="20">
        <f t="shared" si="15"/>
        <v>0</v>
      </c>
      <c r="E325" s="21">
        <f>IF($A325="","",IFERROR(_xlfn.XLOOKUP($A325,'System Generated 2026-08-24'!$A:$A,'System Generated 2026-08-24'!$E:$E),"Missing"))</f>
        <v>540</v>
      </c>
      <c r="F325" s="21">
        <f>IF($A325="","",IFERROR(_xlfn.XLOOKUP($A325,Table1[Item],Table1[Total (₹)]),"Missing"))</f>
        <v>540</v>
      </c>
      <c r="G325" s="21">
        <f t="shared" si="16"/>
        <v>0</v>
      </c>
      <c r="H325" t="str">
        <f t="shared" si="17"/>
        <v>Match</v>
      </c>
      <c r="K325" t="str">
        <f>'System Generated 2026-08-24'!A325</f>
        <v>Silver Pouch 7*9</v>
      </c>
    </row>
    <row r="326" spans="1:11" hidden="1" x14ac:dyDescent="0.25">
      <c r="A326" t="str">
        <v>Pather Pool</v>
      </c>
      <c r="B326" s="20">
        <f>IF($A326="","",IFERROR(_xlfn.XLOOKUP($A326,'System Generated 2026-08-24'!$A:$A,'System Generated 2026-08-24'!$B:$B),"Missing"))</f>
        <v>0.59</v>
      </c>
      <c r="C326" s="20">
        <f>IF($A326="","",IFERROR(_xlfn.XLOOKUP($A326,Table1[Item],Table1[Current Stock]),"Missing"))</f>
        <v>0.59</v>
      </c>
      <c r="D326" s="20">
        <f t="shared" si="15"/>
        <v>0</v>
      </c>
      <c r="E326" s="21">
        <f>IF($A326="","",IFERROR(_xlfn.XLOOKUP($A326,'System Generated 2026-08-24'!$A:$A,'System Generated 2026-08-24'!$E:$E),"Missing"))</f>
        <v>365.8</v>
      </c>
      <c r="F326" s="21">
        <f>IF($A326="","",IFERROR(_xlfn.XLOOKUP($A326,Table1[Item],Table1[Total (₹)]),"Missing"))</f>
        <v>365.8</v>
      </c>
      <c r="G326" s="21">
        <f t="shared" si="16"/>
        <v>0</v>
      </c>
      <c r="H326" t="str">
        <f t="shared" si="17"/>
        <v>Match</v>
      </c>
      <c r="K326" t="str">
        <f>'System Generated 2026-08-24'!A326</f>
        <v>Silver Pouch 8*10</v>
      </c>
    </row>
    <row r="327" spans="1:11" hidden="1" x14ac:dyDescent="0.25">
      <c r="A327" t="str">
        <v>Pav</v>
      </c>
      <c r="B327" s="20">
        <f>IF($A327="","",IFERROR(_xlfn.XLOOKUP($A327,'System Generated 2026-08-24'!$A:$A,'System Generated 2026-08-24'!$B:$B),"Missing"))</f>
        <v>10</v>
      </c>
      <c r="C327" s="20">
        <f>IF($A327="","",IFERROR(_xlfn.XLOOKUP($A327,Table1[Item],Table1[Current Stock]),"Missing"))</f>
        <v>10</v>
      </c>
      <c r="D327" s="20">
        <f t="shared" si="15"/>
        <v>0</v>
      </c>
      <c r="E327" s="21">
        <f>IF($A327="","",IFERROR(_xlfn.XLOOKUP($A327,'System Generated 2026-08-24'!$A:$A,'System Generated 2026-08-24'!$E:$E),"Missing"))</f>
        <v>471.5</v>
      </c>
      <c r="F327" s="21">
        <f>IF($A327="","",IFERROR(_xlfn.XLOOKUP($A327,Table1[Item],Table1[Total (₹)]),"Missing"))</f>
        <v>471.5</v>
      </c>
      <c r="G327" s="21">
        <f t="shared" si="16"/>
        <v>0</v>
      </c>
      <c r="H327" t="str">
        <f t="shared" si="17"/>
        <v>Match</v>
      </c>
      <c r="K327" t="str">
        <f>'System Generated 2026-08-24'!A327</f>
        <v>Silver Pouch 9*12</v>
      </c>
    </row>
    <row r="328" spans="1:11" hidden="1" x14ac:dyDescent="0.25">
      <c r="A328" t="str">
        <v>Pavbaji Masala</v>
      </c>
      <c r="B328" s="20">
        <f>IF($A328="","",IFERROR(_xlfn.XLOOKUP($A328,'System Generated 2026-08-24'!$A:$A,'System Generated 2026-08-24'!$B:$B),"Missing"))</f>
        <v>3</v>
      </c>
      <c r="C328" s="20">
        <f>IF($A328="","",IFERROR(_xlfn.XLOOKUP($A328,Table1[Item],Table1[Current Stock]),"Missing"))</f>
        <v>3</v>
      </c>
      <c r="D328" s="20">
        <f t="shared" si="15"/>
        <v>0</v>
      </c>
      <c r="E328" s="21">
        <f>IF($A328="","",IFERROR(_xlfn.XLOOKUP($A328,'System Generated 2026-08-24'!$A:$A,'System Generated 2026-08-24'!$E:$E),"Missing"))</f>
        <v>2007</v>
      </c>
      <c r="F328" s="21">
        <f>IF($A328="","",IFERROR(_xlfn.XLOOKUP($A328,Table1[Item],Table1[Total (₹)]),"Missing"))</f>
        <v>2007</v>
      </c>
      <c r="G328" s="21">
        <f t="shared" si="16"/>
        <v>0</v>
      </c>
      <c r="H328" t="str">
        <f t="shared" si="17"/>
        <v>Match</v>
      </c>
      <c r="K328" t="str">
        <f>'System Generated 2026-08-24'!A328</f>
        <v>Small Onion</v>
      </c>
    </row>
    <row r="329" spans="1:11" hidden="1" x14ac:dyDescent="0.25">
      <c r="A329" t="str">
        <v>Pepper</v>
      </c>
      <c r="B329" s="20">
        <f>IF($A329="","",IFERROR(_xlfn.XLOOKUP($A329,'System Generated 2026-08-24'!$A:$A,'System Generated 2026-08-24'!$B:$B),"Missing"))</f>
        <v>6.8500003999999999</v>
      </c>
      <c r="C329" s="20" t="str">
        <f>IF($A329="","",IFERROR(_xlfn.XLOOKUP($A329,Table1[Item],Table1[Current Stock]),"Missing"))</f>
        <v>Missing</v>
      </c>
      <c r="D329" s="20" t="str">
        <f t="shared" si="15"/>
        <v>N/A</v>
      </c>
      <c r="E329" s="21">
        <f>IF($A329="","",IFERROR(_xlfn.XLOOKUP($A329,'System Generated 2026-08-24'!$A:$A,'System Generated 2026-08-24'!$E:$E),"Missing"))</f>
        <v>685</v>
      </c>
      <c r="F329" s="21" t="str">
        <f>IF($A329="","",IFERROR(_xlfn.XLOOKUP($A329,Table1[Item],Table1[Total (₹)]),"Missing"))</f>
        <v>Missing</v>
      </c>
      <c r="G329" s="21" t="str">
        <f t="shared" si="16"/>
        <v>N/A</v>
      </c>
      <c r="H329" t="str">
        <f t="shared" si="17"/>
        <v>Missing in Hotel Data</v>
      </c>
      <c r="K329" t="str">
        <f>'System Generated 2026-08-24'!A329</f>
        <v>Soap Oil</v>
      </c>
    </row>
    <row r="330" spans="1:11" hidden="1" x14ac:dyDescent="0.25">
      <c r="A330" t="str">
        <v>Peri Peri</v>
      </c>
      <c r="B330" s="20">
        <f>IF($A330="","",IFERROR(_xlfn.XLOOKUP($A330,'System Generated 2026-08-24'!$A:$A,'System Generated 2026-08-24'!$B:$B),"Missing"))</f>
        <v>2</v>
      </c>
      <c r="C330" s="20">
        <f>IF($A330="","",IFERROR(_xlfn.XLOOKUP($A330,Table1[Item],Table1[Current Stock]),"Missing"))</f>
        <v>2</v>
      </c>
      <c r="D330" s="20">
        <f t="shared" si="15"/>
        <v>0</v>
      </c>
      <c r="E330" s="21">
        <f>IF($A330="","",IFERROR(_xlfn.XLOOKUP($A330,'System Generated 2026-08-24'!$A:$A,'System Generated 2026-08-24'!$E:$E),"Missing"))</f>
        <v>1014.97</v>
      </c>
      <c r="F330" s="21">
        <f>IF($A330="","",IFERROR(_xlfn.XLOOKUP($A330,Table1[Item],Table1[Total (₹)]),"Missing"))</f>
        <v>1014.966</v>
      </c>
      <c r="G330" s="21">
        <f t="shared" si="16"/>
        <v>4.0000000000190994E-3</v>
      </c>
      <c r="H330" t="str">
        <f t="shared" si="17"/>
        <v>Match</v>
      </c>
      <c r="K330" t="str">
        <f>'System Generated 2026-08-24'!A330</f>
        <v>Soaps</v>
      </c>
    </row>
    <row r="331" spans="1:11" hidden="1" x14ac:dyDescent="0.25">
      <c r="A331" t="str">
        <v>Pesarlu</v>
      </c>
      <c r="B331" s="20">
        <f>IF($A331="","",IFERROR(_xlfn.XLOOKUP($A331,'System Generated 2026-08-24'!$A:$A,'System Generated 2026-08-24'!$B:$B),"Missing"))</f>
        <v>39.4</v>
      </c>
      <c r="C331" s="20">
        <f>IF($A331="","",IFERROR(_xlfn.XLOOKUP($A331,Table1[Item],Table1[Current Stock]),"Missing"))</f>
        <v>39.4</v>
      </c>
      <c r="D331" s="20">
        <f t="shared" si="15"/>
        <v>0</v>
      </c>
      <c r="E331" s="21">
        <f>IF($A331="","",IFERROR(_xlfn.XLOOKUP($A331,'System Generated 2026-08-24'!$A:$A,'System Generated 2026-08-24'!$E:$E),"Missing"))</f>
        <v>3913.73</v>
      </c>
      <c r="F331" s="21">
        <f>IF($A331="","",IFERROR(_xlfn.XLOOKUP($A331,Table1[Item],Table1[Total (₹)]),"Missing"))</f>
        <v>3913.732</v>
      </c>
      <c r="G331" s="21">
        <f t="shared" si="16"/>
        <v>-1.9999999999527063E-3</v>
      </c>
      <c r="H331" t="str">
        <f t="shared" si="17"/>
        <v>Match</v>
      </c>
      <c r="K331" t="str">
        <f>'System Generated 2026-08-24'!A331</f>
        <v>Soda 750 Ml</v>
      </c>
    </row>
    <row r="332" spans="1:11" hidden="1" x14ac:dyDescent="0.25">
      <c r="A332" t="str">
        <v>Pillow Covers</v>
      </c>
      <c r="B332" s="20">
        <f>IF($A332="","",IFERROR(_xlfn.XLOOKUP($A332,'System Generated 2026-08-24'!$A:$A,'System Generated 2026-08-24'!$B:$B),"Missing"))</f>
        <v>40</v>
      </c>
      <c r="C332" s="20">
        <f>IF($A332="","",IFERROR(_xlfn.XLOOKUP($A332,Table1[Item],Table1[Current Stock]),"Missing"))</f>
        <v>40</v>
      </c>
      <c r="D332" s="20">
        <f t="shared" si="15"/>
        <v>0</v>
      </c>
      <c r="E332" s="21">
        <f>IF($A332="","",IFERROR(_xlfn.XLOOKUP($A332,'System Generated 2026-08-24'!$A:$A,'System Generated 2026-08-24'!$E:$E),"Missing"))</f>
        <v>1680.5</v>
      </c>
      <c r="F332" s="21">
        <f>IF($A332="","",IFERROR(_xlfn.XLOOKUP($A332,Table1[Item],Table1[Total (₹)]),"Missing"))</f>
        <v>1680.5</v>
      </c>
      <c r="G332" s="21">
        <f t="shared" si="16"/>
        <v>0</v>
      </c>
      <c r="H332" t="str">
        <f t="shared" si="17"/>
        <v>Match</v>
      </c>
      <c r="K332" t="str">
        <f>'System Generated 2026-08-24'!A332</f>
        <v>Softy Chocolate Milk</v>
      </c>
    </row>
    <row r="333" spans="1:11" x14ac:dyDescent="0.25">
      <c r="A333" t="str">
        <v>Pine Apple Big</v>
      </c>
      <c r="B333" s="20" t="str">
        <f>IF($A333="","",IFERROR(_xlfn.XLOOKUP($A333,'System Generated 2026-08-24'!$A:$A,'System Generated 2026-08-24'!$B:$B),"Missing"))</f>
        <v>Missing</v>
      </c>
      <c r="C333" s="20">
        <f>IF($A333="","",IFERROR(_xlfn.XLOOKUP($A333,Table1[Item],Table1[Current Stock]),"Missing"))</f>
        <v>0</v>
      </c>
      <c r="D333" s="20" t="str">
        <f t="shared" si="15"/>
        <v>N/A</v>
      </c>
      <c r="E333" s="21" t="str">
        <f>IF($A333="","",IFERROR(_xlfn.XLOOKUP($A333,'System Generated 2026-08-24'!$A:$A,'System Generated 2026-08-24'!$E:$E),"Missing"))</f>
        <v>Missing</v>
      </c>
      <c r="F333" s="21">
        <f>IF($A333="","",IFERROR(_xlfn.XLOOKUP($A333,Table1[Item],Table1[Total (₹)]),"Missing"))</f>
        <v>0</v>
      </c>
      <c r="G333" s="21" t="str">
        <f t="shared" si="16"/>
        <v>N/A</v>
      </c>
      <c r="H333" t="str">
        <f t="shared" si="17"/>
        <v>Missing in App</v>
      </c>
      <c r="K333" t="str">
        <f>'System Generated 2026-08-24'!A333</f>
        <v>Softy Vanilla Milk</v>
      </c>
    </row>
    <row r="334" spans="1:11" hidden="1" x14ac:dyDescent="0.25">
      <c r="A334" t="str">
        <v>Pineapple</v>
      </c>
      <c r="B334" s="20">
        <f>IF($A334="","",IFERROR(_xlfn.XLOOKUP($A334,'System Generated 2026-08-24'!$A:$A,'System Generated 2026-08-24'!$B:$B),"Missing"))</f>
        <v>0</v>
      </c>
      <c r="C334" s="20">
        <f>IF($A334="","",IFERROR(_xlfn.XLOOKUP($A334,Table1[Item],Table1[Current Stock]),"Missing"))</f>
        <v>0</v>
      </c>
      <c r="D334" s="20">
        <f t="shared" si="15"/>
        <v>0</v>
      </c>
      <c r="E334" s="21">
        <f>IF($A334="","",IFERROR(_xlfn.XLOOKUP($A334,'System Generated 2026-08-24'!$A:$A,'System Generated 2026-08-24'!$E:$E),"Missing"))</f>
        <v>0</v>
      </c>
      <c r="F334" s="21">
        <f>IF($A334="","",IFERROR(_xlfn.XLOOKUP($A334,Table1[Item],Table1[Total (₹)]),"Missing"))</f>
        <v>0</v>
      </c>
      <c r="G334" s="21">
        <f t="shared" si="16"/>
        <v>0</v>
      </c>
      <c r="H334" t="str">
        <f t="shared" si="17"/>
        <v>Match</v>
      </c>
      <c r="K334" t="str">
        <f>'System Generated 2026-08-24'!A334</f>
        <v>Somp</v>
      </c>
    </row>
    <row r="335" spans="1:11" x14ac:dyDescent="0.25">
      <c r="A335" t="str">
        <v>Pineapple Crush</v>
      </c>
      <c r="B335" s="20" t="str">
        <f>IF($A335="","",IFERROR(_xlfn.XLOOKUP($A335,'System Generated 2026-08-24'!$A:$A,'System Generated 2026-08-24'!$B:$B),"Missing"))</f>
        <v>Missing</v>
      </c>
      <c r="C335" s="20">
        <f>IF($A335="","",IFERROR(_xlfn.XLOOKUP($A335,Table1[Item],Table1[Current Stock]),"Missing"))</f>
        <v>0</v>
      </c>
      <c r="D335" s="20" t="str">
        <f t="shared" si="15"/>
        <v>N/A</v>
      </c>
      <c r="E335" s="21" t="str">
        <f>IF($A335="","",IFERROR(_xlfn.XLOOKUP($A335,'System Generated 2026-08-24'!$A:$A,'System Generated 2026-08-24'!$E:$E),"Missing"))</f>
        <v>Missing</v>
      </c>
      <c r="F335" s="21">
        <f>IF($A335="","",IFERROR(_xlfn.XLOOKUP($A335,Table1[Item],Table1[Total (₹)]),"Missing"))</f>
        <v>0</v>
      </c>
      <c r="G335" s="21" t="str">
        <f t="shared" si="16"/>
        <v>N/A</v>
      </c>
      <c r="H335" t="str">
        <f t="shared" si="17"/>
        <v>Missing in App</v>
      </c>
      <c r="K335" t="str">
        <f>'System Generated 2026-08-24'!A335</f>
        <v>Somp White</v>
      </c>
    </row>
    <row r="336" spans="1:11" x14ac:dyDescent="0.25">
      <c r="A336" t="str">
        <v>Pineapple Essence</v>
      </c>
      <c r="B336" s="20" t="str">
        <f>IF($A336="","",IFERROR(_xlfn.XLOOKUP($A336,'System Generated 2026-08-24'!$A:$A,'System Generated 2026-08-24'!$B:$B),"Missing"))</f>
        <v>Missing</v>
      </c>
      <c r="C336" s="20">
        <f>IF($A336="","",IFERROR(_xlfn.XLOOKUP($A336,Table1[Item],Table1[Current Stock]),"Missing"))</f>
        <v>2</v>
      </c>
      <c r="D336" s="20" t="str">
        <f t="shared" si="15"/>
        <v>N/A</v>
      </c>
      <c r="E336" s="21" t="str">
        <f>IF($A336="","",IFERROR(_xlfn.XLOOKUP($A336,'System Generated 2026-08-24'!$A:$A,'System Generated 2026-08-24'!$E:$E),"Missing"))</f>
        <v>Missing</v>
      </c>
      <c r="F336" s="21">
        <f>IF($A336="","",IFERROR(_xlfn.XLOOKUP($A336,Table1[Item],Table1[Total (₹)]),"Missing"))</f>
        <v>66.667000000000002</v>
      </c>
      <c r="G336" s="21" t="str">
        <f t="shared" si="16"/>
        <v>N/A</v>
      </c>
      <c r="H336" t="str">
        <f t="shared" si="17"/>
        <v>Missing in App</v>
      </c>
      <c r="K336" t="str">
        <f>'System Generated 2026-08-24'!A336</f>
        <v>Soya Sauce</v>
      </c>
    </row>
    <row r="337" spans="1:11" hidden="1" x14ac:dyDescent="0.25">
      <c r="A337" t="str">
        <v>Pineapple Syrup</v>
      </c>
      <c r="B337" s="20">
        <f>IF($A337="","",IFERROR(_xlfn.XLOOKUP($A337,'System Generated 2026-08-24'!$A:$A,'System Generated 2026-08-24'!$B:$B),"Missing"))</f>
        <v>0</v>
      </c>
      <c r="C337" s="20">
        <f>IF($A337="","",IFERROR(_xlfn.XLOOKUP($A337,Table1[Item],Table1[Current Stock]),"Missing"))</f>
        <v>0</v>
      </c>
      <c r="D337" s="20">
        <f t="shared" si="15"/>
        <v>0</v>
      </c>
      <c r="E337" s="21">
        <f>IF($A337="","",IFERROR(_xlfn.XLOOKUP($A337,'System Generated 2026-08-24'!$A:$A,'System Generated 2026-08-24'!$E:$E),"Missing"))</f>
        <v>0</v>
      </c>
      <c r="F337" s="21">
        <f>IF($A337="","",IFERROR(_xlfn.XLOOKUP($A337,Table1[Item],Table1[Total (₹)]),"Missing"))</f>
        <v>0</v>
      </c>
      <c r="G337" s="21">
        <f t="shared" si="16"/>
        <v>0</v>
      </c>
      <c r="H337" t="str">
        <f t="shared" si="17"/>
        <v>Match</v>
      </c>
      <c r="K337" t="str">
        <f>'System Generated 2026-08-24'!A337</f>
        <v>Sp.milk</v>
      </c>
    </row>
    <row r="338" spans="1:11" hidden="1" x14ac:dyDescent="0.25">
      <c r="A338" t="str">
        <v>Pista</v>
      </c>
      <c r="B338" s="20">
        <f>IF($A338="","",IFERROR(_xlfn.XLOOKUP($A338,'System Generated 2026-08-24'!$A:$A,'System Generated 2026-08-24'!$B:$B),"Missing"))</f>
        <v>1.5</v>
      </c>
      <c r="C338" s="20">
        <f>IF($A338="","",IFERROR(_xlfn.XLOOKUP($A338,Table1[Item],Table1[Current Stock]),"Missing"))</f>
        <v>1.5</v>
      </c>
      <c r="D338" s="20">
        <f t="shared" si="15"/>
        <v>0</v>
      </c>
      <c r="E338" s="21">
        <f>IF($A338="","",IFERROR(_xlfn.XLOOKUP($A338,'System Generated 2026-08-24'!$A:$A,'System Generated 2026-08-24'!$E:$E),"Missing"))</f>
        <v>3442.5</v>
      </c>
      <c r="F338" s="21">
        <f>IF($A338="","",IFERROR(_xlfn.XLOOKUP($A338,Table1[Item],Table1[Total (₹)]),"Missing"))</f>
        <v>3442.5</v>
      </c>
      <c r="G338" s="21">
        <f t="shared" si="16"/>
        <v>0</v>
      </c>
      <c r="H338" t="str">
        <f t="shared" si="17"/>
        <v>Match</v>
      </c>
      <c r="K338" t="str">
        <f>'System Generated 2026-08-24'!A338</f>
        <v>Sponge</v>
      </c>
    </row>
    <row r="339" spans="1:11" hidden="1" x14ac:dyDescent="0.25">
      <c r="A339" t="str">
        <v>Pista Ice Cream</v>
      </c>
      <c r="B339" s="20">
        <f>IF($A339="","",IFERROR(_xlfn.XLOOKUP($A339,'System Generated 2026-08-24'!$A:$A,'System Generated 2026-08-24'!$B:$B),"Missing"))</f>
        <v>0</v>
      </c>
      <c r="C339" s="20">
        <f>IF($A339="","",IFERROR(_xlfn.XLOOKUP($A339,Table1[Item],Table1[Current Stock]),"Missing"))</f>
        <v>0</v>
      </c>
      <c r="D339" s="20">
        <f t="shared" si="15"/>
        <v>0</v>
      </c>
      <c r="E339" s="21">
        <f>IF($A339="","",IFERROR(_xlfn.XLOOKUP($A339,'System Generated 2026-08-24'!$A:$A,'System Generated 2026-08-24'!$E:$E),"Missing"))</f>
        <v>0</v>
      </c>
      <c r="F339" s="21">
        <f>IF($A339="","",IFERROR(_xlfn.XLOOKUP($A339,Table1[Item],Table1[Total (₹)]),"Missing"))</f>
        <v>0</v>
      </c>
      <c r="G339" s="21">
        <f t="shared" si="16"/>
        <v>0</v>
      </c>
      <c r="H339" t="str">
        <f t="shared" si="17"/>
        <v>Match</v>
      </c>
      <c r="K339" t="str">
        <f>'System Generated 2026-08-24'!A339</f>
        <v>Spring Onion</v>
      </c>
    </row>
    <row r="340" spans="1:11" hidden="1" x14ac:dyDescent="0.25">
      <c r="A340" t="str">
        <v>Pitambaram</v>
      </c>
      <c r="B340" s="20">
        <f>IF($A340="","",IFERROR(_xlfn.XLOOKUP($A340,'System Generated 2026-08-24'!$A:$A,'System Generated 2026-08-24'!$B:$B),"Missing"))</f>
        <v>2</v>
      </c>
      <c r="C340" s="20">
        <f>IF($A340="","",IFERROR(_xlfn.XLOOKUP($A340,Table1[Item],Table1[Current Stock]),"Missing"))</f>
        <v>2</v>
      </c>
      <c r="D340" s="20">
        <f t="shared" si="15"/>
        <v>0</v>
      </c>
      <c r="E340" s="21">
        <f>IF($A340="","",IFERROR(_xlfn.XLOOKUP($A340,'System Generated 2026-08-24'!$A:$A,'System Generated 2026-08-24'!$E:$E),"Missing"))</f>
        <v>516.79999999999995</v>
      </c>
      <c r="F340" s="21">
        <f>IF($A340="","",IFERROR(_xlfn.XLOOKUP($A340,Table1[Item],Table1[Total (₹)]),"Missing"))</f>
        <v>516.79999999999995</v>
      </c>
      <c r="G340" s="21">
        <f t="shared" si="16"/>
        <v>0</v>
      </c>
      <c r="H340" t="str">
        <f t="shared" si="17"/>
        <v>Match</v>
      </c>
      <c r="K340" t="str">
        <f>'System Generated 2026-08-24'!A340</f>
        <v>Spring Rolls</v>
      </c>
    </row>
    <row r="341" spans="1:11" hidden="1" x14ac:dyDescent="0.25">
      <c r="A341" t="str">
        <v>Pizza Box Big</v>
      </c>
      <c r="B341" s="20">
        <f>IF($A341="","",IFERROR(_xlfn.XLOOKUP($A341,'System Generated 2026-08-24'!$A:$A,'System Generated 2026-08-24'!$B:$B),"Missing"))</f>
        <v>96</v>
      </c>
      <c r="C341" s="20">
        <f>IF($A341="","",IFERROR(_xlfn.XLOOKUP($A341,Table1[Item],Table1[Current Stock]),"Missing"))</f>
        <v>96</v>
      </c>
      <c r="D341" s="20">
        <f t="shared" si="15"/>
        <v>0</v>
      </c>
      <c r="E341" s="21">
        <f>IF($A341="","",IFERROR(_xlfn.XLOOKUP($A341,'System Generated 2026-08-24'!$A:$A,'System Generated 2026-08-24'!$E:$E),"Missing"))</f>
        <v>648</v>
      </c>
      <c r="F341" s="21">
        <f>IF($A341="","",IFERROR(_xlfn.XLOOKUP($A341,Table1[Item],Table1[Total (₹)]),"Missing"))</f>
        <v>648</v>
      </c>
      <c r="G341" s="21">
        <f t="shared" si="16"/>
        <v>0</v>
      </c>
      <c r="H341" t="str">
        <f t="shared" si="17"/>
        <v>Match</v>
      </c>
      <c r="K341" t="str">
        <f>'System Generated 2026-08-24'!A341</f>
        <v>SPRITE 250ml</v>
      </c>
    </row>
    <row r="342" spans="1:11" hidden="1" x14ac:dyDescent="0.25">
      <c r="A342" t="str">
        <v>Pizza Box Small</v>
      </c>
      <c r="B342" s="20">
        <f>IF($A342="","",IFERROR(_xlfn.XLOOKUP($A342,'System Generated 2026-08-24'!$A:$A,'System Generated 2026-08-24'!$B:$B),"Missing"))</f>
        <v>106</v>
      </c>
      <c r="C342" s="20">
        <f>IF($A342="","",IFERROR(_xlfn.XLOOKUP($A342,Table1[Item],Table1[Current Stock]),"Missing"))</f>
        <v>106</v>
      </c>
      <c r="D342" s="20">
        <f t="shared" si="15"/>
        <v>0</v>
      </c>
      <c r="E342" s="21">
        <f>IF($A342="","",IFERROR(_xlfn.XLOOKUP($A342,'System Generated 2026-08-24'!$A:$A,'System Generated 2026-08-24'!$E:$E),"Missing"))</f>
        <v>689</v>
      </c>
      <c r="F342" s="21">
        <f>IF($A342="","",IFERROR(_xlfn.XLOOKUP($A342,Table1[Item],Table1[Total (₹)]),"Missing"))</f>
        <v>689</v>
      </c>
      <c r="G342" s="21">
        <f t="shared" si="16"/>
        <v>0</v>
      </c>
      <c r="H342" t="str">
        <f t="shared" si="17"/>
        <v>Match</v>
      </c>
      <c r="K342" t="str">
        <f>'System Generated 2026-08-24'!A342</f>
        <v>Sprite 750 Ml</v>
      </c>
    </row>
    <row r="343" spans="1:11" hidden="1" x14ac:dyDescent="0.25">
      <c r="A343" t="str">
        <v>Pizza Sauce</v>
      </c>
      <c r="B343" s="20">
        <f>IF($A343="","",IFERROR(_xlfn.XLOOKUP($A343,'System Generated 2026-08-24'!$A:$A,'System Generated 2026-08-24'!$B:$B),"Missing"))</f>
        <v>9</v>
      </c>
      <c r="C343" s="20">
        <f>IF($A343="","",IFERROR(_xlfn.XLOOKUP($A343,Table1[Item],Table1[Current Stock]),"Missing"))</f>
        <v>9</v>
      </c>
      <c r="D343" s="20">
        <f t="shared" si="15"/>
        <v>0</v>
      </c>
      <c r="E343" s="21">
        <f>IF($A343="","",IFERROR(_xlfn.XLOOKUP($A343,'System Generated 2026-08-24'!$A:$A,'System Generated 2026-08-24'!$E:$E),"Missing"))</f>
        <v>1710</v>
      </c>
      <c r="F343" s="21">
        <f>IF($A343="","",IFERROR(_xlfn.XLOOKUP($A343,Table1[Item],Table1[Total (₹)]),"Missing"))</f>
        <v>1710</v>
      </c>
      <c r="G343" s="21">
        <f t="shared" si="16"/>
        <v>0</v>
      </c>
      <c r="H343" t="str">
        <f t="shared" si="17"/>
        <v>Match</v>
      </c>
      <c r="K343" t="str">
        <f>'System Generated 2026-08-24'!A343</f>
        <v>Star Pool</v>
      </c>
    </row>
    <row r="344" spans="1:11" x14ac:dyDescent="0.25">
      <c r="A344" t="str">
        <v>Pomegranate</v>
      </c>
      <c r="B344" s="20" t="str">
        <f>IF($A344="","",IFERROR(_xlfn.XLOOKUP($A344,'System Generated 2026-08-24'!$A:$A,'System Generated 2026-08-24'!$B:$B),"Missing"))</f>
        <v>Missing</v>
      </c>
      <c r="C344" s="20">
        <f>IF($A344="","",IFERROR(_xlfn.XLOOKUP($A344,Table1[Item],Table1[Current Stock]),"Missing"))</f>
        <v>0</v>
      </c>
      <c r="D344" s="20" t="str">
        <f t="shared" si="15"/>
        <v>N/A</v>
      </c>
      <c r="E344" s="21" t="str">
        <f>IF($A344="","",IFERROR(_xlfn.XLOOKUP($A344,'System Generated 2026-08-24'!$A:$A,'System Generated 2026-08-24'!$E:$E),"Missing"))</f>
        <v>Missing</v>
      </c>
      <c r="F344" s="21">
        <f>IF($A344="","",IFERROR(_xlfn.XLOOKUP($A344,Table1[Item],Table1[Total (₹)]),"Missing"))</f>
        <v>0</v>
      </c>
      <c r="G344" s="21" t="str">
        <f t="shared" si="16"/>
        <v>N/A</v>
      </c>
      <c r="H344" t="str">
        <f t="shared" si="17"/>
        <v>Missing in App</v>
      </c>
      <c r="K344" t="str">
        <f>'System Generated 2026-08-24'!A344</f>
        <v>Strawberry Crush</v>
      </c>
    </row>
    <row r="345" spans="1:11" hidden="1" x14ac:dyDescent="0.25">
      <c r="A345" t="str">
        <v>Potato</v>
      </c>
      <c r="B345" s="20">
        <f>IF($A345="","",IFERROR(_xlfn.XLOOKUP($A345,'System Generated 2026-08-24'!$A:$A,'System Generated 2026-08-24'!$B:$B),"Missing"))</f>
        <v>55</v>
      </c>
      <c r="C345" s="20">
        <f>IF($A345="","",IFERROR(_xlfn.XLOOKUP($A345,Table1[Item],Table1[Current Stock]),"Missing"))</f>
        <v>55</v>
      </c>
      <c r="D345" s="20">
        <f t="shared" si="15"/>
        <v>0</v>
      </c>
      <c r="E345" s="21">
        <f>IF($A345="","",IFERROR(_xlfn.XLOOKUP($A345,'System Generated 2026-08-24'!$A:$A,'System Generated 2026-08-24'!$E:$E),"Missing"))</f>
        <v>844.5</v>
      </c>
      <c r="F345" s="21">
        <f>IF($A345="","",IFERROR(_xlfn.XLOOKUP($A345,Table1[Item],Table1[Total (₹)]),"Missing"))</f>
        <v>844.50300000000004</v>
      </c>
      <c r="G345" s="21">
        <f t="shared" si="16"/>
        <v>-3.0000000000427463E-3</v>
      </c>
      <c r="H345" t="str">
        <f t="shared" si="17"/>
        <v>Match</v>
      </c>
      <c r="K345" t="str">
        <f>'System Generated 2026-08-24'!A345</f>
        <v>Strawberry Ice Cream</v>
      </c>
    </row>
    <row r="346" spans="1:11" hidden="1" x14ac:dyDescent="0.25">
      <c r="A346" t="str">
        <v>Potlakaya</v>
      </c>
      <c r="B346" s="20">
        <f>IF($A346="","",IFERROR(_xlfn.XLOOKUP($A346,'System Generated 2026-08-24'!$A:$A,'System Generated 2026-08-24'!$B:$B),"Missing"))</f>
        <v>9</v>
      </c>
      <c r="C346" s="20" t="str">
        <f>IF($A346="","",IFERROR(_xlfn.XLOOKUP($A346,Table1[Item],Table1[Current Stock]),"Missing"))</f>
        <v>Missing</v>
      </c>
      <c r="D346" s="20" t="str">
        <f t="shared" si="15"/>
        <v>N/A</v>
      </c>
      <c r="E346" s="21">
        <f>IF($A346="","",IFERROR(_xlfn.XLOOKUP($A346,'System Generated 2026-08-24'!$A:$A,'System Generated 2026-08-24'!$E:$E),"Missing"))</f>
        <v>0</v>
      </c>
      <c r="F346" s="21" t="str">
        <f>IF($A346="","",IFERROR(_xlfn.XLOOKUP($A346,Table1[Item],Table1[Total (₹)]),"Missing"))</f>
        <v>Missing</v>
      </c>
      <c r="G346" s="21" t="str">
        <f t="shared" si="16"/>
        <v>N/A</v>
      </c>
      <c r="H346" t="str">
        <f t="shared" si="17"/>
        <v>Missing in Hotel Data</v>
      </c>
      <c r="K346" t="str">
        <f>'System Generated 2026-08-24'!A346</f>
        <v>Straws Big</v>
      </c>
    </row>
    <row r="347" spans="1:11" hidden="1" x14ac:dyDescent="0.25">
      <c r="A347" t="str">
        <v>Prawns</v>
      </c>
      <c r="B347" s="20">
        <f>IF($A347="","",IFERROR(_xlfn.XLOOKUP($A347,'System Generated 2026-08-24'!$A:$A,'System Generated 2026-08-24'!$B:$B),"Missing"))</f>
        <v>0</v>
      </c>
      <c r="C347" s="20">
        <f>IF($A347="","",IFERROR(_xlfn.XLOOKUP($A347,Table1[Item],Table1[Current Stock]),"Missing"))</f>
        <v>0</v>
      </c>
      <c r="D347" s="20">
        <f t="shared" si="15"/>
        <v>0</v>
      </c>
      <c r="E347" s="21">
        <f>IF($A347="","",IFERROR(_xlfn.XLOOKUP($A347,'System Generated 2026-08-24'!$A:$A,'System Generated 2026-08-24'!$E:$E),"Missing"))</f>
        <v>0</v>
      </c>
      <c r="F347" s="21">
        <f>IF($A347="","",IFERROR(_xlfn.XLOOKUP($A347,Table1[Item],Table1[Total (₹)]),"Missing"))</f>
        <v>0</v>
      </c>
      <c r="G347" s="21">
        <f t="shared" si="16"/>
        <v>0</v>
      </c>
      <c r="H347" t="str">
        <f t="shared" si="17"/>
        <v>Match</v>
      </c>
      <c r="K347" t="str">
        <f>'System Generated 2026-08-24'!A347</f>
        <v>Straws Small</v>
      </c>
    </row>
    <row r="348" spans="1:11" hidden="1" x14ac:dyDescent="0.25">
      <c r="A348" t="str">
        <v>Pudina</v>
      </c>
      <c r="B348" s="20">
        <f>IF($A348="","",IFERROR(_xlfn.XLOOKUP($A348,'System Generated 2026-08-24'!$A:$A,'System Generated 2026-08-24'!$B:$B),"Missing"))</f>
        <v>1.84</v>
      </c>
      <c r="C348" s="20">
        <f>IF($A348="","",IFERROR(_xlfn.XLOOKUP($A348,Table1[Item],Table1[Current Stock]),"Missing"))</f>
        <v>1.84</v>
      </c>
      <c r="D348" s="20">
        <f t="shared" si="15"/>
        <v>0</v>
      </c>
      <c r="E348" s="21">
        <f>IF($A348="","",IFERROR(_xlfn.XLOOKUP($A348,'System Generated 2026-08-24'!$A:$A,'System Generated 2026-08-24'!$E:$E),"Missing"))</f>
        <v>133.49</v>
      </c>
      <c r="F348" s="21">
        <f>IF($A348="","",IFERROR(_xlfn.XLOOKUP($A348,Table1[Item],Table1[Total (₹)]),"Missing"))</f>
        <v>133.49</v>
      </c>
      <c r="G348" s="21">
        <f t="shared" si="16"/>
        <v>0</v>
      </c>
      <c r="H348" t="str">
        <f t="shared" si="17"/>
        <v>Match</v>
      </c>
      <c r="K348" t="str">
        <f>'System Generated 2026-08-24'!A348</f>
        <v>Sugar</v>
      </c>
    </row>
    <row r="349" spans="1:11" hidden="1" x14ac:dyDescent="0.25">
      <c r="A349" t="str">
        <v>Puff Roti</v>
      </c>
      <c r="B349" s="20">
        <f>IF($A349="","",IFERROR(_xlfn.XLOOKUP($A349,'System Generated 2026-08-24'!$A:$A,'System Generated 2026-08-24'!$B:$B),"Missing"))</f>
        <v>15</v>
      </c>
      <c r="C349" s="20">
        <f>IF($A349="","",IFERROR(_xlfn.XLOOKUP($A349,Table1[Item],Table1[Current Stock]),"Missing"))</f>
        <v>15</v>
      </c>
      <c r="D349" s="20">
        <f t="shared" si="15"/>
        <v>0</v>
      </c>
      <c r="E349" s="21">
        <f>IF($A349="","",IFERROR(_xlfn.XLOOKUP($A349,'System Generated 2026-08-24'!$A:$A,'System Generated 2026-08-24'!$E:$E),"Missing"))</f>
        <v>375</v>
      </c>
      <c r="F349" s="21">
        <f>IF($A349="","",IFERROR(_xlfn.XLOOKUP($A349,Table1[Item],Table1[Total (₹)]),"Missing"))</f>
        <v>375</v>
      </c>
      <c r="G349" s="21">
        <f t="shared" si="16"/>
        <v>0</v>
      </c>
      <c r="H349" t="str">
        <f t="shared" si="17"/>
        <v>Match</v>
      </c>
      <c r="K349" t="str">
        <f>'System Generated 2026-08-24'!A349</f>
        <v>Sunflower Oil</v>
      </c>
    </row>
    <row r="350" spans="1:11" x14ac:dyDescent="0.25">
      <c r="A350" t="str">
        <v>Pumpkin</v>
      </c>
      <c r="B350" s="20" t="str">
        <f>IF($A350="","",IFERROR(_xlfn.XLOOKUP($A350,'System Generated 2026-08-24'!$A:$A,'System Generated 2026-08-24'!$B:$B),"Missing"))</f>
        <v>Missing</v>
      </c>
      <c r="C350" s="20">
        <f>IF($A350="","",IFERROR(_xlfn.XLOOKUP($A350,Table1[Item],Table1[Current Stock]),"Missing"))</f>
        <v>2</v>
      </c>
      <c r="D350" s="20" t="str">
        <f t="shared" si="15"/>
        <v>N/A</v>
      </c>
      <c r="E350" s="21" t="str">
        <f>IF($A350="","",IFERROR(_xlfn.XLOOKUP($A350,'System Generated 2026-08-24'!$A:$A,'System Generated 2026-08-24'!$E:$E),"Missing"))</f>
        <v>Missing</v>
      </c>
      <c r="F350" s="21">
        <f>IF($A350="","",IFERROR(_xlfn.XLOOKUP($A350,Table1[Item],Table1[Total (₹)]),"Missing"))</f>
        <v>400</v>
      </c>
      <c r="G350" s="21" t="str">
        <f t="shared" si="16"/>
        <v>N/A</v>
      </c>
      <c r="H350" t="str">
        <f t="shared" si="17"/>
        <v>Missing in App</v>
      </c>
      <c r="K350" t="str">
        <f>'System Generated 2026-08-24'!A350</f>
        <v>Surf</v>
      </c>
    </row>
    <row r="351" spans="1:11" hidden="1" x14ac:dyDescent="0.25">
      <c r="A351" t="str">
        <v>Putani</v>
      </c>
      <c r="B351" s="20">
        <f>IF($A351="","",IFERROR(_xlfn.XLOOKUP($A351,'System Generated 2026-08-24'!$A:$A,'System Generated 2026-08-24'!$B:$B),"Missing"))</f>
        <v>52.05</v>
      </c>
      <c r="C351" s="20">
        <f>IF($A351="","",IFERROR(_xlfn.XLOOKUP($A351,Table1[Item],Table1[Current Stock]),"Missing"))</f>
        <v>52.05</v>
      </c>
      <c r="D351" s="20">
        <f t="shared" si="15"/>
        <v>0</v>
      </c>
      <c r="E351" s="21">
        <f>IF($A351="","",IFERROR(_xlfn.XLOOKUP($A351,'System Generated 2026-08-24'!$A:$A,'System Generated 2026-08-24'!$E:$E),"Missing"))</f>
        <v>4846.43</v>
      </c>
      <c r="F351" s="21">
        <f>IF($A351="","",IFERROR(_xlfn.XLOOKUP($A351,Table1[Item],Table1[Total (₹)]),"Missing"))</f>
        <v>4846.433</v>
      </c>
      <c r="G351" s="21">
        <f t="shared" si="16"/>
        <v>-2.9999999997016857E-3</v>
      </c>
      <c r="H351" t="str">
        <f t="shared" si="17"/>
        <v>Match</v>
      </c>
      <c r="K351" t="str">
        <f>'System Generated 2026-08-24'!A351</f>
        <v>Sweet Corn Makka</v>
      </c>
    </row>
    <row r="352" spans="1:11" hidden="1" x14ac:dyDescent="0.25">
      <c r="A352" t="str">
        <v>Raddish</v>
      </c>
      <c r="B352" s="20">
        <f>IF($A352="","",IFERROR(_xlfn.XLOOKUP($A352,'System Generated 2026-08-24'!$A:$A,'System Generated 2026-08-24'!$B:$B),"Missing"))</f>
        <v>0</v>
      </c>
      <c r="C352" s="20" t="str">
        <f>IF($A352="","",IFERROR(_xlfn.XLOOKUP($A352,Table1[Item],Table1[Current Stock]),"Missing"))</f>
        <v>Missing</v>
      </c>
      <c r="D352" s="20" t="str">
        <f t="shared" si="15"/>
        <v>N/A</v>
      </c>
      <c r="E352" s="21">
        <f>IF($A352="","",IFERROR(_xlfn.XLOOKUP($A352,'System Generated 2026-08-24'!$A:$A,'System Generated 2026-08-24'!$E:$E),"Missing"))</f>
        <v>0</v>
      </c>
      <c r="F352" s="21" t="str">
        <f>IF($A352="","",IFERROR(_xlfn.XLOOKUP($A352,Table1[Item],Table1[Total (₹)]),"Missing"))</f>
        <v>Missing</v>
      </c>
      <c r="G352" s="21" t="str">
        <f t="shared" si="16"/>
        <v>N/A</v>
      </c>
      <c r="H352" t="str">
        <f t="shared" si="17"/>
        <v>Missing in Hotel Data</v>
      </c>
      <c r="K352" t="str">
        <f>'System Generated 2026-08-24'!A352</f>
        <v>Sweet Corn Momos</v>
      </c>
    </row>
    <row r="353" spans="1:11" hidden="1" x14ac:dyDescent="0.25">
      <c r="A353" t="str">
        <v>Ragi Flour</v>
      </c>
      <c r="B353" s="20">
        <f>IF($A353="","",IFERROR(_xlfn.XLOOKUP($A353,'System Generated 2026-08-24'!$A:$A,'System Generated 2026-08-24'!$B:$B),"Missing"))</f>
        <v>0</v>
      </c>
      <c r="C353" s="20">
        <f>IF($A353="","",IFERROR(_xlfn.XLOOKUP($A353,Table1[Item],Table1[Current Stock]),"Missing"))</f>
        <v>0</v>
      </c>
      <c r="D353" s="20">
        <f t="shared" si="15"/>
        <v>0</v>
      </c>
      <c r="E353" s="21">
        <f>IF($A353="","",IFERROR(_xlfn.XLOOKUP($A353,'System Generated 2026-08-24'!$A:$A,'System Generated 2026-08-24'!$E:$E),"Missing"))</f>
        <v>0</v>
      </c>
      <c r="F353" s="21">
        <f>IF($A353="","",IFERROR(_xlfn.XLOOKUP($A353,Table1[Item],Table1[Total (₹)]),"Missing"))</f>
        <v>0</v>
      </c>
      <c r="G353" s="21">
        <f t="shared" si="16"/>
        <v>0</v>
      </c>
      <c r="H353" t="str">
        <f t="shared" si="17"/>
        <v>Match</v>
      </c>
      <c r="K353" t="str">
        <f>'System Generated 2026-08-24'!A353</f>
        <v>Sweet Corn Pkt</v>
      </c>
    </row>
    <row r="354" spans="1:11" hidden="1" x14ac:dyDescent="0.25">
      <c r="A354" t="str">
        <v>Rai</v>
      </c>
      <c r="B354" s="20">
        <f>IF($A354="","",IFERROR(_xlfn.XLOOKUP($A354,'System Generated 2026-08-24'!$A:$A,'System Generated 2026-08-24'!$B:$B),"Missing"))</f>
        <v>7.94</v>
      </c>
      <c r="C354" s="20">
        <f>IF($A354="","",IFERROR(_xlfn.XLOOKUP($A354,Table1[Item],Table1[Current Stock]),"Missing"))</f>
        <v>7.94</v>
      </c>
      <c r="D354" s="20">
        <f t="shared" si="15"/>
        <v>0</v>
      </c>
      <c r="E354" s="21">
        <f>IF($A354="","",IFERROR(_xlfn.XLOOKUP($A354,'System Generated 2026-08-24'!$A:$A,'System Generated 2026-08-24'!$E:$E),"Missing"))</f>
        <v>807.61</v>
      </c>
      <c r="F354" s="21">
        <f>IF($A354="","",IFERROR(_xlfn.XLOOKUP($A354,Table1[Item],Table1[Total (₹)]),"Missing"))</f>
        <v>807.60900000000004</v>
      </c>
      <c r="G354" s="21">
        <f t="shared" si="16"/>
        <v>9.9999999997635314E-4</v>
      </c>
      <c r="H354" t="str">
        <f t="shared" si="17"/>
        <v>Match</v>
      </c>
      <c r="K354" t="str">
        <f>'System Generated 2026-08-24'!A354</f>
        <v>Sweetcorn Tin</v>
      </c>
    </row>
    <row r="355" spans="1:11" hidden="1" x14ac:dyDescent="0.25">
      <c r="A355" t="str">
        <v>Rajma</v>
      </c>
      <c r="B355" s="20">
        <f>IF($A355="","",IFERROR(_xlfn.XLOOKUP($A355,'System Generated 2026-08-24'!$A:$A,'System Generated 2026-08-24'!$B:$B),"Missing"))</f>
        <v>2</v>
      </c>
      <c r="C355" s="20">
        <f>IF($A355="","",IFERROR(_xlfn.XLOOKUP($A355,Table1[Item],Table1[Current Stock]),"Missing"))</f>
        <v>2</v>
      </c>
      <c r="D355" s="20">
        <f t="shared" si="15"/>
        <v>0</v>
      </c>
      <c r="E355" s="21">
        <f>IF($A355="","",IFERROR(_xlfn.XLOOKUP($A355,'System Generated 2026-08-24'!$A:$A,'System Generated 2026-08-24'!$E:$E),"Missing"))</f>
        <v>223.82</v>
      </c>
      <c r="F355" s="21">
        <f>IF($A355="","",IFERROR(_xlfn.XLOOKUP($A355,Table1[Item],Table1[Total (₹)]),"Missing"))</f>
        <v>223.81800000000001</v>
      </c>
      <c r="G355" s="21">
        <f t="shared" si="16"/>
        <v>1.999999999981128E-3</v>
      </c>
      <c r="H355" t="str">
        <f t="shared" si="17"/>
        <v>Match</v>
      </c>
      <c r="K355" t="str">
        <f>'System Generated 2026-08-24'!A355</f>
        <v>Tamarind</v>
      </c>
    </row>
    <row r="356" spans="1:11" hidden="1" x14ac:dyDescent="0.25">
      <c r="A356" t="str">
        <v>Ramjadu</v>
      </c>
      <c r="B356" s="20">
        <f>IF($A356="","",IFERROR(_xlfn.XLOOKUP($A356,'System Generated 2026-08-24'!$A:$A,'System Generated 2026-08-24'!$B:$B),"Missing"))</f>
        <v>10</v>
      </c>
      <c r="C356" s="20">
        <f>IF($A356="","",IFERROR(_xlfn.XLOOKUP($A356,Table1[Item],Table1[Current Stock]),"Missing"))</f>
        <v>10</v>
      </c>
      <c r="D356" s="20">
        <f t="shared" si="15"/>
        <v>0</v>
      </c>
      <c r="E356" s="21">
        <f>IF($A356="","",IFERROR(_xlfn.XLOOKUP($A356,'System Generated 2026-08-24'!$A:$A,'System Generated 2026-08-24'!$E:$E),"Missing"))</f>
        <v>1100</v>
      </c>
      <c r="F356" s="21">
        <f>IF($A356="","",IFERROR(_xlfn.XLOOKUP($A356,Table1[Item],Table1[Total (₹)]),"Missing"))</f>
        <v>1100</v>
      </c>
      <c r="G356" s="21">
        <f t="shared" si="16"/>
        <v>0</v>
      </c>
      <c r="H356" t="str">
        <f t="shared" si="17"/>
        <v>Match</v>
      </c>
      <c r="K356" t="str">
        <f>'System Generated 2026-08-24'!A356</f>
        <v>Tamato</v>
      </c>
    </row>
    <row r="357" spans="1:11" hidden="1" x14ac:dyDescent="0.25">
      <c r="A357" t="str">
        <v>Rectrangle Box 500ml</v>
      </c>
      <c r="B357" s="20">
        <f>IF($A357="","",IFERROR(_xlfn.XLOOKUP($A357,'System Generated 2026-08-24'!$A:$A,'System Generated 2026-08-24'!$B:$B),"Missing"))</f>
        <v>500</v>
      </c>
      <c r="C357" s="20">
        <f>IF($A357="","",IFERROR(_xlfn.XLOOKUP($A357,Table1[Item],Table1[Current Stock]),"Missing"))</f>
        <v>500</v>
      </c>
      <c r="D357" s="20">
        <f t="shared" si="15"/>
        <v>0</v>
      </c>
      <c r="E357" s="21">
        <f>IF($A357="","",IFERROR(_xlfn.XLOOKUP($A357,'System Generated 2026-08-24'!$A:$A,'System Generated 2026-08-24'!$E:$E),"Missing"))</f>
        <v>3531.25</v>
      </c>
      <c r="F357" s="21">
        <f>IF($A357="","",IFERROR(_xlfn.XLOOKUP($A357,Table1[Item],Table1[Total (₹)]),"Missing"))</f>
        <v>3531.25</v>
      </c>
      <c r="G357" s="21">
        <f t="shared" si="16"/>
        <v>0</v>
      </c>
      <c r="H357" t="str">
        <f t="shared" si="17"/>
        <v>Match</v>
      </c>
      <c r="K357" t="str">
        <f>'System Generated 2026-08-24'!A357</f>
        <v>Tang Rasna</v>
      </c>
    </row>
    <row r="358" spans="1:11" hidden="1" x14ac:dyDescent="0.25">
      <c r="A358" t="str">
        <v>Red Chilly</v>
      </c>
      <c r="B358" s="20">
        <f>IF($A358="","",IFERROR(_xlfn.XLOOKUP($A358,'System Generated 2026-08-24'!$A:$A,'System Generated 2026-08-24'!$B:$B),"Missing"))</f>
        <v>64.22</v>
      </c>
      <c r="C358" s="20">
        <f>IF($A358="","",IFERROR(_xlfn.XLOOKUP($A358,Table1[Item],Table1[Current Stock]),"Missing"))</f>
        <v>64.22</v>
      </c>
      <c r="D358" s="20">
        <f t="shared" si="15"/>
        <v>0</v>
      </c>
      <c r="E358" s="21">
        <f>IF($A358="","",IFERROR(_xlfn.XLOOKUP($A358,'System Generated 2026-08-24'!$A:$A,'System Generated 2026-08-24'!$E:$E),"Missing"))</f>
        <v>16908.8</v>
      </c>
      <c r="F358" s="21">
        <f>IF($A358="","",IFERROR(_xlfn.XLOOKUP($A358,Table1[Item],Table1[Total (₹)]),"Missing"))</f>
        <v>16908.805</v>
      </c>
      <c r="G358" s="21">
        <f t="shared" si="16"/>
        <v>-5.0000000010186341E-3</v>
      </c>
      <c r="H358" t="str">
        <f t="shared" si="17"/>
        <v>Match</v>
      </c>
      <c r="K358" t="str">
        <f>'System Generated 2026-08-24'!A358</f>
        <v>Tarbuj</v>
      </c>
    </row>
    <row r="359" spans="1:11" hidden="1" x14ac:dyDescent="0.25">
      <c r="A359" t="str">
        <v>Red Chilly Sauce</v>
      </c>
      <c r="B359" s="20">
        <f>IF($A359="","",IFERROR(_xlfn.XLOOKUP($A359,'System Generated 2026-08-24'!$A:$A,'System Generated 2026-08-24'!$B:$B),"Missing"))</f>
        <v>11</v>
      </c>
      <c r="C359" s="20">
        <f>IF($A359="","",IFERROR(_xlfn.XLOOKUP($A359,Table1[Item],Table1[Current Stock]),"Missing"))</f>
        <v>11</v>
      </c>
      <c r="D359" s="20">
        <f t="shared" si="15"/>
        <v>0</v>
      </c>
      <c r="E359" s="21">
        <f>IF($A359="","",IFERROR(_xlfn.XLOOKUP($A359,'System Generated 2026-08-24'!$A:$A,'System Generated 2026-08-24'!$E:$E),"Missing"))</f>
        <v>409.43</v>
      </c>
      <c r="F359" s="21">
        <f>IF($A359="","",IFERROR(_xlfn.XLOOKUP($A359,Table1[Item],Table1[Total (₹)]),"Missing"))</f>
        <v>409.43099999999998</v>
      </c>
      <c r="G359" s="21">
        <f t="shared" si="16"/>
        <v>-9.9999999997635314E-4</v>
      </c>
      <c r="H359" t="str">
        <f t="shared" si="17"/>
        <v>Match</v>
      </c>
      <c r="K359" t="str">
        <f>'System Generated 2026-08-24'!A359</f>
        <v>Tata Salt</v>
      </c>
    </row>
    <row r="360" spans="1:11" hidden="1" x14ac:dyDescent="0.25">
      <c r="A360" t="str">
        <v>Rock Salt</v>
      </c>
      <c r="B360" s="20">
        <f>IF($A360="","",IFERROR(_xlfn.XLOOKUP($A360,'System Generated 2026-08-24'!$A:$A,'System Generated 2026-08-24'!$B:$B),"Missing"))</f>
        <v>5.48</v>
      </c>
      <c r="C360" s="20">
        <f>IF($A360="","",IFERROR(_xlfn.XLOOKUP($A360,Table1[Item],Table1[Current Stock]),"Missing"))</f>
        <v>5.48</v>
      </c>
      <c r="D360" s="20">
        <f t="shared" si="15"/>
        <v>0</v>
      </c>
      <c r="E360" s="21">
        <f>IF($A360="","",IFERROR(_xlfn.XLOOKUP($A360,'System Generated 2026-08-24'!$A:$A,'System Generated 2026-08-24'!$E:$E),"Missing"))</f>
        <v>515.87</v>
      </c>
      <c r="F360" s="21">
        <f>IF($A360="","",IFERROR(_xlfn.XLOOKUP($A360,Table1[Item],Table1[Total (₹)]),"Missing"))</f>
        <v>515.86699999999996</v>
      </c>
      <c r="G360" s="21">
        <f t="shared" si="16"/>
        <v>3.0000000000427463E-3</v>
      </c>
      <c r="H360" t="str">
        <f t="shared" si="17"/>
        <v>Match</v>
      </c>
      <c r="K360" t="str">
        <f>'System Generated 2026-08-24'!A360</f>
        <v>Tea Cups Big</v>
      </c>
    </row>
    <row r="361" spans="1:11" hidden="1" x14ac:dyDescent="0.25">
      <c r="A361" t="str">
        <v>Room Freshner</v>
      </c>
      <c r="B361" s="20">
        <f>IF($A361="","",IFERROR(_xlfn.XLOOKUP($A361,'System Generated 2026-08-24'!$A:$A,'System Generated 2026-08-24'!$B:$B),"Missing"))</f>
        <v>9</v>
      </c>
      <c r="C361" s="20">
        <f>IF($A361="","",IFERROR(_xlfn.XLOOKUP($A361,Table1[Item],Table1[Current Stock]),"Missing"))</f>
        <v>9</v>
      </c>
      <c r="D361" s="20">
        <f t="shared" si="15"/>
        <v>0</v>
      </c>
      <c r="E361" s="21">
        <f>IF($A361="","",IFERROR(_xlfn.XLOOKUP($A361,'System Generated 2026-08-24'!$A:$A,'System Generated 2026-08-24'!$E:$E),"Missing"))</f>
        <v>684.09</v>
      </c>
      <c r="F361" s="21">
        <f>IF($A361="","",IFERROR(_xlfn.XLOOKUP($A361,Table1[Item],Table1[Total (₹)]),"Missing"))</f>
        <v>684.08600000000001</v>
      </c>
      <c r="G361" s="21">
        <f t="shared" si="16"/>
        <v>4.0000000000190994E-3</v>
      </c>
      <c r="H361" t="str">
        <f t="shared" si="17"/>
        <v>Match</v>
      </c>
      <c r="K361" t="str">
        <f>'System Generated 2026-08-24'!A361</f>
        <v>Tea Cups Small</v>
      </c>
    </row>
    <row r="362" spans="1:11" hidden="1" x14ac:dyDescent="0.25">
      <c r="A362" t="str">
        <v>Rose Syrup</v>
      </c>
      <c r="B362" s="20">
        <f>IF($A362="","",IFERROR(_xlfn.XLOOKUP($A362,'System Generated 2026-08-24'!$A:$A,'System Generated 2026-08-24'!$B:$B),"Missing"))</f>
        <v>2</v>
      </c>
      <c r="C362" s="20">
        <f>IF($A362="","",IFERROR(_xlfn.XLOOKUP($A362,Table1[Item],Table1[Current Stock]),"Missing"))</f>
        <v>2</v>
      </c>
      <c r="D362" s="20">
        <f t="shared" si="15"/>
        <v>0</v>
      </c>
      <c r="E362" s="21">
        <f>IF($A362="","",IFERROR(_xlfn.XLOOKUP($A362,'System Generated 2026-08-24'!$A:$A,'System Generated 2026-08-24'!$E:$E),"Missing"))</f>
        <v>285.57</v>
      </c>
      <c r="F362" s="21">
        <f>IF($A362="","",IFERROR(_xlfn.XLOOKUP($A362,Table1[Item],Table1[Total (₹)]),"Missing"))</f>
        <v>285.57</v>
      </c>
      <c r="G362" s="21">
        <f t="shared" si="16"/>
        <v>0</v>
      </c>
      <c r="H362" t="str">
        <f t="shared" si="17"/>
        <v>Match</v>
      </c>
      <c r="K362" t="str">
        <f>'System Generated 2026-08-24'!A362</f>
        <v>Tea Powder</v>
      </c>
    </row>
    <row r="363" spans="1:11" hidden="1" x14ac:dyDescent="0.25">
      <c r="A363" t="str">
        <v>Rose Water</v>
      </c>
      <c r="B363" s="20">
        <f>IF($A363="","",IFERROR(_xlfn.XLOOKUP($A363,'System Generated 2026-08-24'!$A:$A,'System Generated 2026-08-24'!$B:$B),"Missing"))</f>
        <v>5</v>
      </c>
      <c r="C363" s="20">
        <f>IF($A363="","",IFERROR(_xlfn.XLOOKUP($A363,Table1[Item],Table1[Current Stock]),"Missing"))</f>
        <v>5</v>
      </c>
      <c r="D363" s="20">
        <f t="shared" si="15"/>
        <v>0</v>
      </c>
      <c r="E363" s="21">
        <f>IF($A363="","",IFERROR(_xlfn.XLOOKUP($A363,'System Generated 2026-08-24'!$A:$A,'System Generated 2026-08-24'!$E:$E),"Missing"))</f>
        <v>218.88</v>
      </c>
      <c r="F363" s="21">
        <f>IF($A363="","",IFERROR(_xlfn.XLOOKUP($A363,Table1[Item],Table1[Total (₹)]),"Missing"))</f>
        <v>218.875</v>
      </c>
      <c r="G363" s="21">
        <f t="shared" si="16"/>
        <v>4.9999999999954525E-3</v>
      </c>
      <c r="H363" t="str">
        <f t="shared" si="17"/>
        <v>Match</v>
      </c>
      <c r="K363" t="str">
        <f>'System Generated 2026-08-24'!A363</f>
        <v>Thoka Miryal</v>
      </c>
    </row>
    <row r="364" spans="1:11" hidden="1" x14ac:dyDescent="0.25">
      <c r="A364" t="str">
        <v>Round Containar750ml</v>
      </c>
      <c r="B364" s="20">
        <f>IF($A364="","",IFERROR(_xlfn.XLOOKUP($A364,'System Generated 2026-08-24'!$A:$A,'System Generated 2026-08-24'!$B:$B),"Missing"))</f>
        <v>0</v>
      </c>
      <c r="C364" s="20">
        <f>IF($A364="","",IFERROR(_xlfn.XLOOKUP($A364,Table1[Item],Table1[Current Stock]),"Missing"))</f>
        <v>0</v>
      </c>
      <c r="D364" s="20">
        <f t="shared" si="15"/>
        <v>0</v>
      </c>
      <c r="E364" s="21">
        <f>IF($A364="","",IFERROR(_xlfn.XLOOKUP($A364,'System Generated 2026-08-24'!$A:$A,'System Generated 2026-08-24'!$E:$E),"Missing"))</f>
        <v>0</v>
      </c>
      <c r="F364" s="21">
        <f>IF($A364="","",IFERROR(_xlfn.XLOOKUP($A364,Table1[Item],Table1[Total (₹)]),"Missing"))</f>
        <v>0</v>
      </c>
      <c r="G364" s="21">
        <f t="shared" si="16"/>
        <v>0</v>
      </c>
      <c r="H364" t="str">
        <f t="shared" si="17"/>
        <v>Match</v>
      </c>
      <c r="K364" t="str">
        <f>'System Generated 2026-08-24'!A364</f>
        <v>Thotakura</v>
      </c>
    </row>
    <row r="365" spans="1:11" hidden="1" x14ac:dyDescent="0.25">
      <c r="A365" t="str">
        <v>Round Pally</v>
      </c>
      <c r="B365" s="20">
        <f>IF($A365="","",IFERROR(_xlfn.XLOOKUP($A365,'System Generated 2026-08-24'!$A:$A,'System Generated 2026-08-24'!$B:$B),"Missing"))</f>
        <v>24.65</v>
      </c>
      <c r="C365" s="20">
        <f>IF($A365="","",IFERROR(_xlfn.XLOOKUP($A365,Table1[Item],Table1[Current Stock]),"Missing"))</f>
        <v>24.65</v>
      </c>
      <c r="D365" s="20">
        <f t="shared" si="15"/>
        <v>0</v>
      </c>
      <c r="E365" s="21">
        <f>IF($A365="","",IFERROR(_xlfn.XLOOKUP($A365,'System Generated 2026-08-24'!$A:$A,'System Generated 2026-08-24'!$E:$E),"Missing"))</f>
        <v>3463.32</v>
      </c>
      <c r="F365" s="21">
        <f>IF($A365="","",IFERROR(_xlfn.XLOOKUP($A365,Table1[Item],Table1[Total (₹)]),"Missing"))</f>
        <v>3463.3249999999998</v>
      </c>
      <c r="G365" s="21">
        <f t="shared" si="16"/>
        <v>-4.999999999654392E-3</v>
      </c>
      <c r="H365" t="str">
        <f t="shared" si="17"/>
        <v>Match</v>
      </c>
      <c r="K365" t="str">
        <f>'System Generated 2026-08-24'!A365</f>
        <v>THUMS UP 250ml</v>
      </c>
    </row>
    <row r="366" spans="1:11" hidden="1" x14ac:dyDescent="0.25">
      <c r="A366" t="str">
        <v>Sabjee Binge</v>
      </c>
      <c r="B366" s="20">
        <f>IF($A366="","",IFERROR(_xlfn.XLOOKUP($A366,'System Generated 2026-08-24'!$A:$A,'System Generated 2026-08-24'!$B:$B),"Missing"))</f>
        <v>0.91</v>
      </c>
      <c r="C366" s="20">
        <f>IF($A366="","",IFERROR(_xlfn.XLOOKUP($A366,Table1[Item],Table1[Current Stock]),"Missing"))</f>
        <v>0.91</v>
      </c>
      <c r="D366" s="20">
        <f t="shared" si="15"/>
        <v>0</v>
      </c>
      <c r="E366" s="21">
        <f>IF($A366="","",IFERROR(_xlfn.XLOOKUP($A366,'System Generated 2026-08-24'!$A:$A,'System Generated 2026-08-24'!$E:$E),"Missing"))</f>
        <v>340.11</v>
      </c>
      <c r="F366" s="21">
        <f>IF($A366="","",IFERROR(_xlfn.XLOOKUP($A366,Table1[Item],Table1[Total (₹)]),"Missing"))</f>
        <v>340.113</v>
      </c>
      <c r="G366" s="21">
        <f t="shared" si="16"/>
        <v>-2.9999999999859028E-3</v>
      </c>
      <c r="H366" t="str">
        <f t="shared" si="17"/>
        <v>Match</v>
      </c>
      <c r="K366" t="str">
        <f>'System Generated 2026-08-24'!A366</f>
        <v>Till</v>
      </c>
    </row>
    <row r="367" spans="1:11" hidden="1" x14ac:dyDescent="0.25">
      <c r="A367" t="str">
        <v>Sabudana</v>
      </c>
      <c r="B367" s="20">
        <f>IF($A367="","",IFERROR(_xlfn.XLOOKUP($A367,'System Generated 2026-08-24'!$A:$A,'System Generated 2026-08-24'!$B:$B),"Missing"))</f>
        <v>3.3420000000000001</v>
      </c>
      <c r="C367" s="20">
        <f>IF($A367="","",IFERROR(_xlfn.XLOOKUP($A367,Table1[Item],Table1[Current Stock]),"Missing"))</f>
        <v>3.3420000000000001</v>
      </c>
      <c r="D367" s="20">
        <f t="shared" si="15"/>
        <v>0</v>
      </c>
      <c r="E367" s="21">
        <f>IF($A367="","",IFERROR(_xlfn.XLOOKUP($A367,'System Generated 2026-08-24'!$A:$A,'System Generated 2026-08-24'!$E:$E),"Missing"))</f>
        <v>296.19</v>
      </c>
      <c r="F367" s="21">
        <f>IF($A367="","",IFERROR(_xlfn.XLOOKUP($A367,Table1[Item],Table1[Total (₹)]),"Missing"))</f>
        <v>296.185</v>
      </c>
      <c r="G367" s="21">
        <f t="shared" si="16"/>
        <v>4.9999999999954525E-3</v>
      </c>
      <c r="H367" t="str">
        <f t="shared" si="17"/>
        <v>Match</v>
      </c>
      <c r="K367" t="str">
        <f>'System Generated 2026-08-24'!A367</f>
        <v>Toilet Brush</v>
      </c>
    </row>
    <row r="368" spans="1:11" hidden="1" x14ac:dyDescent="0.25">
      <c r="A368" t="str">
        <v>Saffron</v>
      </c>
      <c r="B368" s="20">
        <f>IF($A368="","",IFERROR(_xlfn.XLOOKUP($A368,'System Generated 2026-08-24'!$A:$A,'System Generated 2026-08-24'!$B:$B),"Missing"))</f>
        <v>9</v>
      </c>
      <c r="C368" s="20">
        <f>IF($A368="","",IFERROR(_xlfn.XLOOKUP($A368,Table1[Item],Table1[Current Stock]),"Missing"))</f>
        <v>9</v>
      </c>
      <c r="D368" s="20">
        <f t="shared" si="15"/>
        <v>0</v>
      </c>
      <c r="E368" s="21">
        <f>IF($A368="","",IFERROR(_xlfn.XLOOKUP($A368,'System Generated 2026-08-24'!$A:$A,'System Generated 2026-08-24'!$E:$E),"Missing"))</f>
        <v>1317.92</v>
      </c>
      <c r="F368" s="21">
        <f>IF($A368="","",IFERROR(_xlfn.XLOOKUP($A368,Table1[Item],Table1[Total (₹)]),"Missing"))</f>
        <v>1317.915</v>
      </c>
      <c r="G368" s="21">
        <f t="shared" si="16"/>
        <v>5.0000000001091394E-3</v>
      </c>
      <c r="H368" t="str">
        <f t="shared" si="17"/>
        <v>Match</v>
      </c>
      <c r="K368" t="str">
        <f>'System Generated 2026-08-24'!A368</f>
        <v>Tomato Ketchup</v>
      </c>
    </row>
    <row r="369" spans="1:11" hidden="1" x14ac:dyDescent="0.25">
      <c r="A369" t="str">
        <v>Sajeera</v>
      </c>
      <c r="B369" s="20">
        <f>IF($A369="","",IFERROR(_xlfn.XLOOKUP($A369,'System Generated 2026-08-24'!$A:$A,'System Generated 2026-08-24'!$B:$B),"Missing"))</f>
        <v>1.45</v>
      </c>
      <c r="C369" s="20">
        <f>IF($A369="","",IFERROR(_xlfn.XLOOKUP($A369,Table1[Item],Table1[Current Stock]),"Missing"))</f>
        <v>1.45</v>
      </c>
      <c r="D369" s="20">
        <f t="shared" si="15"/>
        <v>0</v>
      </c>
      <c r="E369" s="21">
        <f>IF($A369="","",IFERROR(_xlfn.XLOOKUP($A369,'System Generated 2026-08-24'!$A:$A,'System Generated 2026-08-24'!$E:$E),"Missing"))</f>
        <v>1780.08</v>
      </c>
      <c r="F369" s="21">
        <f>IF($A369="","",IFERROR(_xlfn.XLOOKUP($A369,Table1[Item],Table1[Total (₹)]),"Missing"))</f>
        <v>1780.078</v>
      </c>
      <c r="G369" s="21">
        <f t="shared" si="16"/>
        <v>1.9999999999527063E-3</v>
      </c>
      <c r="H369" t="str">
        <f t="shared" si="17"/>
        <v>Match</v>
      </c>
      <c r="K369" t="str">
        <f>'System Generated 2026-08-24'!A369</f>
        <v>Tomato Sauce</v>
      </c>
    </row>
    <row r="370" spans="1:11" hidden="1" x14ac:dyDescent="0.25">
      <c r="A370" t="str">
        <v>Salt Big</v>
      </c>
      <c r="B370" s="20">
        <f>IF($A370="","",IFERROR(_xlfn.XLOOKUP($A370,'System Generated 2026-08-24'!$A:$A,'System Generated 2026-08-24'!$B:$B),"Missing"))</f>
        <v>60</v>
      </c>
      <c r="C370" s="20">
        <f>IF($A370="","",IFERROR(_xlfn.XLOOKUP($A370,Table1[Item],Table1[Current Stock]),"Missing"))</f>
        <v>60</v>
      </c>
      <c r="D370" s="20">
        <f t="shared" si="15"/>
        <v>0</v>
      </c>
      <c r="E370" s="21">
        <f>IF($A370="","",IFERROR(_xlfn.XLOOKUP($A370,'System Generated 2026-08-24'!$A:$A,'System Generated 2026-08-24'!$E:$E),"Missing"))</f>
        <v>626.77</v>
      </c>
      <c r="F370" s="21">
        <f>IF($A370="","",IFERROR(_xlfn.XLOOKUP($A370,Table1[Item],Table1[Total (₹)]),"Missing"))</f>
        <v>626.77200000000005</v>
      </c>
      <c r="G370" s="21">
        <f t="shared" si="16"/>
        <v>-2.0000000000663931E-3</v>
      </c>
      <c r="H370" t="str">
        <f t="shared" si="17"/>
        <v>Match</v>
      </c>
      <c r="K370" t="str">
        <f>'System Generated 2026-08-24'!A370</f>
        <v>Tooth Pick</v>
      </c>
    </row>
    <row r="371" spans="1:11" hidden="1" x14ac:dyDescent="0.25">
      <c r="A371" t="str">
        <v>Sandwich Box</v>
      </c>
      <c r="B371" s="20">
        <f>IF($A371="","",IFERROR(_xlfn.XLOOKUP($A371,'System Generated 2026-08-24'!$A:$A,'System Generated 2026-08-24'!$B:$B),"Missing"))</f>
        <v>0</v>
      </c>
      <c r="C371" s="20">
        <f>IF($A371="","",IFERROR(_xlfn.XLOOKUP($A371,Table1[Item],Table1[Current Stock]),"Missing"))</f>
        <v>0</v>
      </c>
      <c r="D371" s="20">
        <f t="shared" si="15"/>
        <v>0</v>
      </c>
      <c r="E371" s="21">
        <f>IF($A371="","",IFERROR(_xlfn.XLOOKUP($A371,'System Generated 2026-08-24'!$A:$A,'System Generated 2026-08-24'!$E:$E),"Missing"))</f>
        <v>0</v>
      </c>
      <c r="F371" s="21">
        <f>IF($A371="","",IFERROR(_xlfn.XLOOKUP($A371,Table1[Item],Table1[Total (₹)]),"Missing"))</f>
        <v>0</v>
      </c>
      <c r="G371" s="21">
        <f t="shared" si="16"/>
        <v>0</v>
      </c>
      <c r="H371" t="str">
        <f t="shared" si="17"/>
        <v>Match</v>
      </c>
      <c r="K371" t="str">
        <f>'System Generated 2026-08-24'!A371</f>
        <v>Towels</v>
      </c>
    </row>
    <row r="372" spans="1:11" hidden="1" x14ac:dyDescent="0.25">
      <c r="A372" t="str">
        <v>Sandwich Bread</v>
      </c>
      <c r="B372" s="20">
        <f>IF($A372="","",IFERROR(_xlfn.XLOOKUP($A372,'System Generated 2026-08-24'!$A:$A,'System Generated 2026-08-24'!$B:$B),"Missing"))</f>
        <v>23</v>
      </c>
      <c r="C372" s="20">
        <f>IF($A372="","",IFERROR(_xlfn.XLOOKUP($A372,Table1[Item],Table1[Current Stock]),"Missing"))</f>
        <v>23</v>
      </c>
      <c r="D372" s="20">
        <f t="shared" si="15"/>
        <v>0</v>
      </c>
      <c r="E372" s="21">
        <f>IF($A372="","",IFERROR(_xlfn.XLOOKUP($A372,'System Generated 2026-08-24'!$A:$A,'System Generated 2026-08-24'!$E:$E),"Missing"))</f>
        <v>2706.8</v>
      </c>
      <c r="F372" s="21">
        <f>IF($A372="","",IFERROR(_xlfn.XLOOKUP($A372,Table1[Item],Table1[Total (₹)]),"Missing"))</f>
        <v>2706.8009999999999</v>
      </c>
      <c r="G372" s="21">
        <f t="shared" si="16"/>
        <v>-9.9999999974897946E-4</v>
      </c>
      <c r="H372" t="str">
        <f t="shared" si="17"/>
        <v>Match</v>
      </c>
      <c r="K372" t="str">
        <f>'System Generated 2026-08-24'!A372</f>
        <v>Tugar Dal</v>
      </c>
    </row>
    <row r="373" spans="1:11" hidden="1" x14ac:dyDescent="0.25">
      <c r="A373" t="str">
        <v>Schezwan Chutney</v>
      </c>
      <c r="B373" s="20">
        <f>IF($A373="","",IFERROR(_xlfn.XLOOKUP($A373,'System Generated 2026-08-24'!$A:$A,'System Generated 2026-08-24'!$B:$B),"Missing"))</f>
        <v>0</v>
      </c>
      <c r="C373" s="20">
        <f>IF($A373="","",IFERROR(_xlfn.XLOOKUP($A373,Table1[Item],Table1[Current Stock]),"Missing"))</f>
        <v>0</v>
      </c>
      <c r="D373" s="20">
        <f t="shared" si="15"/>
        <v>0</v>
      </c>
      <c r="E373" s="21">
        <f>IF($A373="","",IFERROR(_xlfn.XLOOKUP($A373,'System Generated 2026-08-24'!$A:$A,'System Generated 2026-08-24'!$E:$E),"Missing"))</f>
        <v>0</v>
      </c>
      <c r="F373" s="21">
        <f>IF($A373="","",IFERROR(_xlfn.XLOOKUP($A373,Table1[Item],Table1[Total (₹)]),"Missing"))</f>
        <v>0</v>
      </c>
      <c r="G373" s="21">
        <f t="shared" si="16"/>
        <v>0</v>
      </c>
      <c r="H373" t="str">
        <f t="shared" si="17"/>
        <v>Match</v>
      </c>
      <c r="K373" t="str">
        <f>'System Generated 2026-08-24'!A373</f>
        <v>Turmeric Powder</v>
      </c>
    </row>
    <row r="374" spans="1:11" hidden="1" x14ac:dyDescent="0.25">
      <c r="A374" t="str">
        <v>Schezwan Sauce</v>
      </c>
      <c r="B374" s="20">
        <f>IF($A374="","",IFERROR(_xlfn.XLOOKUP($A374,'System Generated 2026-08-24'!$A:$A,'System Generated 2026-08-24'!$B:$B),"Missing"))</f>
        <v>0</v>
      </c>
      <c r="C374" s="20">
        <f>IF($A374="","",IFERROR(_xlfn.XLOOKUP($A374,Table1[Item],Table1[Current Stock]),"Missing"))</f>
        <v>0</v>
      </c>
      <c r="D374" s="20">
        <f t="shared" si="15"/>
        <v>0</v>
      </c>
      <c r="E374" s="21">
        <f>IF($A374="","",IFERROR(_xlfn.XLOOKUP($A374,'System Generated 2026-08-24'!$A:$A,'System Generated 2026-08-24'!$E:$E),"Missing"))</f>
        <v>0</v>
      </c>
      <c r="F374" s="21">
        <f>IF($A374="","",IFERROR(_xlfn.XLOOKUP($A374,Table1[Item],Table1[Total (₹)]),"Missing"))</f>
        <v>0</v>
      </c>
      <c r="G374" s="21">
        <f t="shared" si="16"/>
        <v>0</v>
      </c>
      <c r="H374" t="str">
        <f t="shared" si="17"/>
        <v>Match</v>
      </c>
      <c r="K374" t="str">
        <f>'System Generated 2026-08-24'!A374</f>
        <v>Tuti Fruity</v>
      </c>
    </row>
    <row r="375" spans="1:11" x14ac:dyDescent="0.25">
      <c r="A375" t="str">
        <v>Scrubber Alum</v>
      </c>
      <c r="B375" s="20" t="str">
        <f>IF($A375="","",IFERROR(_xlfn.XLOOKUP($A375,'System Generated 2026-08-24'!$A:$A,'System Generated 2026-08-24'!$B:$B),"Missing"))</f>
        <v>Missing</v>
      </c>
      <c r="C375" s="20">
        <f>IF($A375="","",IFERROR(_xlfn.XLOOKUP($A375,Table1[Item],Table1[Current Stock]),"Missing"))</f>
        <v>5</v>
      </c>
      <c r="D375" s="20" t="str">
        <f t="shared" si="15"/>
        <v>N/A</v>
      </c>
      <c r="E375" s="21" t="str">
        <f>IF($A375="","",IFERROR(_xlfn.XLOOKUP($A375,'System Generated 2026-08-24'!$A:$A,'System Generated 2026-08-24'!$E:$E),"Missing"))</f>
        <v>Missing</v>
      </c>
      <c r="F375" s="21">
        <f>IF($A375="","",IFERROR(_xlfn.XLOOKUP($A375,Table1[Item],Table1[Total (₹)]),"Missing"))</f>
        <v>90</v>
      </c>
      <c r="G375" s="21" t="str">
        <f t="shared" si="16"/>
        <v>N/A</v>
      </c>
      <c r="H375" t="str">
        <f t="shared" si="17"/>
        <v>Missing in App</v>
      </c>
      <c r="K375" t="str">
        <f>'System Generated 2026-08-24'!A375</f>
        <v>Upma Ravva</v>
      </c>
    </row>
    <row r="376" spans="1:11" hidden="1" x14ac:dyDescent="0.25">
      <c r="A376" t="str">
        <v>Scrubber Ordinary</v>
      </c>
      <c r="B376" s="20">
        <f>IF($A376="","",IFERROR(_xlfn.XLOOKUP($A376,'System Generated 2026-08-24'!$A:$A,'System Generated 2026-08-24'!$B:$B),"Missing"))</f>
        <v>22</v>
      </c>
      <c r="C376" s="20">
        <f>IF($A376="","",IFERROR(_xlfn.XLOOKUP($A376,Table1[Item],Table1[Current Stock]),"Missing"))</f>
        <v>22</v>
      </c>
      <c r="D376" s="20">
        <f t="shared" si="15"/>
        <v>0</v>
      </c>
      <c r="E376" s="21">
        <f>IF($A376="","",IFERROR(_xlfn.XLOOKUP($A376,'System Generated 2026-08-24'!$A:$A,'System Generated 2026-08-24'!$E:$E),"Missing"))</f>
        <v>330</v>
      </c>
      <c r="F376" s="21">
        <f>IF($A376="","",IFERROR(_xlfn.XLOOKUP($A376,Table1[Item],Table1[Total (₹)]),"Missing"))</f>
        <v>330</v>
      </c>
      <c r="G376" s="21">
        <f t="shared" si="16"/>
        <v>0</v>
      </c>
      <c r="H376" t="str">
        <f t="shared" si="17"/>
        <v>Match</v>
      </c>
      <c r="K376" t="str">
        <f>'System Generated 2026-08-24'!A376</f>
        <v>Urad Dal</v>
      </c>
    </row>
    <row r="377" spans="1:11" hidden="1" x14ac:dyDescent="0.25">
      <c r="A377" t="str">
        <v>Scrubber Plastic</v>
      </c>
      <c r="B377" s="20">
        <f>IF($A377="","",IFERROR(_xlfn.XLOOKUP($A377,'System Generated 2026-08-24'!$A:$A,'System Generated 2026-08-24'!$B:$B),"Missing"))</f>
        <v>34</v>
      </c>
      <c r="C377" s="20">
        <f>IF($A377="","",IFERROR(_xlfn.XLOOKUP($A377,Table1[Item],Table1[Current Stock]),"Missing"))</f>
        <v>34</v>
      </c>
      <c r="D377" s="20">
        <f t="shared" si="15"/>
        <v>0</v>
      </c>
      <c r="E377" s="21">
        <f>IF($A377="","",IFERROR(_xlfn.XLOOKUP($A377,'System Generated 2026-08-24'!$A:$A,'System Generated 2026-08-24'!$E:$E),"Missing"))</f>
        <v>453.33</v>
      </c>
      <c r="F377" s="21">
        <f>IF($A377="","",IFERROR(_xlfn.XLOOKUP($A377,Table1[Item],Table1[Total (₹)]),"Missing"))</f>
        <v>453.33199999999999</v>
      </c>
      <c r="G377" s="21">
        <f t="shared" si="16"/>
        <v>-2.0000000000095497E-3</v>
      </c>
      <c r="H377" t="str">
        <f t="shared" si="17"/>
        <v>Match</v>
      </c>
      <c r="K377" t="str">
        <f>'System Generated 2026-08-24'!A377</f>
        <v>Vanila Spoung</v>
      </c>
    </row>
    <row r="378" spans="1:11" hidden="1" x14ac:dyDescent="0.25">
      <c r="A378" t="str">
        <v>Scrubber Steel</v>
      </c>
      <c r="B378" s="20">
        <f>IF($A378="","",IFERROR(_xlfn.XLOOKUP($A378,'System Generated 2026-08-24'!$A:$A,'System Generated 2026-08-24'!$B:$B),"Missing"))</f>
        <v>890</v>
      </c>
      <c r="C378" s="20" t="str">
        <f>IF($A378="","",IFERROR(_xlfn.XLOOKUP($A378,Table1[Item],Table1[Current Stock]),"Missing"))</f>
        <v>Missing</v>
      </c>
      <c r="D378" s="20" t="str">
        <f t="shared" si="15"/>
        <v>N/A</v>
      </c>
      <c r="E378" s="21">
        <f>IF($A378="","",IFERROR(_xlfn.XLOOKUP($A378,'System Generated 2026-08-24'!$A:$A,'System Generated 2026-08-24'!$E:$E),"Missing"))</f>
        <v>16020</v>
      </c>
      <c r="F378" s="21" t="str">
        <f>IF($A378="","",IFERROR(_xlfn.XLOOKUP($A378,Table1[Item],Table1[Total (₹)]),"Missing"))</f>
        <v>Missing</v>
      </c>
      <c r="G378" s="21" t="str">
        <f t="shared" si="16"/>
        <v>N/A</v>
      </c>
      <c r="H378" t="str">
        <f t="shared" si="17"/>
        <v>Missing in Hotel Data</v>
      </c>
      <c r="K378" t="str">
        <f>'System Generated 2026-08-24'!A378</f>
        <v>Vanilla Essence</v>
      </c>
    </row>
    <row r="379" spans="1:11" hidden="1" x14ac:dyDescent="0.25">
      <c r="A379" t="str">
        <v>Semiya</v>
      </c>
      <c r="B379" s="20">
        <f>IF($A379="","",IFERROR(_xlfn.XLOOKUP($A379,'System Generated 2026-08-24'!$A:$A,'System Generated 2026-08-24'!$B:$B),"Missing"))</f>
        <v>6</v>
      </c>
      <c r="C379" s="20">
        <f>IF($A379="","",IFERROR(_xlfn.XLOOKUP($A379,Table1[Item],Table1[Current Stock]),"Missing"))</f>
        <v>6</v>
      </c>
      <c r="D379" s="20">
        <f t="shared" si="15"/>
        <v>0</v>
      </c>
      <c r="E379" s="21">
        <f>IF($A379="","",IFERROR(_xlfn.XLOOKUP($A379,'System Generated 2026-08-24'!$A:$A,'System Generated 2026-08-24'!$E:$E),"Missing"))</f>
        <v>540</v>
      </c>
      <c r="F379" s="21">
        <f>IF($A379="","",IFERROR(_xlfn.XLOOKUP($A379,Table1[Item],Table1[Total (₹)]),"Missing"))</f>
        <v>540</v>
      </c>
      <c r="G379" s="21">
        <f t="shared" si="16"/>
        <v>0</v>
      </c>
      <c r="H379" t="str">
        <f t="shared" si="17"/>
        <v>Match</v>
      </c>
      <c r="K379" t="str">
        <f>'System Generated 2026-08-24'!A379</f>
        <v>Vanilla Ice Cream</v>
      </c>
    </row>
    <row r="380" spans="1:11" x14ac:dyDescent="0.25">
      <c r="A380" t="str">
        <v>Senajal 1lit Water</v>
      </c>
      <c r="B380" s="20" t="str">
        <f>IF($A380="","",IFERROR(_xlfn.XLOOKUP($A380,'System Generated 2026-08-24'!$A:$A,'System Generated 2026-08-24'!$B:$B),"Missing"))</f>
        <v>Missing</v>
      </c>
      <c r="C380" s="20">
        <f>IF($A380="","",IFERROR(_xlfn.XLOOKUP($A380,Table1[Item],Table1[Current Stock]),"Missing"))</f>
        <v>0</v>
      </c>
      <c r="D380" s="20" t="str">
        <f t="shared" si="15"/>
        <v>N/A</v>
      </c>
      <c r="E380" s="21" t="str">
        <f>IF($A380="","",IFERROR(_xlfn.XLOOKUP($A380,'System Generated 2026-08-24'!$A:$A,'System Generated 2026-08-24'!$E:$E),"Missing"))</f>
        <v>Missing</v>
      </c>
      <c r="F380" s="21">
        <f>IF($A380="","",IFERROR(_xlfn.XLOOKUP($A380,Table1[Item],Table1[Total (₹)]),"Missing"))</f>
        <v>0</v>
      </c>
      <c r="G380" s="21" t="str">
        <f t="shared" si="16"/>
        <v>N/A</v>
      </c>
      <c r="H380" t="str">
        <f t="shared" si="17"/>
        <v>Missing in App</v>
      </c>
      <c r="K380" t="str">
        <f>'System Generated 2026-08-24'!A380</f>
        <v>Veg Momos</v>
      </c>
    </row>
    <row r="381" spans="1:11" x14ac:dyDescent="0.25">
      <c r="A381" t="str">
        <v>Senajal 250ml Water</v>
      </c>
      <c r="B381" s="20" t="str">
        <f>IF($A381="","",IFERROR(_xlfn.XLOOKUP($A381,'System Generated 2026-08-24'!$A:$A,'System Generated 2026-08-24'!$B:$B),"Missing"))</f>
        <v>Missing</v>
      </c>
      <c r="C381" s="20">
        <f>IF($A381="","",IFERROR(_xlfn.XLOOKUP($A381,Table1[Item],Table1[Current Stock]),"Missing"))</f>
        <v>0</v>
      </c>
      <c r="D381" s="20" t="str">
        <f t="shared" si="15"/>
        <v>N/A</v>
      </c>
      <c r="E381" s="21" t="str">
        <f>IF($A381="","",IFERROR(_xlfn.XLOOKUP($A381,'System Generated 2026-08-24'!$A:$A,'System Generated 2026-08-24'!$E:$E),"Missing"))</f>
        <v>Missing</v>
      </c>
      <c r="F381" s="21">
        <f>IF($A381="","",IFERROR(_xlfn.XLOOKUP($A381,Table1[Item],Table1[Total (₹)]),"Missing"))</f>
        <v>0</v>
      </c>
      <c r="G381" s="21" t="str">
        <f t="shared" si="16"/>
        <v>N/A</v>
      </c>
      <c r="H381" t="str">
        <f t="shared" si="17"/>
        <v>Missing in App</v>
      </c>
      <c r="K381" t="str">
        <f>'System Generated 2026-08-24'!A381</f>
        <v>Veg Oyster Sauce</v>
      </c>
    </row>
    <row r="382" spans="1:11" x14ac:dyDescent="0.25">
      <c r="A382" t="str">
        <v>Senajal 500m.lit Water</v>
      </c>
      <c r="B382" s="20" t="str">
        <f>IF($A382="","",IFERROR(_xlfn.XLOOKUP($A382,'System Generated 2026-08-24'!$A:$A,'System Generated 2026-08-24'!$B:$B),"Missing"))</f>
        <v>Missing</v>
      </c>
      <c r="C382" s="20">
        <f>IF($A382="","",IFERROR(_xlfn.XLOOKUP($A382,Table1[Item],Table1[Current Stock]),"Missing"))</f>
        <v>0</v>
      </c>
      <c r="D382" s="20" t="str">
        <f t="shared" si="15"/>
        <v>N/A</v>
      </c>
      <c r="E382" s="21" t="str">
        <f>IF($A382="","",IFERROR(_xlfn.XLOOKUP($A382,'System Generated 2026-08-24'!$A:$A,'System Generated 2026-08-24'!$E:$E),"Missing"))</f>
        <v>Missing</v>
      </c>
      <c r="F382" s="21">
        <f>IF($A382="","",IFERROR(_xlfn.XLOOKUP($A382,Table1[Item],Table1[Total (₹)]),"Missing"))</f>
        <v>0</v>
      </c>
      <c r="G382" s="21" t="str">
        <f t="shared" si="16"/>
        <v>N/A</v>
      </c>
      <c r="H382" t="str">
        <f t="shared" si="17"/>
        <v>Missing in App</v>
      </c>
      <c r="K382" t="str">
        <f>'System Generated 2026-08-24'!A382</f>
        <v>Vegetables</v>
      </c>
    </row>
    <row r="383" spans="1:11" x14ac:dyDescent="0.25">
      <c r="A383" t="str">
        <v>Shamagadda</v>
      </c>
      <c r="B383" s="20" t="str">
        <f>IF($A383="","",IFERROR(_xlfn.XLOOKUP($A383,'System Generated 2026-08-24'!$A:$A,'System Generated 2026-08-24'!$B:$B),"Missing"))</f>
        <v>Missing</v>
      </c>
      <c r="C383" s="20">
        <f>IF($A383="","",IFERROR(_xlfn.XLOOKUP($A383,Table1[Item],Table1[Current Stock]),"Missing"))</f>
        <v>0</v>
      </c>
      <c r="D383" s="20" t="str">
        <f t="shared" si="15"/>
        <v>N/A</v>
      </c>
      <c r="E383" s="21" t="str">
        <f>IF($A383="","",IFERROR(_xlfn.XLOOKUP($A383,'System Generated 2026-08-24'!$A:$A,'System Generated 2026-08-24'!$E:$E),"Missing"))</f>
        <v>Missing</v>
      </c>
      <c r="F383" s="21">
        <f>IF($A383="","",IFERROR(_xlfn.XLOOKUP($A383,Table1[Item],Table1[Total (₹)]),"Missing"))</f>
        <v>0</v>
      </c>
      <c r="G383" s="21" t="str">
        <f t="shared" si="16"/>
        <v>N/A</v>
      </c>
      <c r="H383" t="str">
        <f t="shared" si="17"/>
        <v>Missing in App</v>
      </c>
      <c r="K383" t="str">
        <f>'System Generated 2026-08-24'!A383</f>
        <v>Viniger</v>
      </c>
    </row>
    <row r="384" spans="1:11" hidden="1" x14ac:dyDescent="0.25">
      <c r="A384" t="str">
        <v>Shampoo</v>
      </c>
      <c r="B384" s="20">
        <f>IF($A384="","",IFERROR(_xlfn.XLOOKUP($A384,'System Generated 2026-08-24'!$A:$A,'System Generated 2026-08-24'!$B:$B),"Missing"))</f>
        <v>475</v>
      </c>
      <c r="C384" s="20">
        <f>IF($A384="","",IFERROR(_xlfn.XLOOKUP($A384,Table1[Item],Table1[Current Stock]),"Missing"))</f>
        <v>475</v>
      </c>
      <c r="D384" s="20">
        <f t="shared" si="15"/>
        <v>0</v>
      </c>
      <c r="E384" s="21">
        <f>IF($A384="","",IFERROR(_xlfn.XLOOKUP($A384,'System Generated 2026-08-24'!$A:$A,'System Generated 2026-08-24'!$E:$E),"Missing"))</f>
        <v>366.15</v>
      </c>
      <c r="F384" s="21">
        <f>IF($A384="","",IFERROR(_xlfn.XLOOKUP($A384,Table1[Item],Table1[Total (₹)]),"Missing"))</f>
        <v>366.14600000000002</v>
      </c>
      <c r="G384" s="21">
        <f t="shared" si="16"/>
        <v>3.999999999962256E-3</v>
      </c>
      <c r="H384" t="str">
        <f t="shared" si="17"/>
        <v>Match</v>
      </c>
      <c r="K384" t="str">
        <f>'System Generated 2026-08-24'!A384</f>
        <v>Water Glass</v>
      </c>
    </row>
    <row r="385" spans="1:11" hidden="1" x14ac:dyDescent="0.25">
      <c r="A385" t="str">
        <v>Shampoo Gel</v>
      </c>
      <c r="B385" s="20">
        <f>IF($A385="","",IFERROR(_xlfn.XLOOKUP($A385,'System Generated 2026-08-24'!$A:$A,'System Generated 2026-08-24'!$B:$B),"Missing"))</f>
        <v>609</v>
      </c>
      <c r="C385" s="20">
        <f>IF($A385="","",IFERROR(_xlfn.XLOOKUP($A385,Table1[Item],Table1[Current Stock]),"Missing"))</f>
        <v>609</v>
      </c>
      <c r="D385" s="20">
        <f t="shared" si="15"/>
        <v>0</v>
      </c>
      <c r="E385" s="21">
        <f>IF($A385="","",IFERROR(_xlfn.XLOOKUP($A385,'System Generated 2026-08-24'!$A:$A,'System Generated 2026-08-24'!$E:$E),"Missing"))</f>
        <v>3349.5</v>
      </c>
      <c r="F385" s="21">
        <f>IF($A385="","",IFERROR(_xlfn.XLOOKUP($A385,Table1[Item],Table1[Total (₹)]),"Missing"))</f>
        <v>3349.5</v>
      </c>
      <c r="G385" s="21">
        <f t="shared" si="16"/>
        <v>0</v>
      </c>
      <c r="H385" t="str">
        <f t="shared" si="17"/>
        <v>Match</v>
      </c>
      <c r="K385" t="str">
        <f>'System Generated 2026-08-24'!A385</f>
        <v>Water Melon Syrup</v>
      </c>
    </row>
    <row r="386" spans="1:11" hidden="1" x14ac:dyDescent="0.25">
      <c r="A386" t="str">
        <v>Shower Gel</v>
      </c>
      <c r="B386" s="20">
        <f>IF($A386="","",IFERROR(_xlfn.XLOOKUP($A386,'System Generated 2026-08-24'!$A:$A,'System Generated 2026-08-24'!$B:$B),"Missing"))</f>
        <v>643</v>
      </c>
      <c r="C386" s="20">
        <f>IF($A386="","",IFERROR(_xlfn.XLOOKUP($A386,Table1[Item],Table1[Current Stock]),"Missing"))</f>
        <v>643</v>
      </c>
      <c r="D386" s="20">
        <f t="shared" si="15"/>
        <v>0</v>
      </c>
      <c r="E386" s="21">
        <f>IF($A386="","",IFERROR(_xlfn.XLOOKUP($A386,'System Generated 2026-08-24'!$A:$A,'System Generated 2026-08-24'!$E:$E),"Missing"))</f>
        <v>3536.5</v>
      </c>
      <c r="F386" s="21">
        <f>IF($A386="","",IFERROR(_xlfn.XLOOKUP($A386,Table1[Item],Table1[Total (₹)]),"Missing"))</f>
        <v>3536.5</v>
      </c>
      <c r="G386" s="21">
        <f t="shared" si="16"/>
        <v>0</v>
      </c>
      <c r="H386" t="str">
        <f t="shared" si="17"/>
        <v>Match</v>
      </c>
      <c r="K386" t="str">
        <f>'System Generated 2026-08-24'!A386</f>
        <v>Watermelon</v>
      </c>
    </row>
    <row r="387" spans="1:11" hidden="1" x14ac:dyDescent="0.25">
      <c r="A387" t="str">
        <v>Shyamagadda</v>
      </c>
      <c r="B387" s="20">
        <f>IF($A387="","",IFERROR(_xlfn.XLOOKUP($A387,'System Generated 2026-08-24'!$A:$A,'System Generated 2026-08-24'!$B:$B),"Missing"))</f>
        <v>12</v>
      </c>
      <c r="C387" s="20" t="str">
        <f>IF($A387="","",IFERROR(_xlfn.XLOOKUP($A387,Table1[Item],Table1[Current Stock]),"Missing"))</f>
        <v>Missing</v>
      </c>
      <c r="D387" s="20" t="str">
        <f t="shared" ref="D387:D450" si="18">IF($A387="","",IF(OR(B387="Missing",C387="Missing"),"N/A",B387-C387))</f>
        <v>N/A</v>
      </c>
      <c r="E387" s="21">
        <f>IF($A387="","",IFERROR(_xlfn.XLOOKUP($A387,'System Generated 2026-08-24'!$A:$A,'System Generated 2026-08-24'!$E:$E),"Missing"))</f>
        <v>0</v>
      </c>
      <c r="F387" s="21" t="str">
        <f>IF($A387="","",IFERROR(_xlfn.XLOOKUP($A387,Table1[Item],Table1[Total (₹)]),"Missing"))</f>
        <v>Missing</v>
      </c>
      <c r="G387" s="21" t="str">
        <f t="shared" ref="G387:G450" si="19">IF($A387="","",IF(OR(E387="Missing",F387="Missing"),"N/A",E387-F387))</f>
        <v>N/A</v>
      </c>
      <c r="H387" t="str">
        <f t="shared" ref="H387:H450" si="20">IF($A387="","",IF(B387="Missing","Missing in App",IF(C387="Missing","Missing in Hotel Data",IF(D387=0,"Match","Discrepancy"))))</f>
        <v>Missing in Hotel Data</v>
      </c>
      <c r="K387" t="str">
        <f>'System Generated 2026-08-24'!A387</f>
        <v>White Batana</v>
      </c>
    </row>
    <row r="388" spans="1:11" hidden="1" x14ac:dyDescent="0.25">
      <c r="A388" t="str">
        <v>Silver Container Big</v>
      </c>
      <c r="B388" s="20">
        <f>IF($A388="","",IFERROR(_xlfn.XLOOKUP($A388,'System Generated 2026-08-24'!$A:$A,'System Generated 2026-08-24'!$B:$B),"Missing"))</f>
        <v>252</v>
      </c>
      <c r="C388" s="20">
        <f>IF($A388="","",IFERROR(_xlfn.XLOOKUP($A388,Table1[Item],Table1[Current Stock]),"Missing"))</f>
        <v>252</v>
      </c>
      <c r="D388" s="20">
        <f t="shared" si="18"/>
        <v>0</v>
      </c>
      <c r="E388" s="21">
        <f>IF($A388="","",IFERROR(_xlfn.XLOOKUP($A388,'System Generated 2026-08-24'!$A:$A,'System Generated 2026-08-24'!$E:$E),"Missing"))</f>
        <v>997.04</v>
      </c>
      <c r="F388" s="21">
        <f>IF($A388="","",IFERROR(_xlfn.XLOOKUP($A388,Table1[Item],Table1[Total (₹)]),"Missing"))</f>
        <v>997.04300000000001</v>
      </c>
      <c r="G388" s="21">
        <f t="shared" si="19"/>
        <v>-3.0000000000427463E-3</v>
      </c>
      <c r="H388" t="str">
        <f t="shared" si="20"/>
        <v>Match</v>
      </c>
      <c r="K388" t="str">
        <f>'System Generated 2026-08-24'!A388</f>
        <v>White Pepper</v>
      </c>
    </row>
    <row r="389" spans="1:11" hidden="1" x14ac:dyDescent="0.25">
      <c r="A389" t="str">
        <v>Silver Foil</v>
      </c>
      <c r="B389" s="20">
        <f>IF($A389="","",IFERROR(_xlfn.XLOOKUP($A389,'System Generated 2026-08-24'!$A:$A,'System Generated 2026-08-24'!$B:$B),"Missing"))</f>
        <v>4</v>
      </c>
      <c r="C389" s="20">
        <f>IF($A389="","",IFERROR(_xlfn.XLOOKUP($A389,Table1[Item],Table1[Current Stock]),"Missing"))</f>
        <v>4</v>
      </c>
      <c r="D389" s="20">
        <f t="shared" si="18"/>
        <v>0</v>
      </c>
      <c r="E389" s="21">
        <f>IF($A389="","",IFERROR(_xlfn.XLOOKUP($A389,'System Generated 2026-08-24'!$A:$A,'System Generated 2026-08-24'!$E:$E),"Missing"))</f>
        <v>1475</v>
      </c>
      <c r="F389" s="21">
        <f>IF($A389="","",IFERROR(_xlfn.XLOOKUP($A389,Table1[Item],Table1[Total (₹)]),"Missing"))</f>
        <v>1475</v>
      </c>
      <c r="G389" s="21">
        <f t="shared" si="19"/>
        <v>0</v>
      </c>
      <c r="H389" t="str">
        <f t="shared" si="20"/>
        <v>Match</v>
      </c>
      <c r="K389" t="str">
        <f>'System Generated 2026-08-24'!A389</f>
        <v>White Tape</v>
      </c>
    </row>
    <row r="390" spans="1:11" hidden="1" x14ac:dyDescent="0.25">
      <c r="A390" t="str">
        <v>Silver Pouch 5*7</v>
      </c>
      <c r="B390" s="20">
        <f>IF($A390="","",IFERROR(_xlfn.XLOOKUP($A390,'System Generated 2026-08-24'!$A:$A,'System Generated 2026-08-24'!$B:$B),"Missing"))</f>
        <v>41</v>
      </c>
      <c r="C390" s="20">
        <f>IF($A390="","",IFERROR(_xlfn.XLOOKUP($A390,Table1[Item],Table1[Current Stock]),"Missing"))</f>
        <v>41</v>
      </c>
      <c r="D390" s="20">
        <f t="shared" si="18"/>
        <v>0</v>
      </c>
      <c r="E390" s="21">
        <f>IF($A390="","",IFERROR(_xlfn.XLOOKUP($A390,'System Generated 2026-08-24'!$A:$A,'System Generated 2026-08-24'!$E:$E),"Missing"))</f>
        <v>1845</v>
      </c>
      <c r="F390" s="21">
        <f>IF($A390="","",IFERROR(_xlfn.XLOOKUP($A390,Table1[Item],Table1[Total (₹)]),"Missing"))</f>
        <v>1845</v>
      </c>
      <c r="G390" s="21">
        <f t="shared" si="19"/>
        <v>0</v>
      </c>
      <c r="H390" t="str">
        <f t="shared" si="20"/>
        <v>Match</v>
      </c>
      <c r="K390" t="str">
        <f>'System Generated 2026-08-24'!A390</f>
        <v>Wiper</v>
      </c>
    </row>
    <row r="391" spans="1:11" hidden="1" x14ac:dyDescent="0.25">
      <c r="A391" t="str">
        <v>Silver Pouch 6*8</v>
      </c>
      <c r="B391" s="20">
        <f>IF($A391="","",IFERROR(_xlfn.XLOOKUP($A391,'System Generated 2026-08-24'!$A:$A,'System Generated 2026-08-24'!$B:$B),"Missing"))</f>
        <v>20</v>
      </c>
      <c r="C391" s="20">
        <f>IF($A391="","",IFERROR(_xlfn.XLOOKUP($A391,Table1[Item],Table1[Current Stock]),"Missing"))</f>
        <v>20</v>
      </c>
      <c r="D391" s="20">
        <f t="shared" si="18"/>
        <v>0</v>
      </c>
      <c r="E391" s="21">
        <f>IF($A391="","",IFERROR(_xlfn.XLOOKUP($A391,'System Generated 2026-08-24'!$A:$A,'System Generated 2026-08-24'!$E:$E),"Missing"))</f>
        <v>1041.67</v>
      </c>
      <c r="F391" s="21">
        <f>IF($A391="","",IFERROR(_xlfn.XLOOKUP($A391,Table1[Item],Table1[Total (₹)]),"Missing"))</f>
        <v>1041.6659999999999</v>
      </c>
      <c r="G391" s="21">
        <f t="shared" si="19"/>
        <v>4.0000000001327862E-3</v>
      </c>
      <c r="H391" t="str">
        <f t="shared" si="20"/>
        <v>Match</v>
      </c>
      <c r="K391" t="str">
        <f>'System Generated 2026-08-24'!A391</f>
        <v>Wooden Fork</v>
      </c>
    </row>
    <row r="392" spans="1:11" hidden="1" x14ac:dyDescent="0.25">
      <c r="A392" t="str">
        <v>Silver Pouch 7*9</v>
      </c>
      <c r="B392" s="20">
        <f>IF($A392="","",IFERROR(_xlfn.XLOOKUP($A392,'System Generated 2026-08-24'!$A:$A,'System Generated 2026-08-24'!$B:$B),"Missing"))</f>
        <v>34</v>
      </c>
      <c r="C392" s="20">
        <f>IF($A392="","",IFERROR(_xlfn.XLOOKUP($A392,Table1[Item],Table1[Current Stock]),"Missing"))</f>
        <v>34</v>
      </c>
      <c r="D392" s="20">
        <f t="shared" si="18"/>
        <v>0</v>
      </c>
      <c r="E392" s="21">
        <f>IF($A392="","",IFERROR(_xlfn.XLOOKUP($A392,'System Generated 2026-08-24'!$A:$A,'System Generated 2026-08-24'!$E:$E),"Missing"))</f>
        <v>2295</v>
      </c>
      <c r="F392" s="21">
        <f>IF($A392="","",IFERROR(_xlfn.XLOOKUP($A392,Table1[Item],Table1[Total (₹)]),"Missing"))</f>
        <v>2295</v>
      </c>
      <c r="G392" s="21">
        <f t="shared" si="19"/>
        <v>0</v>
      </c>
      <c r="H392" t="str">
        <f t="shared" si="20"/>
        <v>Match</v>
      </c>
      <c r="K392" t="str">
        <f>'System Generated 2026-08-24'!A392</f>
        <v>Wooden Icecream Spoon</v>
      </c>
    </row>
    <row r="393" spans="1:11" hidden="1" x14ac:dyDescent="0.25">
      <c r="A393" t="str">
        <v>Silver Pouch 8*10</v>
      </c>
      <c r="B393" s="20">
        <f>IF($A393="","",IFERROR(_xlfn.XLOOKUP($A393,'System Generated 2026-08-24'!$A:$A,'System Generated 2026-08-24'!$B:$B),"Missing"))</f>
        <v>31</v>
      </c>
      <c r="C393" s="20">
        <f>IF($A393="","",IFERROR(_xlfn.XLOOKUP($A393,Table1[Item],Table1[Current Stock]),"Missing"))</f>
        <v>31</v>
      </c>
      <c r="D393" s="20">
        <f t="shared" si="18"/>
        <v>0</v>
      </c>
      <c r="E393" s="21">
        <f>IF($A393="","",IFERROR(_xlfn.XLOOKUP($A393,'System Generated 2026-08-24'!$A:$A,'System Generated 2026-08-24'!$E:$E),"Missing"))</f>
        <v>2790</v>
      </c>
      <c r="F393" s="21">
        <f>IF($A393="","",IFERROR(_xlfn.XLOOKUP($A393,Table1[Item],Table1[Total (₹)]),"Missing"))</f>
        <v>2790</v>
      </c>
      <c r="G393" s="21">
        <f t="shared" si="19"/>
        <v>0</v>
      </c>
      <c r="H393" t="str">
        <f t="shared" si="20"/>
        <v>Match</v>
      </c>
      <c r="K393" t="str">
        <f>'System Generated 2026-08-24'!A393</f>
        <v>Wooden Spoons Big</v>
      </c>
    </row>
    <row r="394" spans="1:11" hidden="1" x14ac:dyDescent="0.25">
      <c r="A394" t="str">
        <v>Silver Pouch 9*12</v>
      </c>
      <c r="B394" s="20">
        <f>IF($A394="","",IFERROR(_xlfn.XLOOKUP($A394,'System Generated 2026-08-24'!$A:$A,'System Generated 2026-08-24'!$B:$B),"Missing"))</f>
        <v>12</v>
      </c>
      <c r="C394" s="20">
        <f>IF($A394="","",IFERROR(_xlfn.XLOOKUP($A394,Table1[Item],Table1[Current Stock]),"Missing"))</f>
        <v>12</v>
      </c>
      <c r="D394" s="20">
        <f t="shared" si="18"/>
        <v>0</v>
      </c>
      <c r="E394" s="21">
        <f>IF($A394="","",IFERROR(_xlfn.XLOOKUP($A394,'System Generated 2026-08-24'!$A:$A,'System Generated 2026-08-24'!$E:$E),"Missing"))</f>
        <v>1440</v>
      </c>
      <c r="F394" s="21">
        <f>IF($A394="","",IFERROR(_xlfn.XLOOKUP($A394,Table1[Item],Table1[Total (₹)]),"Missing"))</f>
        <v>1440</v>
      </c>
      <c r="G394" s="21">
        <f t="shared" si="19"/>
        <v>0</v>
      </c>
      <c r="H394" t="str">
        <f t="shared" si="20"/>
        <v>Match</v>
      </c>
      <c r="K394" t="str">
        <f>'System Generated 2026-08-24'!A394</f>
        <v>Wooden Spoons Small</v>
      </c>
    </row>
    <row r="395" spans="1:11" x14ac:dyDescent="0.25">
      <c r="A395" t="str">
        <v>Small Biscuit Box</v>
      </c>
      <c r="B395" s="20" t="str">
        <f>IF($A395="","",IFERROR(_xlfn.XLOOKUP($A395,'System Generated 2026-08-24'!$A:$A,'System Generated 2026-08-24'!$B:$B),"Missing"))</f>
        <v>Missing</v>
      </c>
      <c r="C395" s="20">
        <f>IF($A395="","",IFERROR(_xlfn.XLOOKUP($A395,Table1[Item],Table1[Current Stock]),"Missing"))</f>
        <v>6</v>
      </c>
      <c r="D395" s="20" t="str">
        <f t="shared" si="18"/>
        <v>N/A</v>
      </c>
      <c r="E395" s="21" t="str">
        <f>IF($A395="","",IFERROR(_xlfn.XLOOKUP($A395,'System Generated 2026-08-24'!$A:$A,'System Generated 2026-08-24'!$E:$E),"Missing"))</f>
        <v>Missing</v>
      </c>
      <c r="F395" s="21">
        <f>IF($A395="","",IFERROR(_xlfn.XLOOKUP($A395,Table1[Item],Table1[Total (₹)]),"Missing"))</f>
        <v>69.903000000000006</v>
      </c>
      <c r="G395" s="21" t="str">
        <f t="shared" si="19"/>
        <v>N/A</v>
      </c>
      <c r="H395" t="str">
        <f t="shared" si="20"/>
        <v>Missing in App</v>
      </c>
      <c r="K395" t="str">
        <f>'Kapila hotel 21-08-26'!A2</f>
        <v>5cp</v>
      </c>
    </row>
    <row r="396" spans="1:11" hidden="1" x14ac:dyDescent="0.25">
      <c r="A396" t="str">
        <v>Small Onion</v>
      </c>
      <c r="B396" s="20">
        <f>IF($A396="","",IFERROR(_xlfn.XLOOKUP($A396,'System Generated 2026-08-24'!$A:$A,'System Generated 2026-08-24'!$B:$B),"Missing"))</f>
        <v>8</v>
      </c>
      <c r="C396" s="20">
        <f>IF($A396="","",IFERROR(_xlfn.XLOOKUP($A396,Table1[Item],Table1[Current Stock]),"Missing"))</f>
        <v>8</v>
      </c>
      <c r="D396" s="20">
        <f t="shared" si="18"/>
        <v>0</v>
      </c>
      <c r="E396" s="21">
        <f>IF($A396="","",IFERROR(_xlfn.XLOOKUP($A396,'System Generated 2026-08-24'!$A:$A,'System Generated 2026-08-24'!$E:$E),"Missing"))</f>
        <v>315.02999999999997</v>
      </c>
      <c r="F396" s="21">
        <f>IF($A396="","",IFERROR(_xlfn.XLOOKUP($A396,Table1[Item],Table1[Total (₹)]),"Missing"))</f>
        <v>315.02699999999999</v>
      </c>
      <c r="G396" s="21">
        <f t="shared" si="19"/>
        <v>2.9999999999859028E-3</v>
      </c>
      <c r="H396" t="str">
        <f t="shared" si="20"/>
        <v>Match</v>
      </c>
      <c r="K396" t="str">
        <f>'Kapila hotel 21-08-26'!A3</f>
        <v>20-20</v>
      </c>
    </row>
    <row r="397" spans="1:11" hidden="1" x14ac:dyDescent="0.25">
      <c r="A397" t="str">
        <v>Soap Oil</v>
      </c>
      <c r="B397" s="20">
        <f>IF($A397="","",IFERROR(_xlfn.XLOOKUP($A397,'System Generated 2026-08-24'!$A:$A,'System Generated 2026-08-24'!$B:$B),"Missing"))</f>
        <v>133.5</v>
      </c>
      <c r="C397" s="20">
        <f>IF($A397="","",IFERROR(_xlfn.XLOOKUP($A397,Table1[Item],Table1[Current Stock]),"Missing"))</f>
        <v>133.5</v>
      </c>
      <c r="D397" s="20">
        <f t="shared" si="18"/>
        <v>0</v>
      </c>
      <c r="E397" s="21">
        <f>IF($A397="","",IFERROR(_xlfn.XLOOKUP($A397,'System Generated 2026-08-24'!$A:$A,'System Generated 2026-08-24'!$E:$E),"Missing"))</f>
        <v>6007.5</v>
      </c>
      <c r="F397" s="21">
        <f>IF($A397="","",IFERROR(_xlfn.XLOOKUP($A397,Table1[Item],Table1[Total (₹)]),"Missing"))</f>
        <v>6007.5</v>
      </c>
      <c r="G397" s="21">
        <f t="shared" si="19"/>
        <v>0</v>
      </c>
      <c r="H397" t="str">
        <f t="shared" si="20"/>
        <v>Match</v>
      </c>
      <c r="K397" t="str">
        <f>'Kapila hotel 21-08-26'!A4</f>
        <v>3cp</v>
      </c>
    </row>
    <row r="398" spans="1:11" hidden="1" x14ac:dyDescent="0.25">
      <c r="A398" t="str">
        <v>Soaps</v>
      </c>
      <c r="B398" s="20">
        <f>IF($A398="","",IFERROR(_xlfn.XLOOKUP($A398,'System Generated 2026-08-24'!$A:$A,'System Generated 2026-08-24'!$B:$B),"Missing"))</f>
        <v>1258</v>
      </c>
      <c r="C398" s="20">
        <f>IF($A398="","",IFERROR(_xlfn.XLOOKUP($A398,Table1[Item],Table1[Current Stock]),"Missing"))</f>
        <v>1258</v>
      </c>
      <c r="D398" s="20">
        <f t="shared" si="18"/>
        <v>0</v>
      </c>
      <c r="E398" s="21">
        <f>IF($A398="","",IFERROR(_xlfn.XLOOKUP($A398,'System Generated 2026-08-24'!$A:$A,'System Generated 2026-08-24'!$E:$E),"Missing"))</f>
        <v>3249.83</v>
      </c>
      <c r="F398" s="21">
        <f>IF($A398="","",IFERROR(_xlfn.XLOOKUP($A398,Table1[Item],Table1[Total (₹)]),"Missing"))</f>
        <v>3249.8290000000002</v>
      </c>
      <c r="G398" s="21">
        <f t="shared" si="19"/>
        <v>9.9999999974897946E-4</v>
      </c>
      <c r="H398" t="str">
        <f t="shared" si="20"/>
        <v>Match</v>
      </c>
      <c r="K398" t="str">
        <f>'Kapila hotel 21-08-26'!A5</f>
        <v>8cp</v>
      </c>
    </row>
    <row r="399" spans="1:11" hidden="1" x14ac:dyDescent="0.25">
      <c r="A399" t="str">
        <v>Soda 750 Ml</v>
      </c>
      <c r="B399" s="20">
        <f>IF($A399="","",IFERROR(_xlfn.XLOOKUP($A399,'System Generated 2026-08-24'!$A:$A,'System Generated 2026-08-24'!$B:$B),"Missing"))</f>
        <v>29</v>
      </c>
      <c r="C399" s="20">
        <f>IF($A399="","",IFERROR(_xlfn.XLOOKUP($A399,Table1[Item],Table1[Current Stock]),"Missing"))</f>
        <v>29</v>
      </c>
      <c r="D399" s="20">
        <f t="shared" si="18"/>
        <v>0</v>
      </c>
      <c r="E399" s="21">
        <f>IF($A399="","",IFERROR(_xlfn.XLOOKUP($A399,'System Generated 2026-08-24'!$A:$A,'System Generated 2026-08-24'!$E:$E),"Missing"))</f>
        <v>524.74</v>
      </c>
      <c r="F399" s="21">
        <f>IF($A399="","",IFERROR(_xlfn.XLOOKUP($A399,Table1[Item],Table1[Total (₹)]),"Missing"))</f>
        <v>524.73800000000006</v>
      </c>
      <c r="G399" s="21">
        <f t="shared" si="19"/>
        <v>1.9999999999527063E-3</v>
      </c>
      <c r="H399" t="str">
        <f t="shared" si="20"/>
        <v>Match</v>
      </c>
      <c r="K399" t="str">
        <f>'Kapila hotel 21-08-26'!A6</f>
        <v>Almond Syrup</v>
      </c>
    </row>
    <row r="400" spans="1:11" x14ac:dyDescent="0.25">
      <c r="A400" t="str">
        <v>Softy Chocolate Cone Powder</v>
      </c>
      <c r="B400" s="20" t="str">
        <f>IF($A400="","",IFERROR(_xlfn.XLOOKUP($A400,'System Generated 2026-08-24'!$A:$A,'System Generated 2026-08-24'!$B:$B),"Missing"))</f>
        <v>Missing</v>
      </c>
      <c r="C400" s="20">
        <f>IF($A400="","",IFERROR(_xlfn.XLOOKUP($A400,Table1[Item],Table1[Current Stock]),"Missing"))</f>
        <v>0</v>
      </c>
      <c r="D400" s="20" t="str">
        <f t="shared" si="18"/>
        <v>N/A</v>
      </c>
      <c r="E400" s="21" t="str">
        <f>IF($A400="","",IFERROR(_xlfn.XLOOKUP($A400,'System Generated 2026-08-24'!$A:$A,'System Generated 2026-08-24'!$E:$E),"Missing"))</f>
        <v>Missing</v>
      </c>
      <c r="F400" s="21">
        <f>IF($A400="","",IFERROR(_xlfn.XLOOKUP($A400,Table1[Item],Table1[Total (₹)]),"Missing"))</f>
        <v>0</v>
      </c>
      <c r="G400" s="21" t="str">
        <f t="shared" si="19"/>
        <v>N/A</v>
      </c>
      <c r="H400" t="str">
        <f t="shared" si="20"/>
        <v>Missing in App</v>
      </c>
      <c r="K400" t="str">
        <f>'Kapila hotel 21-08-26'!A7</f>
        <v>Amchoor Powder</v>
      </c>
    </row>
    <row r="401" spans="1:11" hidden="1" x14ac:dyDescent="0.25">
      <c r="A401" t="str">
        <v>Softy Chocolate Milk</v>
      </c>
      <c r="B401" s="20">
        <f>IF($A401="","",IFERROR(_xlfn.XLOOKUP($A401,'System Generated 2026-08-24'!$A:$A,'System Generated 2026-08-24'!$B:$B),"Missing"))</f>
        <v>6</v>
      </c>
      <c r="C401" s="20">
        <f>IF($A401="","",IFERROR(_xlfn.XLOOKUP($A401,Table1[Item],Table1[Current Stock]),"Missing"))</f>
        <v>6</v>
      </c>
      <c r="D401" s="20">
        <f t="shared" si="18"/>
        <v>0</v>
      </c>
      <c r="E401" s="21">
        <f>IF($A401="","",IFERROR(_xlfn.XLOOKUP($A401,'System Generated 2026-08-24'!$A:$A,'System Generated 2026-08-24'!$E:$E),"Missing"))</f>
        <v>1071.94</v>
      </c>
      <c r="F401" s="21">
        <f>IF($A401="","",IFERROR(_xlfn.XLOOKUP($A401,Table1[Item],Table1[Total (₹)]),"Missing"))</f>
        <v>1071.9359999999999</v>
      </c>
      <c r="G401" s="21">
        <f t="shared" si="19"/>
        <v>4.0000000001327862E-3</v>
      </c>
      <c r="H401" t="str">
        <f t="shared" si="20"/>
        <v>Match</v>
      </c>
      <c r="K401" t="str">
        <f>'Kapila hotel 21-08-26'!A8</f>
        <v>Amchur Raw</v>
      </c>
    </row>
    <row r="402" spans="1:11" x14ac:dyDescent="0.25">
      <c r="A402" t="str">
        <v>Softy Vanilla Cone Powder</v>
      </c>
      <c r="B402" s="20" t="str">
        <f>IF($A402="","",IFERROR(_xlfn.XLOOKUP($A402,'System Generated 2026-08-24'!$A:$A,'System Generated 2026-08-24'!$B:$B),"Missing"))</f>
        <v>Missing</v>
      </c>
      <c r="C402" s="20">
        <f>IF($A402="","",IFERROR(_xlfn.XLOOKUP($A402,Table1[Item],Table1[Current Stock]),"Missing"))</f>
        <v>0</v>
      </c>
      <c r="D402" s="20" t="str">
        <f t="shared" si="18"/>
        <v>N/A</v>
      </c>
      <c r="E402" s="21" t="str">
        <f>IF($A402="","",IFERROR(_xlfn.XLOOKUP($A402,'System Generated 2026-08-24'!$A:$A,'System Generated 2026-08-24'!$E:$E),"Missing"))</f>
        <v>Missing</v>
      </c>
      <c r="F402" s="21">
        <f>IF($A402="","",IFERROR(_xlfn.XLOOKUP($A402,Table1[Item],Table1[Total (₹)]),"Missing"))</f>
        <v>0</v>
      </c>
      <c r="G402" s="21" t="str">
        <f t="shared" si="19"/>
        <v>N/A</v>
      </c>
      <c r="H402" t="str">
        <f t="shared" si="20"/>
        <v>Missing in App</v>
      </c>
      <c r="K402" t="str">
        <f>'Kapila hotel 21-08-26'!A9</f>
        <v>Anar</v>
      </c>
    </row>
    <row r="403" spans="1:11" hidden="1" x14ac:dyDescent="0.25">
      <c r="A403" t="str">
        <v>Softy Vanilla Milk</v>
      </c>
      <c r="B403" s="20">
        <f>IF($A403="","",IFERROR(_xlfn.XLOOKUP($A403,'System Generated 2026-08-24'!$A:$A,'System Generated 2026-08-24'!$B:$B),"Missing"))</f>
        <v>18</v>
      </c>
      <c r="C403" s="20">
        <f>IF($A403="","",IFERROR(_xlfn.XLOOKUP($A403,Table1[Item],Table1[Current Stock]),"Missing"))</f>
        <v>18</v>
      </c>
      <c r="D403" s="20">
        <f t="shared" si="18"/>
        <v>0</v>
      </c>
      <c r="E403" s="21">
        <f>IF($A403="","",IFERROR(_xlfn.XLOOKUP($A403,'System Generated 2026-08-24'!$A:$A,'System Generated 2026-08-24'!$E:$E),"Missing"))</f>
        <v>3017.81</v>
      </c>
      <c r="F403" s="21">
        <f>IF($A403="","",IFERROR(_xlfn.XLOOKUP($A403,Table1[Item],Table1[Total (₹)]),"Missing"))</f>
        <v>3017.808</v>
      </c>
      <c r="G403" s="21">
        <f t="shared" si="19"/>
        <v>1.9999999999527063E-3</v>
      </c>
      <c r="H403" t="str">
        <f t="shared" si="20"/>
        <v>Match</v>
      </c>
      <c r="K403" t="str">
        <f>'Kapila hotel 21-08-26'!A10</f>
        <v>Anti Flies Floor Cleaner</v>
      </c>
    </row>
    <row r="404" spans="1:11" hidden="1" x14ac:dyDescent="0.25">
      <c r="A404" t="str">
        <v>Somp</v>
      </c>
      <c r="B404" s="20">
        <f>IF($A404="","",IFERROR(_xlfn.XLOOKUP($A404,'System Generated 2026-08-24'!$A:$A,'System Generated 2026-08-24'!$B:$B),"Missing"))</f>
        <v>15.75</v>
      </c>
      <c r="C404" s="20">
        <f>IF($A404="","",IFERROR(_xlfn.XLOOKUP($A404,Table1[Item],Table1[Current Stock]),"Missing"))</f>
        <v>15.75</v>
      </c>
      <c r="D404" s="20">
        <f t="shared" si="18"/>
        <v>0</v>
      </c>
      <c r="E404" s="21">
        <f>IF($A404="","",IFERROR(_xlfn.XLOOKUP($A404,'System Generated 2026-08-24'!$A:$A,'System Generated 2026-08-24'!$E:$E),"Missing"))</f>
        <v>3465</v>
      </c>
      <c r="F404" s="21">
        <f>IF($A404="","",IFERROR(_xlfn.XLOOKUP($A404,Table1[Item],Table1[Total (₹)]),"Missing"))</f>
        <v>3465</v>
      </c>
      <c r="G404" s="21">
        <f t="shared" si="19"/>
        <v>0</v>
      </c>
      <c r="H404" t="str">
        <f t="shared" si="20"/>
        <v>Match</v>
      </c>
      <c r="K404" t="str">
        <f>'Kapila hotel 21-08-26'!A11</f>
        <v>Apples</v>
      </c>
    </row>
    <row r="405" spans="1:11" hidden="1" x14ac:dyDescent="0.25">
      <c r="A405" t="str">
        <v>Somp White</v>
      </c>
      <c r="B405" s="20">
        <f>IF($A405="","",IFERROR(_xlfn.XLOOKUP($A405,'System Generated 2026-08-24'!$A:$A,'System Generated 2026-08-24'!$B:$B),"Missing"))</f>
        <v>19</v>
      </c>
      <c r="C405" s="20">
        <f>IF($A405="","",IFERROR(_xlfn.XLOOKUP($A405,Table1[Item],Table1[Current Stock]),"Missing"))</f>
        <v>19</v>
      </c>
      <c r="D405" s="20">
        <f t="shared" si="18"/>
        <v>0</v>
      </c>
      <c r="E405" s="21">
        <f>IF($A405="","",IFERROR(_xlfn.XLOOKUP($A405,'System Generated 2026-08-24'!$A:$A,'System Generated 2026-08-24'!$E:$E),"Missing"))</f>
        <v>1799.14</v>
      </c>
      <c r="F405" s="21">
        <f>IF($A405="","",IFERROR(_xlfn.XLOOKUP($A405,Table1[Item],Table1[Total (₹)]),"Missing"))</f>
        <v>1799.1369999999999</v>
      </c>
      <c r="G405" s="21">
        <f t="shared" si="19"/>
        <v>3.0000000001564331E-3</v>
      </c>
      <c r="H405" t="str">
        <f t="shared" si="20"/>
        <v>Match</v>
      </c>
      <c r="K405" t="str">
        <f>'Kapila hotel 21-08-26'!A12</f>
        <v>Aratikayalu</v>
      </c>
    </row>
    <row r="406" spans="1:11" x14ac:dyDescent="0.25">
      <c r="A406" t="str">
        <v>Sora Kaya</v>
      </c>
      <c r="B406" s="20" t="str">
        <f>IF($A406="","",IFERROR(_xlfn.XLOOKUP($A406,'System Generated 2026-08-24'!$A:$A,'System Generated 2026-08-24'!$B:$B),"Missing"))</f>
        <v>Missing</v>
      </c>
      <c r="C406" s="20">
        <f>IF($A406="","",IFERROR(_xlfn.XLOOKUP($A406,Table1[Item],Table1[Current Stock]),"Missing"))</f>
        <v>2.2999999999999998</v>
      </c>
      <c r="D406" s="20" t="str">
        <f t="shared" si="18"/>
        <v>N/A</v>
      </c>
      <c r="E406" s="21" t="str">
        <f>IF($A406="","",IFERROR(_xlfn.XLOOKUP($A406,'System Generated 2026-08-24'!$A:$A,'System Generated 2026-08-24'!$E:$E),"Missing"))</f>
        <v>Missing</v>
      </c>
      <c r="F406" s="21">
        <f>IF($A406="","",IFERROR(_xlfn.XLOOKUP($A406,Table1[Item],Table1[Total (₹)]),"Missing"))</f>
        <v>64.712000000000003</v>
      </c>
      <c r="G406" s="21" t="str">
        <f t="shared" si="19"/>
        <v>N/A</v>
      </c>
      <c r="H406" t="str">
        <f t="shared" si="20"/>
        <v>Missing in App</v>
      </c>
      <c r="K406" t="str">
        <f>'Kapila hotel 21-08-26'!A13</f>
        <v>Aromatic Powder</v>
      </c>
    </row>
    <row r="407" spans="1:11" hidden="1" x14ac:dyDescent="0.25">
      <c r="A407" t="str">
        <v>Soya Sauce</v>
      </c>
      <c r="B407" s="20">
        <f>IF($A407="","",IFERROR(_xlfn.XLOOKUP($A407,'System Generated 2026-08-24'!$A:$A,'System Generated 2026-08-24'!$B:$B),"Missing"))</f>
        <v>1</v>
      </c>
      <c r="C407" s="20">
        <f>IF($A407="","",IFERROR(_xlfn.XLOOKUP($A407,Table1[Item],Table1[Current Stock]),"Missing"))</f>
        <v>1</v>
      </c>
      <c r="D407" s="20">
        <f t="shared" si="18"/>
        <v>0</v>
      </c>
      <c r="E407" s="21">
        <f>IF($A407="","",IFERROR(_xlfn.XLOOKUP($A407,'System Generated 2026-08-24'!$A:$A,'System Generated 2026-08-24'!$E:$E),"Missing"))</f>
        <v>35.71</v>
      </c>
      <c r="F407" s="21">
        <f>IF($A407="","",IFERROR(_xlfn.XLOOKUP($A407,Table1[Item],Table1[Total (₹)]),"Missing"))</f>
        <v>35.71</v>
      </c>
      <c r="G407" s="21">
        <f t="shared" si="19"/>
        <v>0</v>
      </c>
      <c r="H407" t="str">
        <f t="shared" si="20"/>
        <v>Match</v>
      </c>
      <c r="K407" t="str">
        <f>'Kapila hotel 21-08-26'!A14</f>
        <v>Atta</v>
      </c>
    </row>
    <row r="408" spans="1:11" hidden="1" x14ac:dyDescent="0.25">
      <c r="A408" t="str">
        <v>Sp.milk</v>
      </c>
      <c r="B408" s="20">
        <f>IF($A408="","",IFERROR(_xlfn.XLOOKUP($A408,'System Generated 2026-08-24'!$A:$A,'System Generated 2026-08-24'!$B:$B),"Missing"))</f>
        <v>0</v>
      </c>
      <c r="C408" s="20">
        <f>IF($A408="","",IFERROR(_xlfn.XLOOKUP($A408,Table1[Item],Table1[Current Stock]),"Missing"))</f>
        <v>0</v>
      </c>
      <c r="D408" s="20">
        <f t="shared" si="18"/>
        <v>0</v>
      </c>
      <c r="E408" s="21">
        <f>IF($A408="","",IFERROR(_xlfn.XLOOKUP($A408,'System Generated 2026-08-24'!$A:$A,'System Generated 2026-08-24'!$E:$E),"Missing"))</f>
        <v>0</v>
      </c>
      <c r="F408" s="21">
        <f>IF($A408="","",IFERROR(_xlfn.XLOOKUP($A408,Table1[Item],Table1[Total (₹)]),"Missing"))</f>
        <v>0</v>
      </c>
      <c r="G408" s="21">
        <f t="shared" si="19"/>
        <v>0</v>
      </c>
      <c r="H408" t="str">
        <f t="shared" si="20"/>
        <v>Match</v>
      </c>
      <c r="K408" t="str">
        <f>'Kapila hotel 21-08-26'!A15</f>
        <v>Atukulu</v>
      </c>
    </row>
    <row r="409" spans="1:11" hidden="1" x14ac:dyDescent="0.25">
      <c r="A409" t="str">
        <v>Sponge</v>
      </c>
      <c r="B409" s="20">
        <f>IF($A409="","",IFERROR(_xlfn.XLOOKUP($A409,'System Generated 2026-08-24'!$A:$A,'System Generated 2026-08-24'!$B:$B),"Missing"))</f>
        <v>9</v>
      </c>
      <c r="C409" s="20">
        <f>IF($A409="","",IFERROR(_xlfn.XLOOKUP($A409,Table1[Item],Table1[Current Stock]),"Missing"))</f>
        <v>9</v>
      </c>
      <c r="D409" s="20">
        <f t="shared" si="18"/>
        <v>0</v>
      </c>
      <c r="E409" s="21">
        <f>IF($A409="","",IFERROR(_xlfn.XLOOKUP($A409,'System Generated 2026-08-24'!$A:$A,'System Generated 2026-08-24'!$E:$E),"Missing"))</f>
        <v>105</v>
      </c>
      <c r="F409" s="21">
        <f>IF($A409="","",IFERROR(_xlfn.XLOOKUP($A409,Table1[Item],Table1[Total (₹)]),"Missing"))</f>
        <v>105</v>
      </c>
      <c r="G409" s="21">
        <f t="shared" si="19"/>
        <v>0</v>
      </c>
      <c r="H409" t="str">
        <f t="shared" si="20"/>
        <v>Match</v>
      </c>
      <c r="K409" t="str">
        <f>'Kapila hotel 21-08-26'!A16</f>
        <v>Baby Corn</v>
      </c>
    </row>
    <row r="410" spans="1:11" hidden="1" x14ac:dyDescent="0.25">
      <c r="A410" t="str">
        <v>Spring Onion</v>
      </c>
      <c r="B410" s="20">
        <f>IF($A410="","",IFERROR(_xlfn.XLOOKUP($A410,'System Generated 2026-08-24'!$A:$A,'System Generated 2026-08-24'!$B:$B),"Missing"))</f>
        <v>2</v>
      </c>
      <c r="C410" s="20">
        <f>IF($A410="","",IFERROR(_xlfn.XLOOKUP($A410,Table1[Item],Table1[Current Stock]),"Missing"))</f>
        <v>2</v>
      </c>
      <c r="D410" s="20">
        <f t="shared" si="18"/>
        <v>0</v>
      </c>
      <c r="E410" s="21">
        <f>IF($A410="","",IFERROR(_xlfn.XLOOKUP($A410,'System Generated 2026-08-24'!$A:$A,'System Generated 2026-08-24'!$E:$E),"Missing"))</f>
        <v>120</v>
      </c>
      <c r="F410" s="21">
        <f>IF($A410="","",IFERROR(_xlfn.XLOOKUP($A410,Table1[Item],Table1[Total (₹)]),"Missing"))</f>
        <v>120</v>
      </c>
      <c r="G410" s="21">
        <f t="shared" si="19"/>
        <v>0</v>
      </c>
      <c r="H410" t="str">
        <f t="shared" si="20"/>
        <v>Match</v>
      </c>
      <c r="K410" t="str">
        <f>'Kapila hotel 21-08-26'!A17</f>
        <v>Badam</v>
      </c>
    </row>
    <row r="411" spans="1:11" hidden="1" x14ac:dyDescent="0.25">
      <c r="A411" t="str">
        <v>Spring Rolls</v>
      </c>
      <c r="B411" s="20">
        <f>IF($A411="","",IFERROR(_xlfn.XLOOKUP($A411,'System Generated 2026-08-24'!$A:$A,'System Generated 2026-08-24'!$B:$B),"Missing"))</f>
        <v>5</v>
      </c>
      <c r="C411" s="20">
        <f>IF($A411="","",IFERROR(_xlfn.XLOOKUP($A411,Table1[Item],Table1[Current Stock]),"Missing"))</f>
        <v>5</v>
      </c>
      <c r="D411" s="20">
        <f t="shared" si="18"/>
        <v>0</v>
      </c>
      <c r="E411" s="21">
        <f>IF($A411="","",IFERROR(_xlfn.XLOOKUP($A411,'System Generated 2026-08-24'!$A:$A,'System Generated 2026-08-24'!$E:$E),"Missing"))</f>
        <v>1335.42</v>
      </c>
      <c r="F411" s="21">
        <f>IF($A411="","",IFERROR(_xlfn.XLOOKUP($A411,Table1[Item],Table1[Total (₹)]),"Missing"))</f>
        <v>1335.415</v>
      </c>
      <c r="G411" s="21">
        <f t="shared" si="19"/>
        <v>5.0000000001091394E-3</v>
      </c>
      <c r="H411" t="str">
        <f t="shared" si="20"/>
        <v>Match</v>
      </c>
      <c r="K411" t="str">
        <f>'Kapila hotel 21-08-26'!A18</f>
        <v>Baking Powder</v>
      </c>
    </row>
    <row r="412" spans="1:11" hidden="1" x14ac:dyDescent="0.25">
      <c r="A412" t="str">
        <v>SPRITE 250ml</v>
      </c>
      <c r="B412" s="20">
        <f>IF($A412="","",IFERROR(_xlfn.XLOOKUP($A412,'System Generated 2026-08-24'!$A:$A,'System Generated 2026-08-24'!$B:$B),"Missing"))</f>
        <v>0.5</v>
      </c>
      <c r="C412" s="20" t="str">
        <f>IF($A412="","",IFERROR(_xlfn.XLOOKUP($A412,Table1[Item],Table1[Current Stock]),"Missing"))</f>
        <v>Missing</v>
      </c>
      <c r="D412" s="20" t="str">
        <f t="shared" si="18"/>
        <v>N/A</v>
      </c>
      <c r="E412" s="21">
        <f>IF($A412="","",IFERROR(_xlfn.XLOOKUP($A412,'System Generated 2026-08-24'!$A:$A,'System Generated 2026-08-24'!$E:$E),"Missing"))</f>
        <v>0</v>
      </c>
      <c r="F412" s="21" t="str">
        <f>IF($A412="","",IFERROR(_xlfn.XLOOKUP($A412,Table1[Item],Table1[Total (₹)]),"Missing"))</f>
        <v>Missing</v>
      </c>
      <c r="G412" s="21" t="str">
        <f t="shared" si="19"/>
        <v>N/A</v>
      </c>
      <c r="H412" t="str">
        <f t="shared" si="20"/>
        <v>Missing in Hotel Data</v>
      </c>
      <c r="K412" t="str">
        <f>'Kapila hotel 21-08-26'!A19</f>
        <v>Baking Soda</v>
      </c>
    </row>
    <row r="413" spans="1:11" hidden="1" x14ac:dyDescent="0.25">
      <c r="A413" t="str">
        <v>Sprite 750 Ml</v>
      </c>
      <c r="B413" s="20">
        <f>IF($A413="","",IFERROR(_xlfn.XLOOKUP($A413,'System Generated 2026-08-24'!$A:$A,'System Generated 2026-08-24'!$B:$B),"Missing"))</f>
        <v>47</v>
      </c>
      <c r="C413" s="20">
        <f>IF($A413="","",IFERROR(_xlfn.XLOOKUP($A413,Table1[Item],Table1[Current Stock]),"Missing"))</f>
        <v>47</v>
      </c>
      <c r="D413" s="20">
        <f t="shared" si="18"/>
        <v>0</v>
      </c>
      <c r="E413" s="21">
        <f>IF($A413="","",IFERROR(_xlfn.XLOOKUP($A413,'System Generated 2026-08-24'!$A:$A,'System Generated 2026-08-24'!$E:$E),"Missing"))</f>
        <v>1552.81</v>
      </c>
      <c r="F413" s="21">
        <f>IF($A413="","",IFERROR(_xlfn.XLOOKUP($A413,Table1[Item],Table1[Total (₹)]),"Missing"))</f>
        <v>1552.8140000000001</v>
      </c>
      <c r="G413" s="21">
        <f t="shared" si="19"/>
        <v>-4.0000000001327862E-3</v>
      </c>
      <c r="H413" t="str">
        <f t="shared" si="20"/>
        <v>Match</v>
      </c>
      <c r="K413" t="str">
        <f>'Kapila hotel 21-08-26'!A20</f>
        <v>Banana</v>
      </c>
    </row>
    <row r="414" spans="1:11" hidden="1" x14ac:dyDescent="0.25">
      <c r="A414" t="str">
        <v>Star Pool</v>
      </c>
      <c r="B414" s="20">
        <f>IF($A414="","",IFERROR(_xlfn.XLOOKUP($A414,'System Generated 2026-08-24'!$A:$A,'System Generated 2026-08-24'!$B:$B),"Missing"))</f>
        <v>1.03</v>
      </c>
      <c r="C414" s="20">
        <f>IF($A414="","",IFERROR(_xlfn.XLOOKUP($A414,Table1[Item],Table1[Current Stock]),"Missing"))</f>
        <v>1.03</v>
      </c>
      <c r="D414" s="20">
        <f t="shared" si="18"/>
        <v>0</v>
      </c>
      <c r="E414" s="21">
        <f>IF($A414="","",IFERROR(_xlfn.XLOOKUP($A414,'System Generated 2026-08-24'!$A:$A,'System Generated 2026-08-24'!$E:$E),"Missing"))</f>
        <v>713.1</v>
      </c>
      <c r="F414" s="21">
        <f>IF($A414="","",IFERROR(_xlfn.XLOOKUP($A414,Table1[Item],Table1[Total (₹)]),"Missing"))</f>
        <v>713.10299999999995</v>
      </c>
      <c r="G414" s="21">
        <f t="shared" si="19"/>
        <v>-2.9999999999290594E-3</v>
      </c>
      <c r="H414" t="str">
        <f t="shared" si="20"/>
        <v>Match</v>
      </c>
      <c r="K414" t="str">
        <f>'Kapila hotel 21-08-26'!A21</f>
        <v>Banana Leaf</v>
      </c>
    </row>
    <row r="415" spans="1:11" hidden="1" x14ac:dyDescent="0.25">
      <c r="A415" t="str">
        <v>Strawberry Crush</v>
      </c>
      <c r="B415" s="20">
        <f>IF($A415="","",IFERROR(_xlfn.XLOOKUP($A415,'System Generated 2026-08-24'!$A:$A,'System Generated 2026-08-24'!$B:$B),"Missing"))</f>
        <v>0</v>
      </c>
      <c r="C415" s="20">
        <f>IF($A415="","",IFERROR(_xlfn.XLOOKUP($A415,Table1[Item],Table1[Current Stock]),"Missing"))</f>
        <v>0</v>
      </c>
      <c r="D415" s="20">
        <f t="shared" si="18"/>
        <v>0</v>
      </c>
      <c r="E415" s="21">
        <f>IF($A415="","",IFERROR(_xlfn.XLOOKUP($A415,'System Generated 2026-08-24'!$A:$A,'System Generated 2026-08-24'!$E:$E),"Missing"))</f>
        <v>0</v>
      </c>
      <c r="F415" s="21">
        <f>IF($A415="","",IFERROR(_xlfn.XLOOKUP($A415,Table1[Item],Table1[Total (₹)]),"Missing"))</f>
        <v>0</v>
      </c>
      <c r="G415" s="21">
        <f t="shared" si="19"/>
        <v>0</v>
      </c>
      <c r="H415" t="str">
        <f t="shared" si="20"/>
        <v>Match</v>
      </c>
      <c r="K415" t="str">
        <f>'Kapila hotel 21-08-26'!A22</f>
        <v>Bannana Life</v>
      </c>
    </row>
    <row r="416" spans="1:11" hidden="1" x14ac:dyDescent="0.25">
      <c r="A416" t="str">
        <v>Strawberry Ice Cream</v>
      </c>
      <c r="B416" s="20">
        <f>IF($A416="","",IFERROR(_xlfn.XLOOKUP($A416,'System Generated 2026-08-24'!$A:$A,'System Generated 2026-08-24'!$B:$B),"Missing"))</f>
        <v>0</v>
      </c>
      <c r="C416" s="20">
        <f>IF($A416="","",IFERROR(_xlfn.XLOOKUP($A416,Table1[Item],Table1[Current Stock]),"Missing"))</f>
        <v>0</v>
      </c>
      <c r="D416" s="20">
        <f t="shared" si="18"/>
        <v>0</v>
      </c>
      <c r="E416" s="21">
        <f>IF($A416="","",IFERROR(_xlfn.XLOOKUP($A416,'System Generated 2026-08-24'!$A:$A,'System Generated 2026-08-24'!$E:$E),"Missing"))</f>
        <v>0</v>
      </c>
      <c r="F416" s="21">
        <f>IF($A416="","",IFERROR(_xlfn.XLOOKUP($A416,Table1[Item],Table1[Total (₹)]),"Missing"))</f>
        <v>0</v>
      </c>
      <c r="G416" s="21">
        <f t="shared" si="19"/>
        <v>0</v>
      </c>
      <c r="H416" t="str">
        <f t="shared" si="20"/>
        <v>Match</v>
      </c>
      <c r="K416" t="str">
        <f>'Kapila hotel 21-08-26'!A23</f>
        <v>Beans</v>
      </c>
    </row>
    <row r="417" spans="1:11" hidden="1" x14ac:dyDescent="0.25">
      <c r="A417" t="str">
        <v>Straws Big</v>
      </c>
      <c r="B417" s="20">
        <f>IF($A417="","",IFERROR(_xlfn.XLOOKUP($A417,'System Generated 2026-08-24'!$A:$A,'System Generated 2026-08-24'!$B:$B),"Missing"))</f>
        <v>66</v>
      </c>
      <c r="C417" s="20">
        <f>IF($A417="","",IFERROR(_xlfn.XLOOKUP($A417,Table1[Item],Table1[Current Stock]),"Missing"))</f>
        <v>66</v>
      </c>
      <c r="D417" s="20">
        <f t="shared" si="18"/>
        <v>0</v>
      </c>
      <c r="E417" s="21">
        <f>IF($A417="","",IFERROR(_xlfn.XLOOKUP($A417,'System Generated 2026-08-24'!$A:$A,'System Generated 2026-08-24'!$E:$E),"Missing"))</f>
        <v>1866.05</v>
      </c>
      <c r="F417" s="21">
        <f>IF($A417="","",IFERROR(_xlfn.XLOOKUP($A417,Table1[Item],Table1[Total (₹)]),"Missing"))</f>
        <v>1866.0509999999999</v>
      </c>
      <c r="G417" s="21">
        <f t="shared" si="19"/>
        <v>-9.9999999997635314E-4</v>
      </c>
      <c r="H417" t="str">
        <f t="shared" si="20"/>
        <v>Match</v>
      </c>
      <c r="K417" t="str">
        <f>'Kapila hotel 21-08-26'!A24</f>
        <v>Bedsheet</v>
      </c>
    </row>
    <row r="418" spans="1:11" hidden="1" x14ac:dyDescent="0.25">
      <c r="A418" t="str">
        <v>Straws Small</v>
      </c>
      <c r="B418" s="20">
        <f>IF($A418="","",IFERROR(_xlfn.XLOOKUP($A418,'System Generated 2026-08-24'!$A:$A,'System Generated 2026-08-24'!$B:$B),"Missing"))</f>
        <v>61</v>
      </c>
      <c r="C418" s="20">
        <f>IF($A418="","",IFERROR(_xlfn.XLOOKUP($A418,Table1[Item],Table1[Current Stock]),"Missing"))</f>
        <v>61</v>
      </c>
      <c r="D418" s="20">
        <f t="shared" si="18"/>
        <v>0</v>
      </c>
      <c r="E418" s="21">
        <f>IF($A418="","",IFERROR(_xlfn.XLOOKUP($A418,'System Generated 2026-08-24'!$A:$A,'System Generated 2026-08-24'!$E:$E),"Missing"))</f>
        <v>2455.25</v>
      </c>
      <c r="F418" s="21">
        <f>IF($A418="","",IFERROR(_xlfn.XLOOKUP($A418,Table1[Item],Table1[Total (₹)]),"Missing"))</f>
        <v>2455.25</v>
      </c>
      <c r="G418" s="21">
        <f t="shared" si="19"/>
        <v>0</v>
      </c>
      <c r="H418" t="str">
        <f t="shared" si="20"/>
        <v>Match</v>
      </c>
      <c r="K418" t="str">
        <f>'Kapila hotel 21-08-26'!A25</f>
        <v>Beerakaya</v>
      </c>
    </row>
    <row r="419" spans="1:11" hidden="1" x14ac:dyDescent="0.25">
      <c r="A419" t="str">
        <v>Sugar</v>
      </c>
      <c r="B419" s="20">
        <f>IF($A419="","",IFERROR(_xlfn.XLOOKUP($A419,'System Generated 2026-08-24'!$A:$A,'System Generated 2026-08-24'!$B:$B),"Missing"))</f>
        <v>93.81</v>
      </c>
      <c r="C419" s="20">
        <f>IF($A419="","",IFERROR(_xlfn.XLOOKUP($A419,Table1[Item],Table1[Current Stock]),"Missing"))</f>
        <v>93.81</v>
      </c>
      <c r="D419" s="20">
        <f t="shared" si="18"/>
        <v>0</v>
      </c>
      <c r="E419" s="21">
        <f>IF($A419="","",IFERROR(_xlfn.XLOOKUP($A419,'System Generated 2026-08-24'!$A:$A,'System Generated 2026-08-24'!$E:$E),"Missing"))</f>
        <v>4226.0600000000004</v>
      </c>
      <c r="F419" s="21">
        <f>IF($A419="","",IFERROR(_xlfn.XLOOKUP($A419,Table1[Item],Table1[Total (₹)]),"Missing"))</f>
        <v>4226.0649999999996</v>
      </c>
      <c r="G419" s="21">
        <f t="shared" si="19"/>
        <v>-4.9999999991996447E-3</v>
      </c>
      <c r="H419" t="str">
        <f t="shared" si="20"/>
        <v>Match</v>
      </c>
      <c r="K419" t="str">
        <f>'Kapila hotel 21-08-26'!A26</f>
        <v>Beet Root</v>
      </c>
    </row>
    <row r="420" spans="1:11" hidden="1" x14ac:dyDescent="0.25">
      <c r="A420" t="str">
        <v>Sunflower Oil</v>
      </c>
      <c r="B420" s="20">
        <f>IF($A420="","",IFERROR(_xlfn.XLOOKUP($A420,'System Generated 2026-08-24'!$A:$A,'System Generated 2026-08-24'!$B:$B),"Missing"))</f>
        <v>97</v>
      </c>
      <c r="C420" s="20">
        <f>IF($A420="","",IFERROR(_xlfn.XLOOKUP($A420,Table1[Item],Table1[Current Stock]),"Missing"))</f>
        <v>97</v>
      </c>
      <c r="D420" s="20">
        <f t="shared" si="18"/>
        <v>0</v>
      </c>
      <c r="E420" s="21">
        <f>IF($A420="","",IFERROR(_xlfn.XLOOKUP($A420,'System Generated 2026-08-24'!$A:$A,'System Generated 2026-08-24'!$E:$E),"Missing"))</f>
        <v>14920.8</v>
      </c>
      <c r="F420" s="21">
        <f>IF($A420="","",IFERROR(_xlfn.XLOOKUP($A420,Table1[Item],Table1[Total (₹)]),"Missing"))</f>
        <v>14920.831</v>
      </c>
      <c r="G420" s="21">
        <f t="shared" si="19"/>
        <v>-3.1000000000858563E-2</v>
      </c>
      <c r="H420" t="str">
        <f t="shared" si="20"/>
        <v>Match</v>
      </c>
      <c r="K420" t="str">
        <f>'Kapila hotel 21-08-26'!A27</f>
        <v>Bendakaya</v>
      </c>
    </row>
    <row r="421" spans="1:11" hidden="1" x14ac:dyDescent="0.25">
      <c r="A421" t="str">
        <v>Surf</v>
      </c>
      <c r="B421" s="20">
        <f>IF($A421="","",IFERROR(_xlfn.XLOOKUP($A421,'System Generated 2026-08-24'!$A:$A,'System Generated 2026-08-24'!$B:$B),"Missing"))</f>
        <v>16</v>
      </c>
      <c r="C421" s="20">
        <f>IF($A421="","",IFERROR(_xlfn.XLOOKUP($A421,Table1[Item],Table1[Current Stock]),"Missing"))</f>
        <v>16</v>
      </c>
      <c r="D421" s="20">
        <f t="shared" si="18"/>
        <v>0</v>
      </c>
      <c r="E421" s="21">
        <f>IF($A421="","",IFERROR(_xlfn.XLOOKUP($A421,'System Generated 2026-08-24'!$A:$A,'System Generated 2026-08-24'!$E:$E),"Missing"))</f>
        <v>1008</v>
      </c>
      <c r="F421" s="21">
        <f>IF($A421="","",IFERROR(_xlfn.XLOOKUP($A421,Table1[Item],Table1[Total (₹)]),"Missing"))</f>
        <v>1008</v>
      </c>
      <c r="G421" s="21">
        <f t="shared" si="19"/>
        <v>0</v>
      </c>
      <c r="H421" t="str">
        <f t="shared" si="20"/>
        <v>Match</v>
      </c>
      <c r="K421" t="str">
        <f>'Kapila hotel 21-08-26'!A28</f>
        <v>Bharath Gas</v>
      </c>
    </row>
    <row r="422" spans="1:11" x14ac:dyDescent="0.25">
      <c r="A422" t="str">
        <v>Swastik Chilly Powder</v>
      </c>
      <c r="B422" s="20" t="str">
        <f>IF($A422="","",IFERROR(_xlfn.XLOOKUP($A422,'System Generated 2026-08-24'!$A:$A,'System Generated 2026-08-24'!$B:$B),"Missing"))</f>
        <v>Missing</v>
      </c>
      <c r="C422" s="20">
        <f>IF($A422="","",IFERROR(_xlfn.XLOOKUP($A422,Table1[Item],Table1[Current Stock]),"Missing"))</f>
        <v>0</v>
      </c>
      <c r="D422" s="20" t="str">
        <f t="shared" si="18"/>
        <v>N/A</v>
      </c>
      <c r="E422" s="21" t="str">
        <f>IF($A422="","",IFERROR(_xlfn.XLOOKUP($A422,'System Generated 2026-08-24'!$A:$A,'System Generated 2026-08-24'!$E:$E),"Missing"))</f>
        <v>Missing</v>
      </c>
      <c r="F422" s="21">
        <f>IF($A422="","",IFERROR(_xlfn.XLOOKUP($A422,Table1[Item],Table1[Total (₹)]),"Missing"))</f>
        <v>0</v>
      </c>
      <c r="G422" s="21" t="str">
        <f t="shared" si="19"/>
        <v>N/A</v>
      </c>
      <c r="H422" t="str">
        <f t="shared" si="20"/>
        <v>Missing in App</v>
      </c>
      <c r="K422" t="str">
        <f>'Kapila hotel 21-08-26'!A29</f>
        <v>Biryani Leaf</v>
      </c>
    </row>
    <row r="423" spans="1:11" x14ac:dyDescent="0.25">
      <c r="A423" t="str">
        <v>Sweet Cone Momos</v>
      </c>
      <c r="B423" s="20" t="str">
        <f>IF($A423="","",IFERROR(_xlfn.XLOOKUP($A423,'System Generated 2026-08-24'!$A:$A,'System Generated 2026-08-24'!$B:$B),"Missing"))</f>
        <v>Missing</v>
      </c>
      <c r="C423" s="20">
        <f>IF($A423="","",IFERROR(_xlfn.XLOOKUP($A423,Table1[Item],Table1[Current Stock]),"Missing"))</f>
        <v>0</v>
      </c>
      <c r="D423" s="20" t="str">
        <f t="shared" si="18"/>
        <v>N/A</v>
      </c>
      <c r="E423" s="21" t="str">
        <f>IF($A423="","",IFERROR(_xlfn.XLOOKUP($A423,'System Generated 2026-08-24'!$A:$A,'System Generated 2026-08-24'!$E:$E),"Missing"))</f>
        <v>Missing</v>
      </c>
      <c r="F423" s="21">
        <f>IF($A423="","",IFERROR(_xlfn.XLOOKUP($A423,Table1[Item],Table1[Total (₹)]),"Missing"))</f>
        <v>0</v>
      </c>
      <c r="G423" s="21" t="str">
        <f t="shared" si="19"/>
        <v>N/A</v>
      </c>
      <c r="H423" t="str">
        <f t="shared" si="20"/>
        <v>Missing in App</v>
      </c>
      <c r="K423" t="str">
        <f>'Kapila hotel 21-08-26'!A30</f>
        <v>Biryani Rice</v>
      </c>
    </row>
    <row r="424" spans="1:11" hidden="1" x14ac:dyDescent="0.25">
      <c r="A424" t="str">
        <v>Sweet Corn Makka</v>
      </c>
      <c r="B424" s="20">
        <f>IF($A424="","",IFERROR(_xlfn.XLOOKUP($A424,'System Generated 2026-08-24'!$A:$A,'System Generated 2026-08-24'!$B:$B),"Missing"))</f>
        <v>0</v>
      </c>
      <c r="C424" s="20">
        <f>IF($A424="","",IFERROR(_xlfn.XLOOKUP($A424,Table1[Item],Table1[Current Stock]),"Missing"))</f>
        <v>0</v>
      </c>
      <c r="D424" s="20">
        <f t="shared" si="18"/>
        <v>0</v>
      </c>
      <c r="E424" s="21">
        <f>IF($A424="","",IFERROR(_xlfn.XLOOKUP($A424,'System Generated 2026-08-24'!$A:$A,'System Generated 2026-08-24'!$E:$E),"Missing"))</f>
        <v>0</v>
      </c>
      <c r="F424" s="21">
        <f>IF($A424="","",IFERROR(_xlfn.XLOOKUP($A424,Table1[Item],Table1[Total (₹)]),"Missing"))</f>
        <v>0</v>
      </c>
      <c r="G424" s="21">
        <f t="shared" si="19"/>
        <v>0</v>
      </c>
      <c r="H424" t="str">
        <f t="shared" si="20"/>
        <v>Match</v>
      </c>
      <c r="K424" t="str">
        <f>'Kapila hotel 21-08-26'!A31</f>
        <v>Bis Coffe Biscuits</v>
      </c>
    </row>
    <row r="425" spans="1:11" hidden="1" x14ac:dyDescent="0.25">
      <c r="A425" t="str">
        <v>Sweet Corn Momos</v>
      </c>
      <c r="B425" s="20">
        <f>IF($A425="","",IFERROR(_xlfn.XLOOKUP($A425,'System Generated 2026-08-24'!$A:$A,'System Generated 2026-08-24'!$B:$B),"Missing"))</f>
        <v>16</v>
      </c>
      <c r="C425" s="20" t="str">
        <f>IF($A425="","",IFERROR(_xlfn.XLOOKUP($A425,Table1[Item],Table1[Current Stock]),"Missing"))</f>
        <v>Missing</v>
      </c>
      <c r="D425" s="20" t="str">
        <f t="shared" si="18"/>
        <v>N/A</v>
      </c>
      <c r="E425" s="21">
        <f>IF($A425="","",IFERROR(_xlfn.XLOOKUP($A425,'System Generated 2026-08-24'!$A:$A,'System Generated 2026-08-24'!$E:$E),"Missing"))</f>
        <v>4960</v>
      </c>
      <c r="F425" s="21" t="str">
        <f>IF($A425="","",IFERROR(_xlfn.XLOOKUP($A425,Table1[Item],Table1[Total (₹)]),"Missing"))</f>
        <v>Missing</v>
      </c>
      <c r="G425" s="21" t="str">
        <f t="shared" si="19"/>
        <v>N/A</v>
      </c>
      <c r="H425" t="str">
        <f t="shared" si="20"/>
        <v>Missing in Hotel Data</v>
      </c>
      <c r="K425" t="str">
        <f>'Kapila hotel 21-08-26'!A32</f>
        <v>Bis Coffe Paste</v>
      </c>
    </row>
    <row r="426" spans="1:11" hidden="1" x14ac:dyDescent="0.25">
      <c r="A426" t="str">
        <v>Sweet Corn Pkt</v>
      </c>
      <c r="B426" s="20">
        <f>IF($A426="","",IFERROR(_xlfn.XLOOKUP($A426,'System Generated 2026-08-24'!$A:$A,'System Generated 2026-08-24'!$B:$B),"Missing"))</f>
        <v>3</v>
      </c>
      <c r="C426" s="20">
        <f>IF($A426="","",IFERROR(_xlfn.XLOOKUP($A426,Table1[Item],Table1[Current Stock]),"Missing"))</f>
        <v>3</v>
      </c>
      <c r="D426" s="20">
        <f t="shared" si="18"/>
        <v>0</v>
      </c>
      <c r="E426" s="21">
        <f>IF($A426="","",IFERROR(_xlfn.XLOOKUP($A426,'System Generated 2026-08-24'!$A:$A,'System Generated 2026-08-24'!$E:$E),"Missing"))</f>
        <v>249.45</v>
      </c>
      <c r="F426" s="21">
        <f>IF($A426="","",IFERROR(_xlfn.XLOOKUP($A426,Table1[Item],Table1[Total (₹)]),"Missing"))</f>
        <v>249.45400000000001</v>
      </c>
      <c r="G426" s="21">
        <f t="shared" si="19"/>
        <v>-4.0000000000190994E-3</v>
      </c>
      <c r="H426" t="str">
        <f t="shared" si="20"/>
        <v>Match</v>
      </c>
      <c r="K426" t="str">
        <f>'Kapila hotel 21-08-26'!A33</f>
        <v>Black Grapes</v>
      </c>
    </row>
    <row r="427" spans="1:11" hidden="1" x14ac:dyDescent="0.25">
      <c r="A427" t="str">
        <v>Sweetcorn Tin</v>
      </c>
      <c r="B427" s="20">
        <f>IF($A427="","",IFERROR(_xlfn.XLOOKUP($A427,'System Generated 2026-08-24'!$A:$A,'System Generated 2026-08-24'!$B:$B),"Missing"))</f>
        <v>9</v>
      </c>
      <c r="C427" s="20">
        <f>IF($A427="","",IFERROR(_xlfn.XLOOKUP($A427,Table1[Item],Table1[Current Stock]),"Missing"))</f>
        <v>9</v>
      </c>
      <c r="D427" s="20">
        <f t="shared" si="18"/>
        <v>0</v>
      </c>
      <c r="E427" s="21">
        <f>IF($A427="","",IFERROR(_xlfn.XLOOKUP($A427,'System Generated 2026-08-24'!$A:$A,'System Generated 2026-08-24'!$E:$E),"Missing"))</f>
        <v>444.01</v>
      </c>
      <c r="F427" s="21">
        <f>IF($A427="","",IFERROR(_xlfn.XLOOKUP($A427,Table1[Item],Table1[Total (₹)]),"Missing"))</f>
        <v>444.005</v>
      </c>
      <c r="G427" s="21">
        <f t="shared" si="19"/>
        <v>4.9999999999954525E-3</v>
      </c>
      <c r="H427" t="str">
        <f t="shared" si="20"/>
        <v>Match</v>
      </c>
      <c r="K427" t="str">
        <f>'Kapila hotel 21-08-26'!A34</f>
        <v>Black Olives</v>
      </c>
    </row>
    <row r="428" spans="1:11" x14ac:dyDescent="0.25">
      <c r="A428" t="str">
        <v>Tableroll</v>
      </c>
      <c r="B428" s="20" t="str">
        <f>IF($A428="","",IFERROR(_xlfn.XLOOKUP($A428,'System Generated 2026-08-24'!$A:$A,'System Generated 2026-08-24'!$B:$B),"Missing"))</f>
        <v>Missing</v>
      </c>
      <c r="C428" s="20">
        <f>IF($A428="","",IFERROR(_xlfn.XLOOKUP($A428,Table1[Item],Table1[Current Stock]),"Missing"))</f>
        <v>2</v>
      </c>
      <c r="D428" s="20" t="str">
        <f t="shared" si="18"/>
        <v>N/A</v>
      </c>
      <c r="E428" s="21" t="str">
        <f>IF($A428="","",IFERROR(_xlfn.XLOOKUP($A428,'System Generated 2026-08-24'!$A:$A,'System Generated 2026-08-24'!$E:$E),"Missing"))</f>
        <v>Missing</v>
      </c>
      <c r="F428" s="21">
        <f>IF($A428="","",IFERROR(_xlfn.XLOOKUP($A428,Table1[Item],Table1[Total (₹)]),"Missing"))</f>
        <v>230</v>
      </c>
      <c r="G428" s="21" t="str">
        <f t="shared" si="19"/>
        <v>N/A</v>
      </c>
      <c r="H428" t="str">
        <f t="shared" si="20"/>
        <v>Missing in App</v>
      </c>
      <c r="K428" t="str">
        <f>'Kapila hotel 21-08-26'!A35</f>
        <v>Black Pepper</v>
      </c>
    </row>
    <row r="429" spans="1:11" x14ac:dyDescent="0.25">
      <c r="A429" t="str">
        <v>Tamalapakulu</v>
      </c>
      <c r="B429" s="20" t="str">
        <f>IF($A429="","",IFERROR(_xlfn.XLOOKUP($A429,'System Generated 2026-08-24'!$A:$A,'System Generated 2026-08-24'!$B:$B),"Missing"))</f>
        <v>Missing</v>
      </c>
      <c r="C429" s="20">
        <f>IF($A429="","",IFERROR(_xlfn.XLOOKUP($A429,Table1[Item],Table1[Current Stock]),"Missing"))</f>
        <v>0</v>
      </c>
      <c r="D429" s="20" t="str">
        <f t="shared" si="18"/>
        <v>N/A</v>
      </c>
      <c r="E429" s="21" t="str">
        <f>IF($A429="","",IFERROR(_xlfn.XLOOKUP($A429,'System Generated 2026-08-24'!$A:$A,'System Generated 2026-08-24'!$E:$E),"Missing"))</f>
        <v>Missing</v>
      </c>
      <c r="F429" s="21">
        <f>IF($A429="","",IFERROR(_xlfn.XLOOKUP($A429,Table1[Item],Table1[Total (₹)]),"Missing"))</f>
        <v>0</v>
      </c>
      <c r="G429" s="21" t="str">
        <f t="shared" si="19"/>
        <v>N/A</v>
      </c>
      <c r="H429" t="str">
        <f t="shared" si="20"/>
        <v>Missing in App</v>
      </c>
      <c r="K429" t="str">
        <f>'Kapila hotel 21-08-26'!A36</f>
        <v>Black Salt</v>
      </c>
    </row>
    <row r="430" spans="1:11" hidden="1" x14ac:dyDescent="0.25">
      <c r="A430" t="str">
        <v>Tamarind</v>
      </c>
      <c r="B430" s="20">
        <f>IF($A430="","",IFERROR(_xlfn.XLOOKUP($A430,'System Generated 2026-08-24'!$A:$A,'System Generated 2026-08-24'!$B:$B),"Missing"))</f>
        <v>4.2</v>
      </c>
      <c r="C430" s="20">
        <f>IF($A430="","",IFERROR(_xlfn.XLOOKUP($A430,Table1[Item],Table1[Current Stock]),"Missing"))</f>
        <v>4.2</v>
      </c>
      <c r="D430" s="20">
        <f t="shared" si="18"/>
        <v>0</v>
      </c>
      <c r="E430" s="21">
        <f>IF($A430="","",IFERROR(_xlfn.XLOOKUP($A430,'System Generated 2026-08-24'!$A:$A,'System Generated 2026-08-24'!$E:$E),"Missing"))</f>
        <v>457.79</v>
      </c>
      <c r="F430" s="21">
        <f>IF($A430="","",IFERROR(_xlfn.XLOOKUP($A430,Table1[Item],Table1[Total (₹)]),"Missing"))</f>
        <v>457.79199999999997</v>
      </c>
      <c r="G430" s="21">
        <f t="shared" si="19"/>
        <v>-1.9999999999527063E-3</v>
      </c>
      <c r="H430" t="str">
        <f t="shared" si="20"/>
        <v>Match</v>
      </c>
      <c r="K430" t="str">
        <f>'Kapila hotel 21-08-26'!A37</f>
        <v>Black Urad Dal</v>
      </c>
    </row>
    <row r="431" spans="1:11" hidden="1" x14ac:dyDescent="0.25">
      <c r="A431" t="str">
        <v>Tamato</v>
      </c>
      <c r="B431" s="20">
        <f>IF($A431="","",IFERROR(_xlfn.XLOOKUP($A431,'System Generated 2026-08-24'!$A:$A,'System Generated 2026-08-24'!$B:$B),"Missing"))</f>
        <v>28</v>
      </c>
      <c r="C431" s="20">
        <f>IF($A431="","",IFERROR(_xlfn.XLOOKUP($A431,Table1[Item],Table1[Current Stock]),"Missing"))</f>
        <v>28</v>
      </c>
      <c r="D431" s="20">
        <f t="shared" si="18"/>
        <v>0</v>
      </c>
      <c r="E431" s="21">
        <f>IF($A431="","",IFERROR(_xlfn.XLOOKUP($A431,'System Generated 2026-08-24'!$A:$A,'System Generated 2026-08-24'!$E:$E),"Missing"))</f>
        <v>413.91</v>
      </c>
      <c r="F431" s="21">
        <f>IF($A431="","",IFERROR(_xlfn.XLOOKUP($A431,Table1[Item],Table1[Total (₹)]),"Missing"))</f>
        <v>413.91300000000001</v>
      </c>
      <c r="G431" s="21">
        <f t="shared" si="19"/>
        <v>-2.9999999999859028E-3</v>
      </c>
      <c r="H431" t="str">
        <f t="shared" si="20"/>
        <v>Match</v>
      </c>
      <c r="K431" t="str">
        <f>'Kapila hotel 21-08-26'!A38</f>
        <v>Blue Lagoon</v>
      </c>
    </row>
    <row r="432" spans="1:11" hidden="1" x14ac:dyDescent="0.25">
      <c r="A432" t="str">
        <v>Tang Rasna</v>
      </c>
      <c r="B432" s="20">
        <f>IF($A432="","",IFERROR(_xlfn.XLOOKUP($A432,'System Generated 2026-08-24'!$A:$A,'System Generated 2026-08-24'!$B:$B),"Missing"))</f>
        <v>0</v>
      </c>
      <c r="C432" s="20">
        <f>IF($A432="","",IFERROR(_xlfn.XLOOKUP($A432,Table1[Item],Table1[Current Stock]),"Missing"))</f>
        <v>0</v>
      </c>
      <c r="D432" s="20">
        <f t="shared" si="18"/>
        <v>0</v>
      </c>
      <c r="E432" s="21">
        <f>IF($A432="","",IFERROR(_xlfn.XLOOKUP($A432,'System Generated 2026-08-24'!$A:$A,'System Generated 2026-08-24'!$E:$E),"Missing"))</f>
        <v>0</v>
      </c>
      <c r="F432" s="21">
        <f>IF($A432="","",IFERROR(_xlfn.XLOOKUP($A432,Table1[Item],Table1[Total (₹)]),"Missing"))</f>
        <v>0</v>
      </c>
      <c r="G432" s="21">
        <f t="shared" si="19"/>
        <v>0</v>
      </c>
      <c r="H432" t="str">
        <f t="shared" si="20"/>
        <v>Match</v>
      </c>
      <c r="K432" t="str">
        <f>'Kapila hotel 21-08-26'!A39</f>
        <v>Bobberlu</v>
      </c>
    </row>
    <row r="433" spans="1:11" hidden="1" x14ac:dyDescent="0.25">
      <c r="A433" t="str">
        <v>Tarbuj</v>
      </c>
      <c r="B433" s="20">
        <f>IF($A433="","",IFERROR(_xlfn.XLOOKUP($A433,'System Generated 2026-08-24'!$A:$A,'System Generated 2026-08-24'!$B:$B),"Missing"))</f>
        <v>4.0999999999999996</v>
      </c>
      <c r="C433" s="20">
        <f>IF($A433="","",IFERROR(_xlfn.XLOOKUP($A433,Table1[Item],Table1[Current Stock]),"Missing"))</f>
        <v>4.0999999999999996</v>
      </c>
      <c r="D433" s="20">
        <f t="shared" si="18"/>
        <v>0</v>
      </c>
      <c r="E433" s="21">
        <f>IF($A433="","",IFERROR(_xlfn.XLOOKUP($A433,'System Generated 2026-08-24'!$A:$A,'System Generated 2026-08-24'!$E:$E),"Missing"))</f>
        <v>2505.54</v>
      </c>
      <c r="F433" s="21">
        <f>IF($A433="","",IFERROR(_xlfn.XLOOKUP($A433,Table1[Item],Table1[Total (₹)]),"Missing"))</f>
        <v>2505.5430000000001</v>
      </c>
      <c r="G433" s="21">
        <f t="shared" si="19"/>
        <v>-3.0000000001564331E-3</v>
      </c>
      <c r="H433" t="str">
        <f t="shared" si="20"/>
        <v>Match</v>
      </c>
      <c r="K433" t="str">
        <f>'Kapila hotel 21-08-26'!A40</f>
        <v>Boiled Rice</v>
      </c>
    </row>
    <row r="434" spans="1:11" hidden="1" x14ac:dyDescent="0.25">
      <c r="A434" t="str">
        <v>Tata Salt</v>
      </c>
      <c r="B434" s="20">
        <f>IF($A434="","",IFERROR(_xlfn.XLOOKUP($A434,'System Generated 2026-08-24'!$A:$A,'System Generated 2026-08-24'!$B:$B),"Missing"))</f>
        <v>81</v>
      </c>
      <c r="C434" s="20">
        <f>IF($A434="","",IFERROR(_xlfn.XLOOKUP($A434,Table1[Item],Table1[Current Stock]),"Missing"))</f>
        <v>81</v>
      </c>
      <c r="D434" s="20">
        <f t="shared" si="18"/>
        <v>0</v>
      </c>
      <c r="E434" s="21">
        <f>IF($A434="","",IFERROR(_xlfn.XLOOKUP($A434,'System Generated 2026-08-24'!$A:$A,'System Generated 2026-08-24'!$E:$E),"Missing"))</f>
        <v>2045.37</v>
      </c>
      <c r="F434" s="21">
        <f>IF($A434="","",IFERROR(_xlfn.XLOOKUP($A434,Table1[Item],Table1[Total (₹)]),"Missing"))</f>
        <v>2045.3720000000001</v>
      </c>
      <c r="G434" s="21">
        <f t="shared" si="19"/>
        <v>-2.00000000018008E-3</v>
      </c>
      <c r="H434" t="str">
        <f t="shared" si="20"/>
        <v>Match</v>
      </c>
      <c r="K434" t="str">
        <f>'Kapila hotel 21-08-26'!A41</f>
        <v>Boost</v>
      </c>
    </row>
    <row r="435" spans="1:11" hidden="1" x14ac:dyDescent="0.25">
      <c r="A435" t="str">
        <v>Tea Cups Big</v>
      </c>
      <c r="B435" s="20">
        <f>IF($A435="","",IFERROR(_xlfn.XLOOKUP($A435,'System Generated 2026-08-24'!$A:$A,'System Generated 2026-08-24'!$B:$B),"Missing"))</f>
        <v>8</v>
      </c>
      <c r="C435" s="20">
        <f>IF($A435="","",IFERROR(_xlfn.XLOOKUP($A435,Table1[Item],Table1[Current Stock]),"Missing"))</f>
        <v>8</v>
      </c>
      <c r="D435" s="20">
        <f t="shared" si="18"/>
        <v>0</v>
      </c>
      <c r="E435" s="21">
        <f>IF($A435="","",IFERROR(_xlfn.XLOOKUP($A435,'System Generated 2026-08-24'!$A:$A,'System Generated 2026-08-24'!$E:$E),"Missing"))</f>
        <v>182</v>
      </c>
      <c r="F435" s="21">
        <f>IF($A435="","",IFERROR(_xlfn.XLOOKUP($A435,Table1[Item],Table1[Total (₹)]),"Missing"))</f>
        <v>182</v>
      </c>
      <c r="G435" s="21">
        <f t="shared" si="19"/>
        <v>0</v>
      </c>
      <c r="H435" t="str">
        <f t="shared" si="20"/>
        <v>Match</v>
      </c>
      <c r="K435" t="str">
        <f>'Kapila hotel 21-08-26'!A42</f>
        <v>Bournvita</v>
      </c>
    </row>
    <row r="436" spans="1:11" hidden="1" x14ac:dyDescent="0.25">
      <c r="A436" t="str">
        <v>Tea Cups Small</v>
      </c>
      <c r="B436" s="20">
        <f>IF($A436="","",IFERROR(_xlfn.XLOOKUP($A436,'System Generated 2026-08-24'!$A:$A,'System Generated 2026-08-24'!$B:$B),"Missing"))</f>
        <v>8</v>
      </c>
      <c r="C436" s="20">
        <f>IF($A436="","",IFERROR(_xlfn.XLOOKUP($A436,Table1[Item],Table1[Current Stock]),"Missing"))</f>
        <v>8</v>
      </c>
      <c r="D436" s="20">
        <f t="shared" si="18"/>
        <v>0</v>
      </c>
      <c r="E436" s="21">
        <f>IF($A436="","",IFERROR(_xlfn.XLOOKUP($A436,'System Generated 2026-08-24'!$A:$A,'System Generated 2026-08-24'!$E:$E),"Missing"))</f>
        <v>144</v>
      </c>
      <c r="F436" s="21">
        <f>IF($A436="","",IFERROR(_xlfn.XLOOKUP($A436,Table1[Item],Table1[Total (₹)]),"Missing"))</f>
        <v>144</v>
      </c>
      <c r="G436" s="21">
        <f t="shared" si="19"/>
        <v>0</v>
      </c>
      <c r="H436" t="str">
        <f t="shared" si="20"/>
        <v>Match</v>
      </c>
      <c r="K436" t="str">
        <f>'Kapila hotel 21-08-26'!A43</f>
        <v>Box Container 1000 Ml</v>
      </c>
    </row>
    <row r="437" spans="1:11" hidden="1" x14ac:dyDescent="0.25">
      <c r="A437" t="str">
        <v>Tea Powder</v>
      </c>
      <c r="B437" s="20">
        <f>IF($A437="","",IFERROR(_xlfn.XLOOKUP($A437,'System Generated 2026-08-24'!$A:$A,'System Generated 2026-08-24'!$B:$B),"Missing"))</f>
        <v>1</v>
      </c>
      <c r="C437" s="20">
        <f>IF($A437="","",IFERROR(_xlfn.XLOOKUP($A437,Table1[Item],Table1[Current Stock]),"Missing"))</f>
        <v>1</v>
      </c>
      <c r="D437" s="20">
        <f t="shared" si="18"/>
        <v>0</v>
      </c>
      <c r="E437" s="21">
        <f>IF($A437="","",IFERROR(_xlfn.XLOOKUP($A437,'System Generated 2026-08-24'!$A:$A,'System Generated 2026-08-24'!$E:$E),"Missing"))</f>
        <v>320</v>
      </c>
      <c r="F437" s="21">
        <f>IF($A437="","",IFERROR(_xlfn.XLOOKUP($A437,Table1[Item],Table1[Total (₹)]),"Missing"))</f>
        <v>320</v>
      </c>
      <c r="G437" s="21">
        <f t="shared" si="19"/>
        <v>0</v>
      </c>
      <c r="H437" t="str">
        <f t="shared" si="20"/>
        <v>Match</v>
      </c>
      <c r="K437" t="str">
        <f>'Kapila hotel 21-08-26'!A44</f>
        <v>Box Container 1500ml</v>
      </c>
    </row>
    <row r="438" spans="1:11" hidden="1" x14ac:dyDescent="0.25">
      <c r="A438" t="str">
        <v>Thoka Miryal</v>
      </c>
      <c r="B438" s="20">
        <f>IF($A438="","",IFERROR(_xlfn.XLOOKUP($A438,'System Generated 2026-08-24'!$A:$A,'System Generated 2026-08-24'!$B:$B),"Missing"))</f>
        <v>1.5</v>
      </c>
      <c r="C438" s="20">
        <f>IF($A438="","",IFERROR(_xlfn.XLOOKUP($A438,Table1[Item],Table1[Current Stock]),"Missing"))</f>
        <v>1.5</v>
      </c>
      <c r="D438" s="20">
        <f t="shared" si="18"/>
        <v>0</v>
      </c>
      <c r="E438" s="21">
        <f>IF($A438="","",IFERROR(_xlfn.XLOOKUP($A438,'System Generated 2026-08-24'!$A:$A,'System Generated 2026-08-24'!$E:$E),"Missing"))</f>
        <v>2842.5</v>
      </c>
      <c r="F438" s="21">
        <f>IF($A438="","",IFERROR(_xlfn.XLOOKUP($A438,Table1[Item],Table1[Total (₹)]),"Missing"))</f>
        <v>2842.5</v>
      </c>
      <c r="G438" s="21">
        <f t="shared" si="19"/>
        <v>0</v>
      </c>
      <c r="H438" t="str">
        <f t="shared" si="20"/>
        <v>Match</v>
      </c>
      <c r="K438" t="str">
        <f>'Kapila hotel 21-08-26'!A45</f>
        <v>Box Container 200 Ml</v>
      </c>
    </row>
    <row r="439" spans="1:11" hidden="1" x14ac:dyDescent="0.25">
      <c r="A439" t="str">
        <v>Thotakura</v>
      </c>
      <c r="B439" s="20">
        <f>IF($A439="","",IFERROR(_xlfn.XLOOKUP($A439,'System Generated 2026-08-24'!$A:$A,'System Generated 2026-08-24'!$B:$B),"Missing"))</f>
        <v>0</v>
      </c>
      <c r="C439" s="20">
        <f>IF($A439="","",IFERROR(_xlfn.XLOOKUP($A439,Table1[Item],Table1[Current Stock]),"Missing"))</f>
        <v>0</v>
      </c>
      <c r="D439" s="20">
        <f t="shared" si="18"/>
        <v>0</v>
      </c>
      <c r="E439" s="21">
        <f>IF($A439="","",IFERROR(_xlfn.XLOOKUP($A439,'System Generated 2026-08-24'!$A:$A,'System Generated 2026-08-24'!$E:$E),"Missing"))</f>
        <v>0</v>
      </c>
      <c r="F439" s="21">
        <f>IF($A439="","",IFERROR(_xlfn.XLOOKUP($A439,Table1[Item],Table1[Total (₹)]),"Missing"))</f>
        <v>0</v>
      </c>
      <c r="G439" s="21">
        <f t="shared" si="19"/>
        <v>0</v>
      </c>
      <c r="H439" t="str">
        <f t="shared" si="20"/>
        <v>Match</v>
      </c>
      <c r="K439" t="str">
        <f>'Kapila hotel 21-08-26'!A46</f>
        <v>Box Container 250ml</v>
      </c>
    </row>
    <row r="440" spans="1:11" hidden="1" x14ac:dyDescent="0.25">
      <c r="A440" t="str">
        <v>THUMS UP 250ml</v>
      </c>
      <c r="B440" s="20">
        <f>IF($A440="","",IFERROR(_xlfn.XLOOKUP($A440,'System Generated 2026-08-24'!$A:$A,'System Generated 2026-08-24'!$B:$B),"Missing"))</f>
        <v>0</v>
      </c>
      <c r="C440" s="20" t="str">
        <f>IF($A440="","",IFERROR(_xlfn.XLOOKUP($A440,Table1[Item],Table1[Current Stock]),"Missing"))</f>
        <v>Missing</v>
      </c>
      <c r="D440" s="20" t="str">
        <f t="shared" si="18"/>
        <v>N/A</v>
      </c>
      <c r="E440" s="21">
        <f>IF($A440="","",IFERROR(_xlfn.XLOOKUP($A440,'System Generated 2026-08-24'!$A:$A,'System Generated 2026-08-24'!$E:$E),"Missing"))</f>
        <v>0</v>
      </c>
      <c r="F440" s="21" t="str">
        <f>IF($A440="","",IFERROR(_xlfn.XLOOKUP($A440,Table1[Item],Table1[Total (₹)]),"Missing"))</f>
        <v>Missing</v>
      </c>
      <c r="G440" s="21" t="str">
        <f t="shared" si="19"/>
        <v>N/A</v>
      </c>
      <c r="H440" t="str">
        <f t="shared" si="20"/>
        <v>Missing in Hotel Data</v>
      </c>
      <c r="K440" t="str">
        <f>'Kapila hotel 21-08-26'!A47</f>
        <v>Box Container 300 Ml</v>
      </c>
    </row>
    <row r="441" spans="1:11" hidden="1" x14ac:dyDescent="0.25">
      <c r="A441" t="str">
        <v>Till</v>
      </c>
      <c r="B441" s="20">
        <f>IF($A441="","",IFERROR(_xlfn.XLOOKUP($A441,'System Generated 2026-08-24'!$A:$A,'System Generated 2026-08-24'!$B:$B),"Missing"))</f>
        <v>36</v>
      </c>
      <c r="C441" s="20">
        <f>IF($A441="","",IFERROR(_xlfn.XLOOKUP($A441,Table1[Item],Table1[Current Stock]),"Missing"))</f>
        <v>36</v>
      </c>
      <c r="D441" s="20">
        <f t="shared" si="18"/>
        <v>0</v>
      </c>
      <c r="E441" s="21">
        <f>IF($A441="","",IFERROR(_xlfn.XLOOKUP($A441,'System Generated 2026-08-24'!$A:$A,'System Generated 2026-08-24'!$E:$E),"Missing"))</f>
        <v>5643.43</v>
      </c>
      <c r="F441" s="21">
        <f>IF($A441="","",IFERROR(_xlfn.XLOOKUP($A441,Table1[Item],Table1[Total (₹)]),"Missing"))</f>
        <v>5643.4319999999998</v>
      </c>
      <c r="G441" s="21">
        <f t="shared" si="19"/>
        <v>-1.9999999994979589E-3</v>
      </c>
      <c r="H441" t="str">
        <f t="shared" si="20"/>
        <v>Match</v>
      </c>
      <c r="K441" t="str">
        <f>'Kapila hotel 21-08-26'!A48</f>
        <v>Box Container 400ml</v>
      </c>
    </row>
    <row r="442" spans="1:11" hidden="1" x14ac:dyDescent="0.25">
      <c r="A442" t="str">
        <v>Toilet Brush</v>
      </c>
      <c r="B442" s="20">
        <f>IF($A442="","",IFERROR(_xlfn.XLOOKUP($A442,'System Generated 2026-08-24'!$A:$A,'System Generated 2026-08-24'!$B:$B),"Missing"))</f>
        <v>0</v>
      </c>
      <c r="C442" s="20">
        <f>IF($A442="","",IFERROR(_xlfn.XLOOKUP($A442,Table1[Item],Table1[Current Stock]),"Missing"))</f>
        <v>0</v>
      </c>
      <c r="D442" s="20">
        <f t="shared" si="18"/>
        <v>0</v>
      </c>
      <c r="E442" s="21">
        <f>IF($A442="","",IFERROR(_xlfn.XLOOKUP($A442,'System Generated 2026-08-24'!$A:$A,'System Generated 2026-08-24'!$E:$E),"Missing"))</f>
        <v>0</v>
      </c>
      <c r="F442" s="21">
        <f>IF($A442="","",IFERROR(_xlfn.XLOOKUP($A442,Table1[Item],Table1[Total (₹)]),"Missing"))</f>
        <v>0</v>
      </c>
      <c r="G442" s="21">
        <f t="shared" si="19"/>
        <v>0</v>
      </c>
      <c r="H442" t="str">
        <f t="shared" si="20"/>
        <v>Match</v>
      </c>
      <c r="K442" t="str">
        <f>'Kapila hotel 21-08-26'!A49</f>
        <v>Box Container 500 Ml</v>
      </c>
    </row>
    <row r="443" spans="1:11" hidden="1" x14ac:dyDescent="0.25">
      <c r="A443" t="str">
        <v>Tomato Ketchup</v>
      </c>
      <c r="B443" s="20">
        <f>IF($A443="","",IFERROR(_xlfn.XLOOKUP($A443,'System Generated 2026-08-24'!$A:$A,'System Generated 2026-08-24'!$B:$B),"Missing"))</f>
        <v>1498</v>
      </c>
      <c r="C443" s="20">
        <f>IF($A443="","",IFERROR(_xlfn.XLOOKUP($A443,Table1[Item],Table1[Current Stock]),"Missing"))</f>
        <v>1498</v>
      </c>
      <c r="D443" s="20">
        <f t="shared" si="18"/>
        <v>0</v>
      </c>
      <c r="E443" s="21">
        <f>IF($A443="","",IFERROR(_xlfn.XLOOKUP($A443,'System Generated 2026-08-24'!$A:$A,'System Generated 2026-08-24'!$E:$E),"Missing"))</f>
        <v>1015.43</v>
      </c>
      <c r="F443" s="21">
        <f>IF($A443="","",IFERROR(_xlfn.XLOOKUP($A443,Table1[Item],Table1[Total (₹)]),"Missing"))</f>
        <v>1015.43</v>
      </c>
      <c r="G443" s="21">
        <f t="shared" si="19"/>
        <v>0</v>
      </c>
      <c r="H443" t="str">
        <f t="shared" si="20"/>
        <v>Match</v>
      </c>
      <c r="K443" t="str">
        <f>'Kapila hotel 21-08-26'!A50</f>
        <v>Box Container 750ml</v>
      </c>
    </row>
    <row r="444" spans="1:11" hidden="1" x14ac:dyDescent="0.25">
      <c r="A444" t="str">
        <v>Tomato Sauce</v>
      </c>
      <c r="B444" s="20">
        <f>IF($A444="","",IFERROR(_xlfn.XLOOKUP($A444,'System Generated 2026-08-24'!$A:$A,'System Generated 2026-08-24'!$B:$B),"Missing"))</f>
        <v>11</v>
      </c>
      <c r="C444" s="20">
        <f>IF($A444="","",IFERROR(_xlfn.XLOOKUP($A444,Table1[Item],Table1[Current Stock]),"Missing"))</f>
        <v>11</v>
      </c>
      <c r="D444" s="20">
        <f t="shared" si="18"/>
        <v>0</v>
      </c>
      <c r="E444" s="21">
        <f>IF($A444="","",IFERROR(_xlfn.XLOOKUP($A444,'System Generated 2026-08-24'!$A:$A,'System Generated 2026-08-24'!$E:$E),"Missing"))</f>
        <v>762.67</v>
      </c>
      <c r="F444" s="21">
        <f>IF($A444="","",IFERROR(_xlfn.XLOOKUP($A444,Table1[Item],Table1[Total (₹)]),"Missing"))</f>
        <v>762.67399999999998</v>
      </c>
      <c r="G444" s="21">
        <f t="shared" si="19"/>
        <v>-4.0000000000190994E-3</v>
      </c>
      <c r="H444" t="str">
        <f t="shared" si="20"/>
        <v>Match</v>
      </c>
      <c r="K444" t="str">
        <f>'Kapila hotel 21-08-26'!A51</f>
        <v>Bread Crumbs</v>
      </c>
    </row>
    <row r="445" spans="1:11" x14ac:dyDescent="0.25">
      <c r="A445" t="str">
        <v>Tomato Sauce Glass</v>
      </c>
      <c r="B445" s="20" t="str">
        <f>IF($A445="","",IFERROR(_xlfn.XLOOKUP($A445,'System Generated 2026-08-24'!$A:$A,'System Generated 2026-08-24'!$B:$B),"Missing"))</f>
        <v>Missing</v>
      </c>
      <c r="C445" s="20">
        <f>IF($A445="","",IFERROR(_xlfn.XLOOKUP($A445,Table1[Item],Table1[Current Stock]),"Missing"))</f>
        <v>8</v>
      </c>
      <c r="D445" s="20" t="str">
        <f t="shared" si="18"/>
        <v>N/A</v>
      </c>
      <c r="E445" s="21" t="str">
        <f>IF($A445="","",IFERROR(_xlfn.XLOOKUP($A445,'System Generated 2026-08-24'!$A:$A,'System Generated 2026-08-24'!$E:$E),"Missing"))</f>
        <v>Missing</v>
      </c>
      <c r="F445" s="21">
        <f>IF($A445="","",IFERROR(_xlfn.XLOOKUP($A445,Table1[Item],Table1[Total (₹)]),"Missing"))</f>
        <v>1203.2</v>
      </c>
      <c r="G445" s="21" t="str">
        <f t="shared" si="19"/>
        <v>N/A</v>
      </c>
      <c r="H445" t="str">
        <f t="shared" si="20"/>
        <v>Missing in App</v>
      </c>
      <c r="K445" t="str">
        <f>'Kapila hotel 21-08-26'!A52</f>
        <v>Bread Pkt</v>
      </c>
    </row>
    <row r="446" spans="1:11" hidden="1" x14ac:dyDescent="0.25">
      <c r="A446" t="str">
        <v>Tooth Pick</v>
      </c>
      <c r="B446" s="20">
        <f>IF($A446="","",IFERROR(_xlfn.XLOOKUP($A446,'System Generated 2026-08-24'!$A:$A,'System Generated 2026-08-24'!$B:$B),"Missing"))</f>
        <v>29</v>
      </c>
      <c r="C446" s="20">
        <f>IF($A446="","",IFERROR(_xlfn.XLOOKUP($A446,Table1[Item],Table1[Current Stock]),"Missing"))</f>
        <v>29</v>
      </c>
      <c r="D446" s="20">
        <f t="shared" si="18"/>
        <v>0</v>
      </c>
      <c r="E446" s="21">
        <f>IF($A446="","",IFERROR(_xlfn.XLOOKUP($A446,'System Generated 2026-08-24'!$A:$A,'System Generated 2026-08-24'!$E:$E),"Missing"))</f>
        <v>377</v>
      </c>
      <c r="F446" s="21">
        <f>IF($A446="","",IFERROR(_xlfn.XLOOKUP($A446,Table1[Item],Table1[Total (₹)]),"Missing"))</f>
        <v>377</v>
      </c>
      <c r="G446" s="21">
        <f t="shared" si="19"/>
        <v>0</v>
      </c>
      <c r="H446" t="str">
        <f t="shared" si="20"/>
        <v>Match</v>
      </c>
      <c r="K446" t="str">
        <f>'Kapila hotel 21-08-26'!A53</f>
        <v>Broken Rice</v>
      </c>
    </row>
    <row r="447" spans="1:11" hidden="1" x14ac:dyDescent="0.25">
      <c r="A447" t="str">
        <v>Towels</v>
      </c>
      <c r="B447" s="20">
        <f>IF($A447="","",IFERROR(_xlfn.XLOOKUP($A447,'System Generated 2026-08-24'!$A:$A,'System Generated 2026-08-24'!$B:$B),"Missing"))</f>
        <v>0</v>
      </c>
      <c r="C447" s="20">
        <f>IF($A447="","",IFERROR(_xlfn.XLOOKUP($A447,Table1[Item],Table1[Current Stock]),"Missing"))</f>
        <v>0</v>
      </c>
      <c r="D447" s="20">
        <f t="shared" si="18"/>
        <v>0</v>
      </c>
      <c r="E447" s="21">
        <f>IF($A447="","",IFERROR(_xlfn.XLOOKUP($A447,'System Generated 2026-08-24'!$A:$A,'System Generated 2026-08-24'!$E:$E),"Missing"))</f>
        <v>0</v>
      </c>
      <c r="F447" s="21">
        <f>IF($A447="","",IFERROR(_xlfn.XLOOKUP($A447,Table1[Item],Table1[Total (₹)]),"Missing"))</f>
        <v>0</v>
      </c>
      <c r="G447" s="21">
        <f t="shared" si="19"/>
        <v>0</v>
      </c>
      <c r="H447" t="str">
        <f t="shared" si="20"/>
        <v>Match</v>
      </c>
      <c r="K447" t="str">
        <f>'Kapila hotel 21-08-26'!A54</f>
        <v>Brown Onion</v>
      </c>
    </row>
    <row r="448" spans="1:11" hidden="1" x14ac:dyDescent="0.25">
      <c r="A448" t="str">
        <v>Tugar Dal</v>
      </c>
      <c r="B448" s="20">
        <f>IF($A448="","",IFERROR(_xlfn.XLOOKUP($A448,'System Generated 2026-08-24'!$A:$A,'System Generated 2026-08-24'!$B:$B),"Missing"))</f>
        <v>70</v>
      </c>
      <c r="C448" s="20">
        <f>IF($A448="","",IFERROR(_xlfn.XLOOKUP($A448,Table1[Item],Table1[Current Stock]),"Missing"))</f>
        <v>70</v>
      </c>
      <c r="D448" s="20">
        <f t="shared" si="18"/>
        <v>0</v>
      </c>
      <c r="E448" s="21">
        <f>IF($A448="","",IFERROR(_xlfn.XLOOKUP($A448,'System Generated 2026-08-24'!$A:$A,'System Generated 2026-08-24'!$E:$E),"Missing"))</f>
        <v>7910</v>
      </c>
      <c r="F448" s="21">
        <f>IF($A448="","",IFERROR(_xlfn.XLOOKUP($A448,Table1[Item],Table1[Total (₹)]),"Missing"))</f>
        <v>7910</v>
      </c>
      <c r="G448" s="21">
        <f t="shared" si="19"/>
        <v>0</v>
      </c>
      <c r="H448" t="str">
        <f t="shared" si="20"/>
        <v>Match</v>
      </c>
      <c r="K448" t="str">
        <f>'Kapila hotel 21-08-26'!A55</f>
        <v>Brown Sugar</v>
      </c>
    </row>
    <row r="449" spans="1:11" hidden="1" x14ac:dyDescent="0.25">
      <c r="A449" t="str">
        <v>Turmeric Powder</v>
      </c>
      <c r="B449" s="20">
        <f>IF($A449="","",IFERROR(_xlfn.XLOOKUP($A449,'System Generated 2026-08-24'!$A:$A,'System Generated 2026-08-24'!$B:$B),"Missing"))</f>
        <v>48.7</v>
      </c>
      <c r="C449" s="20">
        <f>IF($A449="","",IFERROR(_xlfn.XLOOKUP($A449,Table1[Item],Table1[Current Stock]),"Missing"))</f>
        <v>48.7</v>
      </c>
      <c r="D449" s="20">
        <f t="shared" si="18"/>
        <v>0</v>
      </c>
      <c r="E449" s="21">
        <f>IF($A449="","",IFERROR(_xlfn.XLOOKUP($A449,'System Generated 2026-08-24'!$A:$A,'System Generated 2026-08-24'!$E:$E),"Missing"))</f>
        <v>9385.08</v>
      </c>
      <c r="F449" s="21">
        <f>IF($A449="","",IFERROR(_xlfn.XLOOKUP($A449,Table1[Item],Table1[Total (₹)]),"Missing"))</f>
        <v>9385.0740000000005</v>
      </c>
      <c r="G449" s="21">
        <f t="shared" si="19"/>
        <v>5.9999999994033715E-3</v>
      </c>
      <c r="H449" t="str">
        <f t="shared" si="20"/>
        <v>Match</v>
      </c>
      <c r="K449" t="str">
        <f>'Kapila hotel 21-08-26'!A56</f>
        <v>Brownie</v>
      </c>
    </row>
    <row r="450" spans="1:11" hidden="1" x14ac:dyDescent="0.25">
      <c r="A450" t="str">
        <v>Tuti Fruity</v>
      </c>
      <c r="B450" s="20">
        <f>IF($A450="","",IFERROR(_xlfn.XLOOKUP($A450,'System Generated 2026-08-24'!$A:$A,'System Generated 2026-08-24'!$B:$B),"Missing"))</f>
        <v>0</v>
      </c>
      <c r="C450" s="20">
        <f>IF($A450="","",IFERROR(_xlfn.XLOOKUP($A450,Table1[Item],Table1[Current Stock]),"Missing"))</f>
        <v>0</v>
      </c>
      <c r="D450" s="20">
        <f t="shared" si="18"/>
        <v>0</v>
      </c>
      <c r="E450" s="21">
        <f>IF($A450="","",IFERROR(_xlfn.XLOOKUP($A450,'System Generated 2026-08-24'!$A:$A,'System Generated 2026-08-24'!$E:$E),"Missing"))</f>
        <v>0</v>
      </c>
      <c r="F450" s="21">
        <f>IF($A450="","",IFERROR(_xlfn.XLOOKUP($A450,Table1[Item],Table1[Total (₹)]),"Missing"))</f>
        <v>0</v>
      </c>
      <c r="G450" s="21">
        <f t="shared" si="19"/>
        <v>0</v>
      </c>
      <c r="H450" t="str">
        <f t="shared" si="20"/>
        <v>Match</v>
      </c>
      <c r="K450" t="str">
        <f>'Kapila hotel 21-08-26'!A57</f>
        <v>Brownie Choclat</v>
      </c>
    </row>
    <row r="451" spans="1:11" x14ac:dyDescent="0.25">
      <c r="A451" t="str">
        <v>Un Salt Butter</v>
      </c>
      <c r="B451" s="20" t="str">
        <f>IF($A451="","",IFERROR(_xlfn.XLOOKUP($A451,'System Generated 2026-08-24'!$A:$A,'System Generated 2026-08-24'!$B:$B),"Missing"))</f>
        <v>Missing</v>
      </c>
      <c r="C451" s="20">
        <f>IF($A451="","",IFERROR(_xlfn.XLOOKUP($A451,Table1[Item],Table1[Current Stock]),"Missing"))</f>
        <v>0</v>
      </c>
      <c r="D451" s="20" t="str">
        <f t="shared" ref="D451:D480" si="21">IF($A451="","",IF(OR(B451="Missing",C451="Missing"),"N/A",B451-C451))</f>
        <v>N/A</v>
      </c>
      <c r="E451" s="21" t="str">
        <f>IF($A451="","",IFERROR(_xlfn.XLOOKUP($A451,'System Generated 2026-08-24'!$A:$A,'System Generated 2026-08-24'!$E:$E),"Missing"))</f>
        <v>Missing</v>
      </c>
      <c r="F451" s="21">
        <f>IF($A451="","",IFERROR(_xlfn.XLOOKUP($A451,Table1[Item],Table1[Total (₹)]),"Missing"))</f>
        <v>0</v>
      </c>
      <c r="G451" s="21" t="str">
        <f t="shared" ref="G451:G480" si="22">IF($A451="","",IF(OR(E451="Missing",F451="Missing"),"N/A",E451-F451))</f>
        <v>N/A</v>
      </c>
      <c r="H451" t="str">
        <f t="shared" ref="H451:H480" si="23">IF($A451="","",IF(B451="Missing","Missing in App",IF(C451="Missing","Missing in Hotel Data",IF(D451=0,"Match","Discrepancy"))))</f>
        <v>Missing in App</v>
      </c>
      <c r="K451" t="str">
        <f>'Kapila hotel 21-08-26'!A58</f>
        <v>Budimekaya</v>
      </c>
    </row>
    <row r="452" spans="1:11" hidden="1" x14ac:dyDescent="0.25">
      <c r="A452" t="str">
        <v>Upma Ravva</v>
      </c>
      <c r="B452" s="20">
        <f>IF($A452="","",IFERROR(_xlfn.XLOOKUP($A452,'System Generated 2026-08-24'!$A:$A,'System Generated 2026-08-24'!$B:$B),"Missing"))</f>
        <v>53.814</v>
      </c>
      <c r="C452" s="20">
        <f>IF($A452="","",IFERROR(_xlfn.XLOOKUP($A452,Table1[Item],Table1[Current Stock]),"Missing"))</f>
        <v>53.814</v>
      </c>
      <c r="D452" s="20">
        <f t="shared" si="21"/>
        <v>0</v>
      </c>
      <c r="E452" s="21">
        <f>IF($A452="","",IFERROR(_xlfn.XLOOKUP($A452,'System Generated 2026-08-24'!$A:$A,'System Generated 2026-08-24'!$E:$E),"Missing"))</f>
        <v>2140.2600000000002</v>
      </c>
      <c r="F452" s="21">
        <f>IF($A452="","",IFERROR(_xlfn.XLOOKUP($A452,Table1[Item],Table1[Total (₹)]),"Missing"))</f>
        <v>2140.2579999999998</v>
      </c>
      <c r="G452" s="21">
        <f t="shared" si="22"/>
        <v>2.0000000004074536E-3</v>
      </c>
      <c r="H452" t="str">
        <f t="shared" si="23"/>
        <v>Match</v>
      </c>
      <c r="K452" t="str">
        <f>'Kapila hotel 21-08-26'!A59</f>
        <v>Buffet Plates</v>
      </c>
    </row>
    <row r="453" spans="1:11" hidden="1" x14ac:dyDescent="0.25">
      <c r="A453" t="str">
        <v>Urad Dal</v>
      </c>
      <c r="B453" s="20">
        <f>IF($A453="","",IFERROR(_xlfn.XLOOKUP($A453,'System Generated 2026-08-24'!$A:$A,'System Generated 2026-08-24'!$B:$B),"Missing"))</f>
        <v>147.30199999999999</v>
      </c>
      <c r="C453" s="20">
        <f>IF($A453="","",IFERROR(_xlfn.XLOOKUP($A453,Table1[Item],Table1[Current Stock]),"Missing"))</f>
        <v>147.30199999999999</v>
      </c>
      <c r="D453" s="20">
        <f t="shared" si="21"/>
        <v>0</v>
      </c>
      <c r="E453" s="21">
        <f>IF($A453="","",IFERROR(_xlfn.XLOOKUP($A453,'System Generated 2026-08-24'!$A:$A,'System Generated 2026-08-24'!$E:$E),"Missing"))</f>
        <v>19718.400000000001</v>
      </c>
      <c r="F453" s="21">
        <f>IF($A453="","",IFERROR(_xlfn.XLOOKUP($A453,Table1[Item],Table1[Total (₹)]),"Missing"))</f>
        <v>19718.435000000001</v>
      </c>
      <c r="G453" s="21">
        <f t="shared" si="22"/>
        <v>-3.4999999999854481E-2</v>
      </c>
      <c r="H453" t="str">
        <f t="shared" si="23"/>
        <v>Match</v>
      </c>
      <c r="K453" t="str">
        <f>'Kapila hotel 21-08-26'!A60</f>
        <v>Burger Box</v>
      </c>
    </row>
    <row r="454" spans="1:11" hidden="1" x14ac:dyDescent="0.25">
      <c r="A454" t="str">
        <v>Vanila Spoung</v>
      </c>
      <c r="B454" s="20">
        <f>IF($A454="","",IFERROR(_xlfn.XLOOKUP($A454,'System Generated 2026-08-24'!$A:$A,'System Generated 2026-08-24'!$B:$B),"Missing"))</f>
        <v>2.5</v>
      </c>
      <c r="C454" s="20">
        <f>IF($A454="","",IFERROR(_xlfn.XLOOKUP($A454,Table1[Item],Table1[Current Stock]),"Missing"))</f>
        <v>2.5</v>
      </c>
      <c r="D454" s="20">
        <f t="shared" si="21"/>
        <v>0</v>
      </c>
      <c r="E454" s="21">
        <f>IF($A454="","",IFERROR(_xlfn.XLOOKUP($A454,'System Generated 2026-08-24'!$A:$A,'System Generated 2026-08-24'!$E:$E),"Missing"))</f>
        <v>1131.31</v>
      </c>
      <c r="F454" s="21">
        <f>IF($A454="","",IFERROR(_xlfn.XLOOKUP($A454,Table1[Item],Table1[Total (₹)]),"Missing"))</f>
        <v>1131.308</v>
      </c>
      <c r="G454" s="21">
        <f t="shared" si="22"/>
        <v>1.9999999999527063E-3</v>
      </c>
      <c r="H454" t="str">
        <f t="shared" si="23"/>
        <v>Match</v>
      </c>
      <c r="K454" t="str">
        <f>'Kapila hotel 21-08-26'!A61</f>
        <v>Burger Bun</v>
      </c>
    </row>
    <row r="455" spans="1:11" hidden="1" x14ac:dyDescent="0.25">
      <c r="A455" t="str">
        <v>Vanilla Essence</v>
      </c>
      <c r="B455" s="20">
        <f>IF($A455="","",IFERROR(_xlfn.XLOOKUP($A455,'System Generated 2026-08-24'!$A:$A,'System Generated 2026-08-24'!$B:$B),"Missing"))</f>
        <v>4</v>
      </c>
      <c r="C455" s="20">
        <f>IF($A455="","",IFERROR(_xlfn.XLOOKUP($A455,Table1[Item],Table1[Current Stock]),"Missing"))</f>
        <v>4</v>
      </c>
      <c r="D455" s="20">
        <f t="shared" si="21"/>
        <v>0</v>
      </c>
      <c r="E455" s="21">
        <f>IF($A455="","",IFERROR(_xlfn.XLOOKUP($A455,'System Generated 2026-08-24'!$A:$A,'System Generated 2026-08-24'!$E:$E),"Missing"))</f>
        <v>120</v>
      </c>
      <c r="F455" s="21">
        <f>IF($A455="","",IFERROR(_xlfn.XLOOKUP($A455,Table1[Item],Table1[Total (₹)]),"Missing"))</f>
        <v>120</v>
      </c>
      <c r="G455" s="21">
        <f t="shared" si="22"/>
        <v>0</v>
      </c>
      <c r="H455" t="str">
        <f t="shared" si="23"/>
        <v>Match</v>
      </c>
      <c r="K455" t="str">
        <f>'Kapila hotel 21-08-26'!A62</f>
        <v>Butter 500 Gm</v>
      </c>
    </row>
    <row r="456" spans="1:11" hidden="1" x14ac:dyDescent="0.25">
      <c r="A456" t="str">
        <v>Vanilla Ice Cream</v>
      </c>
      <c r="B456" s="20">
        <f>IF($A456="","",IFERROR(_xlfn.XLOOKUP($A456,'System Generated 2026-08-24'!$A:$A,'System Generated 2026-08-24'!$B:$B),"Missing"))</f>
        <v>0</v>
      </c>
      <c r="C456" s="20">
        <f>IF($A456="","",IFERROR(_xlfn.XLOOKUP($A456,Table1[Item],Table1[Current Stock]),"Missing"))</f>
        <v>0</v>
      </c>
      <c r="D456" s="20">
        <f t="shared" si="21"/>
        <v>0</v>
      </c>
      <c r="E456" s="21">
        <f>IF($A456="","",IFERROR(_xlfn.XLOOKUP($A456,'System Generated 2026-08-24'!$A:$A,'System Generated 2026-08-24'!$E:$E),"Missing"))</f>
        <v>0</v>
      </c>
      <c r="F456" s="21">
        <f>IF($A456="","",IFERROR(_xlfn.XLOOKUP($A456,Table1[Item],Table1[Total (₹)]),"Missing"))</f>
        <v>0</v>
      </c>
      <c r="G456" s="21">
        <f t="shared" si="22"/>
        <v>0</v>
      </c>
      <c r="H456" t="str">
        <f t="shared" si="23"/>
        <v>Match</v>
      </c>
      <c r="K456" t="str">
        <f>'Kapila hotel 21-08-26'!A63</f>
        <v>Butter Covers</v>
      </c>
    </row>
    <row r="457" spans="1:11" x14ac:dyDescent="0.25">
      <c r="A457" t="str">
        <v>Vankaya</v>
      </c>
      <c r="B457" s="20" t="str">
        <f>IF($A457="","",IFERROR(_xlfn.XLOOKUP($A457,'System Generated 2026-08-24'!$A:$A,'System Generated 2026-08-24'!$B:$B),"Missing"))</f>
        <v>Missing</v>
      </c>
      <c r="C457" s="20">
        <f>IF($A457="","",IFERROR(_xlfn.XLOOKUP($A457,Table1[Item],Table1[Current Stock]),"Missing"))</f>
        <v>10</v>
      </c>
      <c r="D457" s="20" t="str">
        <f t="shared" si="21"/>
        <v>N/A</v>
      </c>
      <c r="E457" s="21" t="str">
        <f>IF($A457="","",IFERROR(_xlfn.XLOOKUP($A457,'System Generated 2026-08-24'!$A:$A,'System Generated 2026-08-24'!$E:$E),"Missing"))</f>
        <v>Missing</v>
      </c>
      <c r="F457" s="21">
        <f>IF($A457="","",IFERROR(_xlfn.XLOOKUP($A457,Table1[Item],Table1[Total (₹)]),"Missing"))</f>
        <v>452.38099999999997</v>
      </c>
      <c r="G457" s="21" t="str">
        <f t="shared" si="22"/>
        <v>N/A</v>
      </c>
      <c r="H457" t="str">
        <f t="shared" si="23"/>
        <v>Missing in App</v>
      </c>
      <c r="K457" t="str">
        <f>'Kapila hotel 21-08-26'!A64</f>
        <v>Butter Paper</v>
      </c>
    </row>
    <row r="458" spans="1:11" hidden="1" x14ac:dyDescent="0.25">
      <c r="A458" t="str">
        <v>Veg Momos</v>
      </c>
      <c r="B458" s="20">
        <f>IF($A458="","",IFERROR(_xlfn.XLOOKUP($A458,'System Generated 2026-08-24'!$A:$A,'System Generated 2026-08-24'!$B:$B),"Missing"))</f>
        <v>5</v>
      </c>
      <c r="C458" s="20">
        <f>IF($A458="","",IFERROR(_xlfn.XLOOKUP($A458,Table1[Item],Table1[Current Stock]),"Missing"))</f>
        <v>5</v>
      </c>
      <c r="D458" s="20">
        <f t="shared" si="21"/>
        <v>0</v>
      </c>
      <c r="E458" s="21">
        <f>IF($A458="","",IFERROR(_xlfn.XLOOKUP($A458,'System Generated 2026-08-24'!$A:$A,'System Generated 2026-08-24'!$E:$E),"Missing"))</f>
        <v>822.72</v>
      </c>
      <c r="F458" s="21">
        <f>IF($A458="","",IFERROR(_xlfn.XLOOKUP($A458,Table1[Item],Table1[Total (₹)]),"Missing"))</f>
        <v>822.72</v>
      </c>
      <c r="G458" s="21">
        <f t="shared" si="22"/>
        <v>0</v>
      </c>
      <c r="H458" t="str">
        <f t="shared" si="23"/>
        <v>Match</v>
      </c>
      <c r="K458" t="str">
        <f>'Kapila hotel 21-08-26'!A65</f>
        <v>Butter Scotch Ice Cream</v>
      </c>
    </row>
    <row r="459" spans="1:11" hidden="1" x14ac:dyDescent="0.25">
      <c r="A459" t="str">
        <v>Veg Oyster Sauce</v>
      </c>
      <c r="B459" s="20">
        <f>IF($A459="","",IFERROR(_xlfn.XLOOKUP($A459,'System Generated 2026-08-24'!$A:$A,'System Generated 2026-08-24'!$B:$B),"Missing"))</f>
        <v>4</v>
      </c>
      <c r="C459" s="20">
        <f>IF($A459="","",IFERROR(_xlfn.XLOOKUP($A459,Table1[Item],Table1[Current Stock]),"Missing"))</f>
        <v>4</v>
      </c>
      <c r="D459" s="20">
        <f t="shared" si="21"/>
        <v>0</v>
      </c>
      <c r="E459" s="21">
        <f>IF($A459="","",IFERROR(_xlfn.XLOOKUP($A459,'System Generated 2026-08-24'!$A:$A,'System Generated 2026-08-24'!$E:$E),"Missing"))</f>
        <v>728</v>
      </c>
      <c r="F459" s="21">
        <f>IF($A459="","",IFERROR(_xlfn.XLOOKUP($A459,Table1[Item],Table1[Total (₹)]),"Missing"))</f>
        <v>728</v>
      </c>
      <c r="G459" s="21">
        <f t="shared" si="22"/>
        <v>0</v>
      </c>
      <c r="H459" t="str">
        <f t="shared" si="23"/>
        <v>Match</v>
      </c>
      <c r="K459" t="str">
        <f>'Kapila hotel 21-08-26'!A66</f>
        <v>Butter Scotch Syrup</v>
      </c>
    </row>
    <row r="460" spans="1:11" hidden="1" x14ac:dyDescent="0.25">
      <c r="A460" t="str">
        <v>Vegetables</v>
      </c>
      <c r="B460" s="20">
        <f>IF($A460="","",IFERROR(_xlfn.XLOOKUP($A460,'System Generated 2026-08-24'!$A:$A,'System Generated 2026-08-24'!$B:$B),"Missing"))</f>
        <v>0.4</v>
      </c>
      <c r="C460" s="20">
        <f>IF($A460="","",IFERROR(_xlfn.XLOOKUP($A460,Table1[Item],Table1[Current Stock]),"Missing"))</f>
        <v>0.4</v>
      </c>
      <c r="D460" s="20">
        <f t="shared" si="21"/>
        <v>0</v>
      </c>
      <c r="E460" s="21">
        <f>IF($A460="","",IFERROR(_xlfn.XLOOKUP($A460,'System Generated 2026-08-24'!$A:$A,'System Generated 2026-08-24'!$E:$E),"Missing"))</f>
        <v>1767.84</v>
      </c>
      <c r="F460" s="21">
        <f>IF($A460="","",IFERROR(_xlfn.XLOOKUP($A460,Table1[Item],Table1[Total (₹)]),"Missing"))</f>
        <v>1767.8440000000001</v>
      </c>
      <c r="G460" s="21">
        <f t="shared" si="22"/>
        <v>-4.0000000001327862E-3</v>
      </c>
      <c r="H460" t="str">
        <f t="shared" si="23"/>
        <v>Match</v>
      </c>
      <c r="K460" t="str">
        <f>'Kapila hotel 21-08-26'!A67</f>
        <v>Cabage</v>
      </c>
    </row>
    <row r="461" spans="1:11" hidden="1" x14ac:dyDescent="0.25">
      <c r="A461" t="str">
        <v>Viniger</v>
      </c>
      <c r="B461" s="20">
        <f>IF($A461="","",IFERROR(_xlfn.XLOOKUP($A461,'System Generated 2026-08-24'!$A:$A,'System Generated 2026-08-24'!$B:$B),"Missing"))</f>
        <v>3</v>
      </c>
      <c r="C461" s="20">
        <f>IF($A461="","",IFERROR(_xlfn.XLOOKUP($A461,Table1[Item],Table1[Current Stock]),"Missing"))</f>
        <v>3</v>
      </c>
      <c r="D461" s="20">
        <f t="shared" si="21"/>
        <v>0</v>
      </c>
      <c r="E461" s="21">
        <f>IF($A461="","",IFERROR(_xlfn.XLOOKUP($A461,'System Generated 2026-08-24'!$A:$A,'System Generated 2026-08-24'!$E:$E),"Missing"))</f>
        <v>102.51</v>
      </c>
      <c r="F461" s="21">
        <f>IF($A461="","",IFERROR(_xlfn.XLOOKUP($A461,Table1[Item],Table1[Total (₹)]),"Missing"))</f>
        <v>102.51</v>
      </c>
      <c r="G461" s="21">
        <f t="shared" si="22"/>
        <v>0</v>
      </c>
      <c r="H461" t="str">
        <f t="shared" si="23"/>
        <v>Match</v>
      </c>
      <c r="K461" t="str">
        <f>'Kapila hotel 21-08-26'!A68</f>
        <v>Caps</v>
      </c>
    </row>
    <row r="462" spans="1:11" x14ac:dyDescent="0.25">
      <c r="A462" t="str">
        <v>Walnut</v>
      </c>
      <c r="B462" s="20" t="str">
        <f>IF($A462="","",IFERROR(_xlfn.XLOOKUP($A462,'System Generated 2026-08-24'!$A:$A,'System Generated 2026-08-24'!$B:$B),"Missing"))</f>
        <v>Missing</v>
      </c>
      <c r="C462" s="20">
        <f>IF($A462="","",IFERROR(_xlfn.XLOOKUP($A462,Table1[Item],Table1[Current Stock]),"Missing"))</f>
        <v>0.1</v>
      </c>
      <c r="D462" s="20" t="str">
        <f t="shared" si="21"/>
        <v>N/A</v>
      </c>
      <c r="E462" s="21" t="str">
        <f>IF($A462="","",IFERROR(_xlfn.XLOOKUP($A462,'System Generated 2026-08-24'!$A:$A,'System Generated 2026-08-24'!$E:$E),"Missing"))</f>
        <v>Missing</v>
      </c>
      <c r="F462" s="21">
        <f>IF($A462="","",IFERROR(_xlfn.XLOOKUP($A462,Table1[Item],Table1[Total (₹)]),"Missing"))</f>
        <v>219.9</v>
      </c>
      <c r="G462" s="21" t="str">
        <f t="shared" si="22"/>
        <v>N/A</v>
      </c>
      <c r="H462" t="str">
        <f t="shared" si="23"/>
        <v>Missing in App</v>
      </c>
      <c r="K462" t="str">
        <f>'Kapila hotel 21-08-26'!A69</f>
        <v>Capsicum</v>
      </c>
    </row>
    <row r="463" spans="1:11" hidden="1" x14ac:dyDescent="0.25">
      <c r="A463" t="str">
        <v>Water Glass</v>
      </c>
      <c r="B463" s="20">
        <f>IF($A463="","",IFERROR(_xlfn.XLOOKUP($A463,'System Generated 2026-08-24'!$A:$A,'System Generated 2026-08-24'!$B:$B),"Missing"))</f>
        <v>20</v>
      </c>
      <c r="C463" s="20">
        <f>IF($A463="","",IFERROR(_xlfn.XLOOKUP($A463,Table1[Item],Table1[Current Stock]),"Missing"))</f>
        <v>20</v>
      </c>
      <c r="D463" s="20">
        <f t="shared" si="21"/>
        <v>0</v>
      </c>
      <c r="E463" s="21">
        <f>IF($A463="","",IFERROR(_xlfn.XLOOKUP($A463,'System Generated 2026-08-24'!$A:$A,'System Generated 2026-08-24'!$E:$E),"Missing"))</f>
        <v>777.78</v>
      </c>
      <c r="F463" s="21">
        <f>IF($A463="","",IFERROR(_xlfn.XLOOKUP($A463,Table1[Item],Table1[Total (₹)]),"Missing"))</f>
        <v>777.77800000000002</v>
      </c>
      <c r="G463" s="21">
        <f t="shared" si="22"/>
        <v>1.9999999999527063E-3</v>
      </c>
      <c r="H463" t="str">
        <f t="shared" si="23"/>
        <v>Match</v>
      </c>
      <c r="K463" t="str">
        <f>'Kapila hotel 21-08-26'!A70</f>
        <v>Caramil Syrup</v>
      </c>
    </row>
    <row r="464" spans="1:11" hidden="1" x14ac:dyDescent="0.25">
      <c r="A464" t="str">
        <v>Water Melon Syrup</v>
      </c>
      <c r="B464" s="20">
        <f>IF($A464="","",IFERROR(_xlfn.XLOOKUP($A464,'System Generated 2026-08-24'!$A:$A,'System Generated 2026-08-24'!$B:$B),"Missing"))</f>
        <v>0</v>
      </c>
      <c r="C464" s="20">
        <f>IF($A464="","",IFERROR(_xlfn.XLOOKUP($A464,Table1[Item],Table1[Current Stock]),"Missing"))</f>
        <v>0</v>
      </c>
      <c r="D464" s="20">
        <f t="shared" si="21"/>
        <v>0</v>
      </c>
      <c r="E464" s="21">
        <f>IF($A464="","",IFERROR(_xlfn.XLOOKUP($A464,'System Generated 2026-08-24'!$A:$A,'System Generated 2026-08-24'!$E:$E),"Missing"))</f>
        <v>0</v>
      </c>
      <c r="F464" s="21">
        <f>IF($A464="","",IFERROR(_xlfn.XLOOKUP($A464,Table1[Item],Table1[Total (₹)]),"Missing"))</f>
        <v>0</v>
      </c>
      <c r="G464" s="21">
        <f t="shared" si="22"/>
        <v>0</v>
      </c>
      <c r="H464" t="str">
        <f t="shared" si="23"/>
        <v>Match</v>
      </c>
      <c r="K464" t="str">
        <f>'Kapila hotel 21-08-26'!A71</f>
        <v>Carrot</v>
      </c>
    </row>
    <row r="465" spans="1:11" hidden="1" x14ac:dyDescent="0.25">
      <c r="A465" t="str">
        <v>Watermelon</v>
      </c>
      <c r="B465" s="20">
        <f>IF($A465="","",IFERROR(_xlfn.XLOOKUP($A465,'System Generated 2026-08-24'!$A:$A,'System Generated 2026-08-24'!$B:$B),"Missing"))</f>
        <v>0</v>
      </c>
      <c r="C465" s="20">
        <f>IF($A465="","",IFERROR(_xlfn.XLOOKUP($A465,Table1[Item],Table1[Current Stock]),"Missing"))</f>
        <v>0</v>
      </c>
      <c r="D465" s="20">
        <f t="shared" si="21"/>
        <v>0</v>
      </c>
      <c r="E465" s="21">
        <f>IF($A465="","",IFERROR(_xlfn.XLOOKUP($A465,'System Generated 2026-08-24'!$A:$A,'System Generated 2026-08-24'!$E:$E),"Missing"))</f>
        <v>0</v>
      </c>
      <c r="F465" s="21">
        <f>IF($A465="","",IFERROR(_xlfn.XLOOKUP($A465,Table1[Item],Table1[Total (₹)]),"Missing"))</f>
        <v>0</v>
      </c>
      <c r="G465" s="21">
        <f t="shared" si="22"/>
        <v>0</v>
      </c>
      <c r="H465" t="str">
        <f t="shared" si="23"/>
        <v>Match</v>
      </c>
      <c r="K465" t="str">
        <f>'Kapila hotel 21-08-26'!A72</f>
        <v>Carry Bags 20*24</v>
      </c>
    </row>
    <row r="466" spans="1:11" hidden="1" x14ac:dyDescent="0.25">
      <c r="A466" t="str">
        <v>White Batana</v>
      </c>
      <c r="B466" s="20">
        <f>IF($A466="","",IFERROR(_xlfn.XLOOKUP($A466,'System Generated 2026-08-24'!$A:$A,'System Generated 2026-08-24'!$B:$B),"Missing"))</f>
        <v>53.8</v>
      </c>
      <c r="C466" s="20">
        <f>IF($A466="","",IFERROR(_xlfn.XLOOKUP($A466,Table1[Item],Table1[Current Stock]),"Missing"))</f>
        <v>53.8</v>
      </c>
      <c r="D466" s="20">
        <f t="shared" si="21"/>
        <v>0</v>
      </c>
      <c r="E466" s="21">
        <f>IF($A466="","",IFERROR(_xlfn.XLOOKUP($A466,'System Generated 2026-08-24'!$A:$A,'System Generated 2026-08-24'!$E:$E),"Missing"))</f>
        <v>2774.54</v>
      </c>
      <c r="F466" s="21">
        <f>IF($A466="","",IFERROR(_xlfn.XLOOKUP($A466,Table1[Item],Table1[Total (₹)]),"Missing"))</f>
        <v>2774.5410000000002</v>
      </c>
      <c r="G466" s="21">
        <f t="shared" si="22"/>
        <v>-1.0000000002037268E-3</v>
      </c>
      <c r="H466" t="str">
        <f t="shared" si="23"/>
        <v>Match</v>
      </c>
      <c r="K466" t="str">
        <f>'Kapila hotel 21-08-26'!A73</f>
        <v>Cauliflower</v>
      </c>
    </row>
    <row r="467" spans="1:11" x14ac:dyDescent="0.25">
      <c r="A467" t="str">
        <v>White Buffe Plates</v>
      </c>
      <c r="B467" s="20" t="str">
        <f>IF($A467="","",IFERROR(_xlfn.XLOOKUP($A467,'System Generated 2026-08-24'!$A:$A,'System Generated 2026-08-24'!$B:$B),"Missing"))</f>
        <v>Missing</v>
      </c>
      <c r="C467" s="20">
        <f>IF($A467="","",IFERROR(_xlfn.XLOOKUP($A467,Table1[Item],Table1[Current Stock]),"Missing"))</f>
        <v>8</v>
      </c>
      <c r="D467" s="20" t="str">
        <f t="shared" si="21"/>
        <v>N/A</v>
      </c>
      <c r="E467" s="21" t="str">
        <f>IF($A467="","",IFERROR(_xlfn.XLOOKUP($A467,'System Generated 2026-08-24'!$A:$A,'System Generated 2026-08-24'!$E:$E),"Missing"))</f>
        <v>Missing</v>
      </c>
      <c r="F467" s="21">
        <f>IF($A467="","",IFERROR(_xlfn.XLOOKUP($A467,Table1[Item],Table1[Total (₹)]),"Missing"))</f>
        <v>720</v>
      </c>
      <c r="G467" s="21" t="str">
        <f t="shared" si="22"/>
        <v>N/A</v>
      </c>
      <c r="H467" t="str">
        <f t="shared" si="23"/>
        <v>Missing in App</v>
      </c>
      <c r="K467" t="str">
        <f>'Kapila hotel 21-08-26'!A74</f>
        <v>Chako Lava Powdar</v>
      </c>
    </row>
    <row r="468" spans="1:11" hidden="1" x14ac:dyDescent="0.25">
      <c r="A468" t="str">
        <v>White Pepper</v>
      </c>
      <c r="B468" s="20">
        <f>IF($A468="","",IFERROR(_xlfn.XLOOKUP($A468,'System Generated 2026-08-24'!$A:$A,'System Generated 2026-08-24'!$B:$B),"Missing"))</f>
        <v>4</v>
      </c>
      <c r="C468" s="20">
        <f>IF($A468="","",IFERROR(_xlfn.XLOOKUP($A468,Table1[Item],Table1[Current Stock]),"Missing"))</f>
        <v>4</v>
      </c>
      <c r="D468" s="20">
        <f t="shared" si="21"/>
        <v>0</v>
      </c>
      <c r="E468" s="21">
        <f>IF($A468="","",IFERROR(_xlfn.XLOOKUP($A468,'System Generated 2026-08-24'!$A:$A,'System Generated 2026-08-24'!$E:$E),"Missing"))</f>
        <v>563.64</v>
      </c>
      <c r="F468" s="21">
        <f>IF($A468="","",IFERROR(_xlfn.XLOOKUP($A468,Table1[Item],Table1[Total (₹)]),"Missing"))</f>
        <v>563.63599999999997</v>
      </c>
      <c r="G468" s="21">
        <f t="shared" si="22"/>
        <v>4.0000000000190994E-3</v>
      </c>
      <c r="H468" t="str">
        <f t="shared" si="23"/>
        <v>Match</v>
      </c>
      <c r="K468" t="str">
        <f>'Kapila hotel 21-08-26'!A75</f>
        <v>Channa Atta</v>
      </c>
    </row>
    <row r="469" spans="1:11" hidden="1" x14ac:dyDescent="0.25">
      <c r="A469" t="str">
        <v>White Tape</v>
      </c>
      <c r="B469" s="20">
        <f>IF($A469="","",IFERROR(_xlfn.XLOOKUP($A469,'System Generated 2026-08-24'!$A:$A,'System Generated 2026-08-24'!$B:$B),"Missing"))</f>
        <v>11</v>
      </c>
      <c r="C469" s="20">
        <f>IF($A469="","",IFERROR(_xlfn.XLOOKUP($A469,Table1[Item],Table1[Current Stock]),"Missing"))</f>
        <v>11</v>
      </c>
      <c r="D469" s="20">
        <f t="shared" si="21"/>
        <v>0</v>
      </c>
      <c r="E469" s="21">
        <f>IF($A469="","",IFERROR(_xlfn.XLOOKUP($A469,'System Generated 2026-08-24'!$A:$A,'System Generated 2026-08-24'!$E:$E),"Missing"))</f>
        <v>1272.8499999999999</v>
      </c>
      <c r="F469" s="21">
        <f>IF($A469="","",IFERROR(_xlfn.XLOOKUP($A469,Table1[Item],Table1[Total (₹)]),"Missing"))</f>
        <v>1272.854</v>
      </c>
      <c r="G469" s="21">
        <f t="shared" si="22"/>
        <v>-4.0000000001327862E-3</v>
      </c>
      <c r="H469" t="str">
        <f t="shared" si="23"/>
        <v>Match</v>
      </c>
      <c r="K469" t="str">
        <f>'Kapila hotel 21-08-26'!A76</f>
        <v>Channa Dal</v>
      </c>
    </row>
    <row r="470" spans="1:11" hidden="1" x14ac:dyDescent="0.25">
      <c r="A470" t="str">
        <v>Wiper</v>
      </c>
      <c r="B470" s="20">
        <f>IF($A470="","",IFERROR(_xlfn.XLOOKUP($A470,'System Generated 2026-08-24'!$A:$A,'System Generated 2026-08-24'!$B:$B),"Missing"))</f>
        <v>6</v>
      </c>
      <c r="C470" s="20">
        <f>IF($A470="","",IFERROR(_xlfn.XLOOKUP($A470,Table1[Item],Table1[Current Stock]),"Missing"))</f>
        <v>6</v>
      </c>
      <c r="D470" s="20">
        <f t="shared" si="21"/>
        <v>0</v>
      </c>
      <c r="E470" s="21">
        <f>IF($A470="","",IFERROR(_xlfn.XLOOKUP($A470,'System Generated 2026-08-24'!$A:$A,'System Generated 2026-08-24'!$E:$E),"Missing"))</f>
        <v>975</v>
      </c>
      <c r="F470" s="21">
        <f>IF($A470="","",IFERROR(_xlfn.XLOOKUP($A470,Table1[Item],Table1[Total (₹)]),"Missing"))</f>
        <v>975</v>
      </c>
      <c r="G470" s="21">
        <f t="shared" si="22"/>
        <v>0</v>
      </c>
      <c r="H470" t="str">
        <f t="shared" si="23"/>
        <v>Match</v>
      </c>
      <c r="K470" t="str">
        <f>'Kapila hotel 21-08-26'!A77</f>
        <v>Chat Masala</v>
      </c>
    </row>
    <row r="471" spans="1:11" hidden="1" x14ac:dyDescent="0.25">
      <c r="A471" t="str">
        <v>Wooden Fork</v>
      </c>
      <c r="B471" s="20">
        <f>IF($A471="","",IFERROR(_xlfn.XLOOKUP($A471,'System Generated 2026-08-24'!$A:$A,'System Generated 2026-08-24'!$B:$B),"Missing"))</f>
        <v>29</v>
      </c>
      <c r="C471" s="20">
        <f>IF($A471="","",IFERROR(_xlfn.XLOOKUP($A471,Table1[Item],Table1[Current Stock]),"Missing"))</f>
        <v>29</v>
      </c>
      <c r="D471" s="20">
        <f t="shared" si="21"/>
        <v>0</v>
      </c>
      <c r="E471" s="21">
        <f>IF($A471="","",IFERROR(_xlfn.XLOOKUP($A471,'System Generated 2026-08-24'!$A:$A,'System Generated 2026-08-24'!$E:$E),"Missing"))</f>
        <v>1864.29</v>
      </c>
      <c r="F471" s="21">
        <f>IF($A471="","",IFERROR(_xlfn.XLOOKUP($A471,Table1[Item],Table1[Total (₹)]),"Missing"))</f>
        <v>1864.2850000000001</v>
      </c>
      <c r="G471" s="21">
        <f t="shared" si="22"/>
        <v>4.9999999998817657E-3</v>
      </c>
      <c r="H471" t="str">
        <f t="shared" si="23"/>
        <v>Match</v>
      </c>
      <c r="K471" t="str">
        <f>'Kapila hotel 21-08-26'!A78</f>
        <v>Cheese 500g</v>
      </c>
    </row>
    <row r="472" spans="1:11" hidden="1" x14ac:dyDescent="0.25">
      <c r="A472" t="str">
        <v>Wooden Icecream Spoon</v>
      </c>
      <c r="B472" s="20">
        <f>IF($A472="","",IFERROR(_xlfn.XLOOKUP($A472,'System Generated 2026-08-24'!$A:$A,'System Generated 2026-08-24'!$B:$B),"Missing"))</f>
        <v>0</v>
      </c>
      <c r="C472" s="20">
        <f>IF($A472="","",IFERROR(_xlfn.XLOOKUP($A472,Table1[Item],Table1[Current Stock]),"Missing"))</f>
        <v>0</v>
      </c>
      <c r="D472" s="20">
        <f t="shared" si="21"/>
        <v>0</v>
      </c>
      <c r="E472" s="21">
        <f>IF($A472="","",IFERROR(_xlfn.XLOOKUP($A472,'System Generated 2026-08-24'!$A:$A,'System Generated 2026-08-24'!$E:$E),"Missing"))</f>
        <v>0</v>
      </c>
      <c r="F472" s="21">
        <f>IF($A472="","",IFERROR(_xlfn.XLOOKUP($A472,Table1[Item],Table1[Total (₹)]),"Missing"))</f>
        <v>0</v>
      </c>
      <c r="G472" s="21">
        <f t="shared" si="22"/>
        <v>0</v>
      </c>
      <c r="H472" t="str">
        <f t="shared" si="23"/>
        <v>Match</v>
      </c>
      <c r="K472" t="str">
        <f>'Kapila hotel 21-08-26'!A79</f>
        <v>Cheese Slice</v>
      </c>
    </row>
    <row r="473" spans="1:11" hidden="1" x14ac:dyDescent="0.25">
      <c r="A473" t="str">
        <v>Wooden Spoons Big</v>
      </c>
      <c r="B473" s="20">
        <f>IF($A473="","",IFERROR(_xlfn.XLOOKUP($A473,'System Generated 2026-08-24'!$A:$A,'System Generated 2026-08-24'!$B:$B),"Missing"))</f>
        <v>14</v>
      </c>
      <c r="C473" s="20">
        <f>IF($A473="","",IFERROR(_xlfn.XLOOKUP($A473,Table1[Item],Table1[Current Stock]),"Missing"))</f>
        <v>14</v>
      </c>
      <c r="D473" s="20">
        <f t="shared" si="21"/>
        <v>0</v>
      </c>
      <c r="E473" s="21">
        <f>IF($A473="","",IFERROR(_xlfn.XLOOKUP($A473,'System Generated 2026-08-24'!$A:$A,'System Generated 2026-08-24'!$E:$E),"Missing"))</f>
        <v>861.88</v>
      </c>
      <c r="F473" s="21">
        <f>IF($A473="","",IFERROR(_xlfn.XLOOKUP($A473,Table1[Item],Table1[Total (₹)]),"Missing"))</f>
        <v>861.875</v>
      </c>
      <c r="G473" s="21">
        <f t="shared" si="22"/>
        <v>4.9999999999954525E-3</v>
      </c>
      <c r="H473" t="str">
        <f t="shared" si="23"/>
        <v>Match</v>
      </c>
      <c r="K473" t="str">
        <f>'Kapila hotel 21-08-26'!A80</f>
        <v>Cherries</v>
      </c>
    </row>
    <row r="474" spans="1:11" hidden="1" x14ac:dyDescent="0.25">
      <c r="A474" t="str">
        <v>Wooden Spoons Small</v>
      </c>
      <c r="B474" s="20">
        <f>IF($A474="","",IFERROR(_xlfn.XLOOKUP($A474,'System Generated 2026-08-24'!$A:$A,'System Generated 2026-08-24'!$B:$B),"Missing"))</f>
        <v>36</v>
      </c>
      <c r="C474" s="20">
        <f>IF($A474="","",IFERROR(_xlfn.XLOOKUP($A474,Table1[Item],Table1[Current Stock]),"Missing"))</f>
        <v>36</v>
      </c>
      <c r="D474" s="20">
        <f t="shared" si="21"/>
        <v>0</v>
      </c>
      <c r="E474" s="21">
        <f>IF($A474="","",IFERROR(_xlfn.XLOOKUP($A474,'System Generated 2026-08-24'!$A:$A,'System Generated 2026-08-24'!$E:$E),"Missing"))</f>
        <v>1440</v>
      </c>
      <c r="F474" s="21">
        <f>IF($A474="","",IFERROR(_xlfn.XLOOKUP($A474,Table1[Item],Table1[Total (₹)]),"Missing"))</f>
        <v>1440</v>
      </c>
      <c r="G474" s="21">
        <f t="shared" si="22"/>
        <v>0</v>
      </c>
      <c r="H474" t="str">
        <f t="shared" si="23"/>
        <v>Match</v>
      </c>
      <c r="K474" t="str">
        <f>'Kapila hotel 21-08-26'!A81</f>
        <v>Chicken Big</v>
      </c>
    </row>
    <row r="475" spans="1:11" hidden="1" x14ac:dyDescent="0.25">
      <c r="B475" s="20" t="str">
        <f>IF($A475="","",IFERROR(_xlfn.XLOOKUP($A475,'System Generated 2026-08-24'!$A:$A,'System Generated 2026-08-24'!$B:$B),"Missing"))</f>
        <v/>
      </c>
      <c r="C475" s="20" t="str">
        <f>IF($A475="","",IFERROR(_xlfn.XLOOKUP($A475,Table1[Item],Table1[Current Stock]),"Missing"))</f>
        <v/>
      </c>
      <c r="D475" s="20" t="str">
        <f t="shared" si="21"/>
        <v/>
      </c>
      <c r="E475" s="21" t="str">
        <f>IF($A475="","",IFERROR(_xlfn.XLOOKUP($A475,'System Generated 2026-08-24'!$A:$A,'System Generated 2026-08-24'!$E:$E),"Missing"))</f>
        <v/>
      </c>
      <c r="F475" s="21" t="str">
        <f>IF($A475="","",IFERROR(_xlfn.XLOOKUP($A475,Table1[Item],Table1[Total (₹)]),"Missing"))</f>
        <v/>
      </c>
      <c r="G475" s="21" t="str">
        <f t="shared" si="22"/>
        <v/>
      </c>
      <c r="H475" t="str">
        <f t="shared" si="23"/>
        <v/>
      </c>
      <c r="K475" t="str">
        <f>'Kapila hotel 21-08-26'!A82</f>
        <v>Chicken Biryani</v>
      </c>
    </row>
    <row r="476" spans="1:11" hidden="1" x14ac:dyDescent="0.25">
      <c r="B476" s="20" t="str">
        <f>IF($A476="","",IFERROR(_xlfn.XLOOKUP($A476,'System Generated 2026-08-24'!$A:$A,'System Generated 2026-08-24'!$B:$B),"Missing"))</f>
        <v/>
      </c>
      <c r="C476" s="20" t="str">
        <f>IF($A476="","",IFERROR(_xlfn.XLOOKUP($A476,Table1[Item],Table1[Current Stock]),"Missing"))</f>
        <v/>
      </c>
      <c r="D476" s="20" t="str">
        <f t="shared" si="21"/>
        <v/>
      </c>
      <c r="E476" s="21" t="str">
        <f>IF($A476="","",IFERROR(_xlfn.XLOOKUP($A476,'System Generated 2026-08-24'!$A:$A,'System Generated 2026-08-24'!$E:$E),"Missing"))</f>
        <v/>
      </c>
      <c r="F476" s="21" t="str">
        <f>IF($A476="","",IFERROR(_xlfn.XLOOKUP($A476,Table1[Item],Table1[Total (₹)]),"Missing"))</f>
        <v/>
      </c>
      <c r="G476" s="21" t="str">
        <f t="shared" si="22"/>
        <v/>
      </c>
      <c r="H476" t="str">
        <f t="shared" si="23"/>
        <v/>
      </c>
      <c r="K476" t="str">
        <f>'Kapila hotel 21-08-26'!A83</f>
        <v>Chicken Small</v>
      </c>
    </row>
    <row r="477" spans="1:11" hidden="1" x14ac:dyDescent="0.25">
      <c r="B477" s="20" t="str">
        <f>IF($A477="","",IFERROR(_xlfn.XLOOKUP($A477,'System Generated 2026-08-24'!$A:$A,'System Generated 2026-08-24'!$B:$B),"Missing"))</f>
        <v/>
      </c>
      <c r="C477" s="20" t="str">
        <f>IF($A477="","",IFERROR(_xlfn.XLOOKUP($A477,Table1[Item],Table1[Current Stock]),"Missing"))</f>
        <v/>
      </c>
      <c r="D477" s="20" t="str">
        <f t="shared" si="21"/>
        <v/>
      </c>
      <c r="E477" s="21" t="str">
        <f>IF($A477="","",IFERROR(_xlfn.XLOOKUP($A477,'System Generated 2026-08-24'!$A:$A,'System Generated 2026-08-24'!$E:$E),"Missing"))</f>
        <v/>
      </c>
      <c r="F477" s="21" t="str">
        <f>IF($A477="","",IFERROR(_xlfn.XLOOKUP($A477,Table1[Item],Table1[Total (₹)]),"Missing"))</f>
        <v/>
      </c>
      <c r="G477" s="21" t="str">
        <f t="shared" si="22"/>
        <v/>
      </c>
      <c r="H477" t="str">
        <f t="shared" si="23"/>
        <v/>
      </c>
      <c r="K477" t="str">
        <f>'Kapila hotel 21-08-26'!A84</f>
        <v>Chicken Staff</v>
      </c>
    </row>
    <row r="478" spans="1:11" hidden="1" x14ac:dyDescent="0.25">
      <c r="B478" s="20" t="str">
        <f>IF($A478="","",IFERROR(_xlfn.XLOOKUP($A478,'System Generated 2026-08-24'!$A:$A,'System Generated 2026-08-24'!$B:$B),"Missing"))</f>
        <v/>
      </c>
      <c r="C478" s="20" t="str">
        <f>IF($A478="","",IFERROR(_xlfn.XLOOKUP($A478,Table1[Item],Table1[Current Stock]),"Missing"))</f>
        <v/>
      </c>
      <c r="D478" s="20" t="str">
        <f t="shared" si="21"/>
        <v/>
      </c>
      <c r="E478" s="21" t="str">
        <f>IF($A478="","",IFERROR(_xlfn.XLOOKUP($A478,'System Generated 2026-08-24'!$A:$A,'System Generated 2026-08-24'!$E:$E),"Missing"))</f>
        <v/>
      </c>
      <c r="F478" s="21" t="str">
        <f>IF($A478="","",IFERROR(_xlfn.XLOOKUP($A478,Table1[Item],Table1[Total (₹)]),"Missing"))</f>
        <v/>
      </c>
      <c r="G478" s="21" t="str">
        <f t="shared" si="22"/>
        <v/>
      </c>
      <c r="H478" t="str">
        <f t="shared" si="23"/>
        <v/>
      </c>
      <c r="K478" t="str">
        <f>'Kapila hotel 21-08-26'!A85</f>
        <v>Chilly Flakes Kg</v>
      </c>
    </row>
    <row r="479" spans="1:11" hidden="1" x14ac:dyDescent="0.25">
      <c r="B479" s="20" t="str">
        <f>IF($A479="","",IFERROR(_xlfn.XLOOKUP($A479,'System Generated 2026-08-24'!$A:$A,'System Generated 2026-08-24'!$B:$B),"Missing"))</f>
        <v/>
      </c>
      <c r="C479" s="20" t="str">
        <f>IF($A479="","",IFERROR(_xlfn.XLOOKUP($A479,Table1[Item],Table1[Current Stock]),"Missing"))</f>
        <v/>
      </c>
      <c r="D479" s="20" t="str">
        <f t="shared" si="21"/>
        <v/>
      </c>
      <c r="E479" s="21" t="str">
        <f>IF($A479="","",IFERROR(_xlfn.XLOOKUP($A479,'System Generated 2026-08-24'!$A:$A,'System Generated 2026-08-24'!$E:$E),"Missing"))</f>
        <v/>
      </c>
      <c r="F479" s="21" t="str">
        <f>IF($A479="","",IFERROR(_xlfn.XLOOKUP($A479,Table1[Item],Table1[Total (₹)]),"Missing"))</f>
        <v/>
      </c>
      <c r="G479" s="21" t="str">
        <f t="shared" si="22"/>
        <v/>
      </c>
      <c r="H479" t="str">
        <f t="shared" si="23"/>
        <v/>
      </c>
      <c r="K479" t="str">
        <f>'Kapila hotel 21-08-26'!A86</f>
        <v>Chilly Flakes Sachets</v>
      </c>
    </row>
    <row r="480" spans="1:11" hidden="1" x14ac:dyDescent="0.25">
      <c r="B480" s="20" t="str">
        <f>IF($A480="","",IFERROR(_xlfn.XLOOKUP($A480,'System Generated 2026-08-24'!$A:$A,'System Generated 2026-08-24'!$B:$B),"Missing"))</f>
        <v/>
      </c>
      <c r="C480" s="20" t="str">
        <f>IF($A480="","",IFERROR(_xlfn.XLOOKUP($A480,Table1[Item],Table1[Current Stock]),"Missing"))</f>
        <v/>
      </c>
      <c r="D480" s="20" t="str">
        <f t="shared" si="21"/>
        <v/>
      </c>
      <c r="E480" s="21" t="str">
        <f>IF($A480="","",IFERROR(_xlfn.XLOOKUP($A480,'System Generated 2026-08-24'!$A:$A,'System Generated 2026-08-24'!$E:$E),"Missing"))</f>
        <v/>
      </c>
      <c r="F480" s="21" t="str">
        <f>IF($A480="","",IFERROR(_xlfn.XLOOKUP($A480,Table1[Item],Table1[Total (₹)]),"Missing"))</f>
        <v/>
      </c>
      <c r="G480" s="21" t="str">
        <f t="shared" si="22"/>
        <v/>
      </c>
      <c r="H480" t="str">
        <f t="shared" si="23"/>
        <v/>
      </c>
      <c r="K480" t="str">
        <f>'Kapila hotel 21-08-26'!A87</f>
        <v>Chilly Powder</v>
      </c>
    </row>
    <row r="481" spans="11:11" x14ac:dyDescent="0.25">
      <c r="K481" t="str">
        <f>'Kapila hotel 21-08-26'!A88</f>
        <v>Chinese Container 1000ml</v>
      </c>
    </row>
    <row r="482" spans="11:11" x14ac:dyDescent="0.25">
      <c r="K482" t="str">
        <f>'Kapila hotel 21-08-26'!A89</f>
        <v>Chinese Container 500ml</v>
      </c>
    </row>
    <row r="483" spans="11:11" x14ac:dyDescent="0.25">
      <c r="K483" t="str">
        <f>'Kapila hotel 21-08-26'!A90</f>
        <v>Chinese Container 750ml</v>
      </c>
    </row>
    <row r="484" spans="11:11" x14ac:dyDescent="0.25">
      <c r="K484" t="str">
        <f>'Kapila hotel 21-08-26'!A91</f>
        <v>Chocolate Ice Cream</v>
      </c>
    </row>
    <row r="485" spans="11:11" x14ac:dyDescent="0.25">
      <c r="K485" t="str">
        <f>'Kapila hotel 21-08-26'!A92</f>
        <v>Chocolate Sauce</v>
      </c>
    </row>
    <row r="486" spans="11:11" x14ac:dyDescent="0.25">
      <c r="K486" t="str">
        <f>'Kapila hotel 21-08-26'!A93</f>
        <v>Chole Masala</v>
      </c>
    </row>
    <row r="487" spans="11:11" x14ac:dyDescent="0.25">
      <c r="K487" t="str">
        <f>'Kapila hotel 21-08-26'!A94</f>
        <v>Cleaning Brush</v>
      </c>
    </row>
    <row r="488" spans="11:11" x14ac:dyDescent="0.25">
      <c r="K488" t="str">
        <f>'Kapila hotel 21-08-26'!A95</f>
        <v>Cleaning Coth</v>
      </c>
    </row>
    <row r="489" spans="11:11" x14ac:dyDescent="0.25">
      <c r="K489" t="str">
        <f>'Kapila hotel 21-08-26'!A96</f>
        <v>Coal</v>
      </c>
    </row>
    <row r="490" spans="11:11" x14ac:dyDescent="0.25">
      <c r="K490" t="str">
        <f>'Kapila hotel 21-08-26'!A97</f>
        <v>Coco Powder</v>
      </c>
    </row>
    <row r="491" spans="11:11" x14ac:dyDescent="0.25">
      <c r="K491" t="str">
        <f>'Kapila hotel 21-08-26'!A98</f>
        <v>Cocoa</v>
      </c>
    </row>
    <row r="492" spans="11:11" x14ac:dyDescent="0.25">
      <c r="K492" t="str">
        <f>'Kapila hotel 21-08-26'!A99</f>
        <v>Coconet Oil</v>
      </c>
    </row>
    <row r="493" spans="11:11" x14ac:dyDescent="0.25">
      <c r="K493" t="str">
        <f>'Kapila hotel 21-08-26'!A100</f>
        <v>Coconut</v>
      </c>
    </row>
    <row r="494" spans="11:11" x14ac:dyDescent="0.25">
      <c r="K494" t="str">
        <f>'Kapila hotel 21-08-26'!A101</f>
        <v>Coconut Brooms</v>
      </c>
    </row>
    <row r="495" spans="11:11" x14ac:dyDescent="0.25">
      <c r="K495" t="str">
        <f>'Kapila hotel 21-08-26'!A102</f>
        <v>Coconut Powder</v>
      </c>
    </row>
    <row r="496" spans="11:11" x14ac:dyDescent="0.25">
      <c r="K496" t="str">
        <f>'Kapila hotel 21-08-26'!A103</f>
        <v>Coffee Nescafe</v>
      </c>
    </row>
    <row r="497" spans="11:11" x14ac:dyDescent="0.25">
      <c r="K497" t="str">
        <f>'Kapila hotel 21-08-26'!A104</f>
        <v>Coffee Powder</v>
      </c>
    </row>
    <row r="498" spans="11:11" x14ac:dyDescent="0.25">
      <c r="K498" t="str">
        <f>'Kapila hotel 21-08-26'!A105</f>
        <v>Coke</v>
      </c>
    </row>
    <row r="499" spans="11:11" x14ac:dyDescent="0.25">
      <c r="K499" t="str">
        <f>'Kapila hotel 21-08-26'!A106</f>
        <v>Combs</v>
      </c>
    </row>
    <row r="500" spans="11:11" x14ac:dyDescent="0.25">
      <c r="K500" t="str">
        <f>'Kapila hotel 21-08-26'!A107</f>
        <v>Compostable Grocery Bags 13*16</v>
      </c>
    </row>
    <row r="501" spans="11:11" x14ac:dyDescent="0.25">
      <c r="K501" t="str">
        <f>'Kapila hotel 21-08-26'!A108</f>
        <v>Compostable Grocery Bags 16*20</v>
      </c>
    </row>
    <row r="502" spans="11:11" x14ac:dyDescent="0.25">
      <c r="K502" t="str">
        <f>'Kapila hotel 21-08-26'!A109</f>
        <v>Cookies Rec.box 750ml</v>
      </c>
    </row>
    <row r="503" spans="11:11" x14ac:dyDescent="0.25">
      <c r="K503" t="str">
        <f>'Kapila hotel 21-08-26'!A110</f>
        <v>Corn Flakes</v>
      </c>
    </row>
    <row r="504" spans="11:11" x14ac:dyDescent="0.25">
      <c r="K504" t="str">
        <f>'Kapila hotel 21-08-26'!A111</f>
        <v>Corn Flour</v>
      </c>
    </row>
    <row r="505" spans="11:11" x14ac:dyDescent="0.25">
      <c r="K505" t="str">
        <f>'Kapila hotel 21-08-26'!A112</f>
        <v>Cream</v>
      </c>
    </row>
    <row r="506" spans="11:11" x14ac:dyDescent="0.25">
      <c r="K506" t="str">
        <f>'Kapila hotel 21-08-26'!A113</f>
        <v>Curd</v>
      </c>
    </row>
    <row r="507" spans="11:11" x14ac:dyDescent="0.25">
      <c r="K507" t="str">
        <f>'Kapila hotel 21-08-26'!A114</f>
        <v>Curd Cups</v>
      </c>
    </row>
    <row r="508" spans="11:11" x14ac:dyDescent="0.25">
      <c r="K508" t="str">
        <f>'Kapila hotel 21-08-26'!A115</f>
        <v>Custic Soda</v>
      </c>
    </row>
    <row r="509" spans="11:11" x14ac:dyDescent="0.25">
      <c r="K509" t="str">
        <f>'Kapila hotel 21-08-26'!A116</f>
        <v>Custod Powder</v>
      </c>
    </row>
    <row r="510" spans="11:11" x14ac:dyDescent="0.25">
      <c r="K510" t="str">
        <f>'Kapila hotel 21-08-26'!A117</f>
        <v>Dalchina</v>
      </c>
    </row>
    <row r="511" spans="11:11" x14ac:dyDescent="0.25">
      <c r="K511" t="str">
        <f>'Kapila hotel 21-08-26'!A118</f>
        <v>Dalda</v>
      </c>
    </row>
    <row r="512" spans="11:11" x14ac:dyDescent="0.25">
      <c r="K512" t="str">
        <f>'Kapila hotel 21-08-26'!A119</f>
        <v>Dark Choco Chips</v>
      </c>
    </row>
    <row r="513" spans="11:11" x14ac:dyDescent="0.25">
      <c r="K513" t="str">
        <f>'Kapila hotel 21-08-26'!A120</f>
        <v>Dark Chocolate</v>
      </c>
    </row>
    <row r="514" spans="11:11" x14ac:dyDescent="0.25">
      <c r="K514" t="str">
        <f>'Kapila hotel 21-08-26'!A121</f>
        <v>Delight Ice Cream</v>
      </c>
    </row>
    <row r="515" spans="11:11" x14ac:dyDescent="0.25">
      <c r="K515" t="str">
        <f>'Kapila hotel 21-08-26'!A122</f>
        <v>Dental Kit</v>
      </c>
    </row>
    <row r="516" spans="11:11" x14ac:dyDescent="0.25">
      <c r="K516" t="str">
        <f>'Kapila hotel 21-08-26'!A123</f>
        <v>Dettol 1lit</v>
      </c>
    </row>
    <row r="517" spans="11:11" x14ac:dyDescent="0.25">
      <c r="K517" t="str">
        <f>'Kapila hotel 21-08-26'!A124</f>
        <v>Dhaniya</v>
      </c>
    </row>
    <row r="518" spans="11:11" x14ac:dyDescent="0.25">
      <c r="K518" t="str">
        <f>'Kapila hotel 21-08-26'!A125</f>
        <v>Dhaniya Papu</v>
      </c>
    </row>
    <row r="519" spans="11:11" x14ac:dyDescent="0.25">
      <c r="K519" t="str">
        <f>'Kapila hotel 21-08-26'!A126</f>
        <v>Dhaniya Powder</v>
      </c>
    </row>
    <row r="520" spans="11:11" x14ac:dyDescent="0.25">
      <c r="K520" t="str">
        <f>'Kapila hotel 21-08-26'!A127</f>
        <v>Dondakaya</v>
      </c>
    </row>
    <row r="521" spans="11:11" x14ac:dyDescent="0.25">
      <c r="K521" t="str">
        <f>'Kapila hotel 21-08-26'!A128</f>
        <v>Dorck Choclet</v>
      </c>
    </row>
    <row r="522" spans="11:11" x14ac:dyDescent="0.25">
      <c r="K522" t="str">
        <f>'Kapila hotel 21-08-26'!A129</f>
        <v>Dosa Box</v>
      </c>
    </row>
    <row r="523" spans="11:11" x14ac:dyDescent="0.25">
      <c r="K523" t="str">
        <f>'Kapila hotel 21-08-26'!A130</f>
        <v>Dosa Broom</v>
      </c>
    </row>
    <row r="524" spans="11:11" x14ac:dyDescent="0.25">
      <c r="K524" t="str">
        <f>'Kapila hotel 21-08-26'!A131</f>
        <v>Dosa Flour</v>
      </c>
    </row>
    <row r="525" spans="11:11" x14ac:dyDescent="0.25">
      <c r="K525" t="str">
        <f>'Kapila hotel 21-08-26'!A132</f>
        <v>Dosa Rice</v>
      </c>
    </row>
    <row r="526" spans="11:11" x14ac:dyDescent="0.25">
      <c r="K526" t="str">
        <f>'Kapila hotel 21-08-26'!A133</f>
        <v>Dr Ravva</v>
      </c>
    </row>
    <row r="527" spans="11:11" x14ac:dyDescent="0.25">
      <c r="K527" t="str">
        <f>'Kapila hotel 21-08-26'!A134</f>
        <v>Dry Coca</v>
      </c>
    </row>
    <row r="528" spans="11:11" x14ac:dyDescent="0.25">
      <c r="K528" t="str">
        <f>'Kapila hotel 21-08-26'!A135</f>
        <v>Dry Coconut</v>
      </c>
    </row>
    <row r="529" spans="11:11" x14ac:dyDescent="0.25">
      <c r="K529" t="str">
        <f>'Kapila hotel 21-08-26'!A136</f>
        <v>Dry Yeast</v>
      </c>
    </row>
    <row r="530" spans="11:11" x14ac:dyDescent="0.25">
      <c r="K530" t="str">
        <f>'Kapila hotel 21-08-26'!A137</f>
        <v>Dust Bin Covers</v>
      </c>
    </row>
    <row r="531" spans="11:11" x14ac:dyDescent="0.25">
      <c r="K531" t="str">
        <f>'Kapila hotel 21-08-26'!A138</f>
        <v>Dust Pan</v>
      </c>
    </row>
    <row r="532" spans="11:11" x14ac:dyDescent="0.25">
      <c r="K532" t="str">
        <f>'Kapila hotel 21-08-26'!A139</f>
        <v>Eating Soda</v>
      </c>
    </row>
    <row r="533" spans="11:11" x14ac:dyDescent="0.25">
      <c r="K533" t="str">
        <f>'Kapila hotel 21-08-26'!A140</f>
        <v>Eggs</v>
      </c>
    </row>
    <row r="534" spans="11:11" x14ac:dyDescent="0.25">
      <c r="K534" t="str">
        <f>'Kapila hotel 21-08-26'!A141</f>
        <v>Elaichi</v>
      </c>
    </row>
    <row r="535" spans="11:11" x14ac:dyDescent="0.25">
      <c r="K535" t="str">
        <f>'Kapila hotel 21-08-26'!A142</f>
        <v>Faluda Glass</v>
      </c>
    </row>
    <row r="536" spans="11:11" x14ac:dyDescent="0.25">
      <c r="K536" t="str">
        <f>'Kapila hotel 21-08-26'!A143</f>
        <v>Fish</v>
      </c>
    </row>
    <row r="537" spans="11:11" x14ac:dyDescent="0.25">
      <c r="K537" t="str">
        <f>'Kapila hotel 21-08-26'!A144</f>
        <v>Floor Cleaner</v>
      </c>
    </row>
    <row r="538" spans="11:11" x14ac:dyDescent="0.25">
      <c r="K538" t="str">
        <f>'Kapila hotel 21-08-26'!A145</f>
        <v>Free Sugar</v>
      </c>
    </row>
    <row r="539" spans="11:11" x14ac:dyDescent="0.25">
      <c r="K539" t="str">
        <f>'Kapila hotel 21-08-26'!A146</f>
        <v>French Fries</v>
      </c>
    </row>
    <row r="540" spans="11:11" x14ac:dyDescent="0.25">
      <c r="K540" t="str">
        <f>'Kapila hotel 21-08-26'!A147</f>
        <v>Frozen Green Peas</v>
      </c>
    </row>
    <row r="541" spans="11:11" x14ac:dyDescent="0.25">
      <c r="K541" t="str">
        <f>'Kapila hotel 21-08-26'!A148</f>
        <v>Fruit Cocktail</v>
      </c>
    </row>
    <row r="542" spans="11:11" x14ac:dyDescent="0.25">
      <c r="K542" t="str">
        <f>'Kapila hotel 21-08-26'!A149</f>
        <v>Fruti Truti</v>
      </c>
    </row>
    <row r="543" spans="11:11" x14ac:dyDescent="0.25">
      <c r="K543" t="str">
        <f>'Kapila hotel 21-08-26'!A150</f>
        <v>Fuel Tins</v>
      </c>
    </row>
    <row r="544" spans="11:11" x14ac:dyDescent="0.25">
      <c r="K544" t="str">
        <f>'Kapila hotel 21-08-26'!A151</f>
        <v>Garam Masala</v>
      </c>
    </row>
    <row r="545" spans="11:11" x14ac:dyDescent="0.25">
      <c r="K545" t="str">
        <f>'Kapila hotel 21-08-26'!A152</f>
        <v>Garbage Bags</v>
      </c>
    </row>
    <row r="546" spans="11:11" x14ac:dyDescent="0.25">
      <c r="K546" t="str">
        <f>'Kapila hotel 21-08-26'!A153</f>
        <v>Garlic</v>
      </c>
    </row>
    <row r="547" spans="11:11" x14ac:dyDescent="0.25">
      <c r="K547" t="str">
        <f>'Kapila hotel 21-08-26'!A154</f>
        <v>Garlic Bread</v>
      </c>
    </row>
    <row r="548" spans="11:11" x14ac:dyDescent="0.25">
      <c r="K548" t="str">
        <f>'Kapila hotel 21-08-26'!A155</f>
        <v>Gd Biscuit</v>
      </c>
    </row>
    <row r="549" spans="11:11" x14ac:dyDescent="0.25">
      <c r="K549" t="str">
        <f>'Kapila hotel 21-08-26'!A156</f>
        <v>Ghee</v>
      </c>
    </row>
    <row r="550" spans="11:11" x14ac:dyDescent="0.25">
      <c r="K550" t="str">
        <f>'Kapila hotel 21-08-26'!A157</f>
        <v>Ginger</v>
      </c>
    </row>
    <row r="551" spans="11:11" x14ac:dyDescent="0.25">
      <c r="K551" t="str">
        <f>'Kapila hotel 21-08-26'!A158</f>
        <v>Ginger Powder</v>
      </c>
    </row>
    <row r="552" spans="11:11" x14ac:dyDescent="0.25">
      <c r="K552" t="str">
        <f>'Kapila hotel 21-08-26'!A159</f>
        <v>Ginger Syrup</v>
      </c>
    </row>
    <row r="553" spans="11:11" x14ac:dyDescent="0.25">
      <c r="K553" t="str">
        <f>'Kapila hotel 21-08-26'!A160</f>
        <v>Gold Milk</v>
      </c>
    </row>
    <row r="554" spans="11:11" x14ac:dyDescent="0.25">
      <c r="K554" t="str">
        <f>'Kapila hotel 21-08-26'!A161</f>
        <v>Gongura</v>
      </c>
    </row>
    <row r="555" spans="11:11" x14ac:dyDescent="0.25">
      <c r="K555" t="str">
        <f>'Kapila hotel 21-08-26'!A162</f>
        <v>Good Night Machine</v>
      </c>
    </row>
    <row r="556" spans="11:11" x14ac:dyDescent="0.25">
      <c r="K556" t="str">
        <f>'Kapila hotel 21-08-26'!A163</f>
        <v>Good Night Refill</v>
      </c>
    </row>
    <row r="557" spans="11:11" x14ac:dyDescent="0.25">
      <c r="K557" t="str">
        <f>'Kapila hotel 21-08-26'!A164</f>
        <v>Goru Chikkudukaya</v>
      </c>
    </row>
    <row r="558" spans="11:11" x14ac:dyDescent="0.25">
      <c r="K558" t="str">
        <f>'Kapila hotel 21-08-26'!A165</f>
        <v>Green Batana Raw</v>
      </c>
    </row>
    <row r="559" spans="11:11" x14ac:dyDescent="0.25">
      <c r="K559" t="str">
        <f>'Kapila hotel 21-08-26'!A166</f>
        <v>Green Chilly</v>
      </c>
    </row>
    <row r="560" spans="11:11" x14ac:dyDescent="0.25">
      <c r="K560" t="str">
        <f>'Kapila hotel 21-08-26'!A167</f>
        <v>Green Chilly Sauce</v>
      </c>
    </row>
    <row r="561" spans="11:11" x14ac:dyDescent="0.25">
      <c r="K561" t="str">
        <f>'Kapila hotel 21-08-26'!A168</f>
        <v>Green Mojito Mint</v>
      </c>
    </row>
    <row r="562" spans="11:11" x14ac:dyDescent="0.25">
      <c r="K562" t="str">
        <f>'Kapila hotel 21-08-26'!A169</f>
        <v>Gulkanda</v>
      </c>
    </row>
    <row r="563" spans="11:11" x14ac:dyDescent="0.25">
      <c r="K563" t="str">
        <f>'Kapila hotel 21-08-26'!A170</f>
        <v>Gummadikaya</v>
      </c>
    </row>
    <row r="564" spans="11:11" x14ac:dyDescent="0.25">
      <c r="K564" t="str">
        <f>'Kapila hotel 21-08-26'!A171</f>
        <v>Hand Gloves</v>
      </c>
    </row>
    <row r="565" spans="11:11" x14ac:dyDescent="0.25">
      <c r="K565" t="str">
        <f>'Kapila hotel 21-08-26'!A172</f>
        <v>Hand Wash</v>
      </c>
    </row>
    <row r="566" spans="11:11" x14ac:dyDescent="0.25">
      <c r="K566" t="str">
        <f>'Kapila hotel 21-08-26'!A173</f>
        <v>Happy Biscuit</v>
      </c>
    </row>
    <row r="567" spans="11:11" x14ac:dyDescent="0.25">
      <c r="K567" t="str">
        <f>'Kapila hotel 21-08-26'!A174</f>
        <v>Harpic</v>
      </c>
    </row>
    <row r="568" spans="11:11" x14ac:dyDescent="0.25">
      <c r="K568" t="str">
        <f>'Kapila hotel 21-08-26'!A175</f>
        <v>Hezelnuts</v>
      </c>
    </row>
    <row r="569" spans="11:11" x14ac:dyDescent="0.25">
      <c r="K569" t="str">
        <f>'Kapila hotel 21-08-26'!A176</f>
        <v>Hing</v>
      </c>
    </row>
    <row r="570" spans="11:11" x14ac:dyDescent="0.25">
      <c r="K570" t="str">
        <f>'Kapila hotel 21-08-26'!A177</f>
        <v>Hmt Rice</v>
      </c>
    </row>
    <row r="571" spans="11:11" x14ac:dyDescent="0.25">
      <c r="K571" t="str">
        <f>'Kapila hotel 21-08-26'!A178</f>
        <v>Homa</v>
      </c>
    </row>
    <row r="572" spans="11:11" x14ac:dyDescent="0.25">
      <c r="K572" t="str">
        <f>'Kapila hotel 21-08-26'!A179</f>
        <v>Honey</v>
      </c>
    </row>
    <row r="573" spans="11:11" x14ac:dyDescent="0.25">
      <c r="K573" t="str">
        <f>'Kapila hotel 21-08-26'!A180</f>
        <v>Horlicks</v>
      </c>
    </row>
    <row r="574" spans="11:11" x14ac:dyDescent="0.25">
      <c r="K574" t="str">
        <f>'Kapila hotel 21-08-26'!A181</f>
        <v>Ice Cream Cone</v>
      </c>
    </row>
    <row r="575" spans="11:11" x14ac:dyDescent="0.25">
      <c r="K575" t="str">
        <f>'Kapila hotel 21-08-26'!A182</f>
        <v>Ice Cream Cups</v>
      </c>
    </row>
    <row r="576" spans="11:11" x14ac:dyDescent="0.25">
      <c r="K576" t="str">
        <f>'Kapila hotel 21-08-26'!A183</f>
        <v>Idly Box</v>
      </c>
    </row>
    <row r="577" spans="11:11" x14ac:dyDescent="0.25">
      <c r="K577" t="str">
        <f>'Kapila hotel 21-08-26'!A184</f>
        <v>Idly Ravva</v>
      </c>
    </row>
    <row r="578" spans="11:11" x14ac:dyDescent="0.25">
      <c r="K578" t="str">
        <f>'Kapila hotel 21-08-26'!A185</f>
        <v>Idly Rice</v>
      </c>
    </row>
    <row r="579" spans="11:11" x14ac:dyDescent="0.25">
      <c r="K579" t="str">
        <f>'Kapila hotel 21-08-26'!A186</f>
        <v>Indian Gas</v>
      </c>
    </row>
    <row r="580" spans="11:11" x14ac:dyDescent="0.25">
      <c r="K580" t="str">
        <f>'Kapila hotel 21-08-26'!A187</f>
        <v>Jaggery</v>
      </c>
    </row>
    <row r="581" spans="11:11" x14ac:dyDescent="0.25">
      <c r="K581" t="str">
        <f>'Kapila hotel 21-08-26'!A188</f>
        <v>Jaggery Powder</v>
      </c>
    </row>
    <row r="582" spans="11:11" x14ac:dyDescent="0.25">
      <c r="K582" t="str">
        <f>'Kapila hotel 21-08-26'!A189</f>
        <v>Jagrry Powdar</v>
      </c>
    </row>
    <row r="583" spans="11:11" x14ac:dyDescent="0.25">
      <c r="K583" t="str">
        <f>'Kapila hotel 21-08-26'!A190</f>
        <v>Jajikaya</v>
      </c>
    </row>
    <row r="584" spans="11:11" x14ac:dyDescent="0.25">
      <c r="K584" t="str">
        <f>'Kapila hotel 21-08-26'!A191</f>
        <v>Jal Jeera</v>
      </c>
    </row>
    <row r="585" spans="11:11" x14ac:dyDescent="0.25">
      <c r="K585" t="str">
        <f>'Kapila hotel 21-08-26'!A192</f>
        <v>Jalpan Carrybags 11*14</v>
      </c>
    </row>
    <row r="586" spans="11:11" x14ac:dyDescent="0.25">
      <c r="K586" t="str">
        <f>'Kapila hotel 21-08-26'!A193</f>
        <v>Jalpeno</v>
      </c>
    </row>
    <row r="587" spans="11:11" x14ac:dyDescent="0.25">
      <c r="K587" t="str">
        <f>'Kapila hotel 21-08-26'!A194</f>
        <v>Japathri</v>
      </c>
    </row>
    <row r="588" spans="11:11" x14ac:dyDescent="0.25">
      <c r="K588" t="str">
        <f>'Kapila hotel 21-08-26'!A195</f>
        <v>Jeera</v>
      </c>
    </row>
    <row r="589" spans="11:11" x14ac:dyDescent="0.25">
      <c r="K589" t="str">
        <f>'Kapila hotel 21-08-26'!A196</f>
        <v>Jeera Masala Syrup</v>
      </c>
    </row>
    <row r="590" spans="11:11" x14ac:dyDescent="0.25">
      <c r="K590" t="str">
        <f>'Kapila hotel 21-08-26'!A197</f>
        <v>Jeera Powder</v>
      </c>
    </row>
    <row r="591" spans="11:11" x14ac:dyDescent="0.25">
      <c r="K591" t="str">
        <f>'Kapila hotel 21-08-26'!A198</f>
        <v>Kabuli Channa</v>
      </c>
    </row>
    <row r="592" spans="11:11" x14ac:dyDescent="0.25">
      <c r="K592" t="str">
        <f>'Kapila hotel 21-08-26'!A199</f>
        <v>Kaddu</v>
      </c>
    </row>
    <row r="593" spans="11:11" x14ac:dyDescent="0.25">
      <c r="K593" t="str">
        <f>'Kapila hotel 21-08-26'!A200</f>
        <v>Kaju 2 Pieces</v>
      </c>
    </row>
    <row r="594" spans="11:11" x14ac:dyDescent="0.25">
      <c r="K594" t="str">
        <f>'Kapila hotel 21-08-26'!A201</f>
        <v>Kaju Nuka</v>
      </c>
    </row>
    <row r="595" spans="11:11" x14ac:dyDescent="0.25">
      <c r="K595" t="str">
        <f>'Kapila hotel 21-08-26'!A202</f>
        <v>Kakarkaya</v>
      </c>
    </row>
    <row r="596" spans="11:11" x14ac:dyDescent="0.25">
      <c r="K596" t="str">
        <f>'Kapila hotel 21-08-26'!A203</f>
        <v>Kala Khatta Syrup</v>
      </c>
    </row>
    <row r="597" spans="11:11" x14ac:dyDescent="0.25">
      <c r="K597" t="str">
        <f>'Kapila hotel 21-08-26'!A204</f>
        <v>Karivepaku</v>
      </c>
    </row>
    <row r="598" spans="11:11" x14ac:dyDescent="0.25">
      <c r="K598" t="str">
        <f>'Kapila hotel 21-08-26'!A205</f>
        <v>Kashmiri Mirchi Powder</v>
      </c>
    </row>
    <row r="599" spans="11:11" x14ac:dyDescent="0.25">
      <c r="K599" t="str">
        <f>'Kapila hotel 21-08-26'!A206</f>
        <v>Kasturi Methi</v>
      </c>
    </row>
    <row r="600" spans="11:11" x14ac:dyDescent="0.25">
      <c r="K600" t="str">
        <f>'Kapila hotel 21-08-26'!A207</f>
        <v>Keera Dosakaya</v>
      </c>
    </row>
    <row r="601" spans="11:11" x14ac:dyDescent="0.25">
      <c r="K601" t="str">
        <f>'Kapila hotel 21-08-26'!A208</f>
        <v>Kewara Water</v>
      </c>
    </row>
    <row r="602" spans="11:11" x14ac:dyDescent="0.25">
      <c r="K602" t="str">
        <f>'Kapila hotel 21-08-26'!A209</f>
        <v>Khas Khas</v>
      </c>
    </row>
    <row r="603" spans="11:11" x14ac:dyDescent="0.25">
      <c r="K603" t="str">
        <f>'Kapila hotel 21-08-26'!A210</f>
        <v>King Wrap</v>
      </c>
    </row>
    <row r="604" spans="11:11" x14ac:dyDescent="0.25">
      <c r="K604" t="str">
        <f>'Kapila hotel 21-08-26'!A211</f>
        <v>Kinley 1lit Water</v>
      </c>
    </row>
    <row r="605" spans="11:11" x14ac:dyDescent="0.25">
      <c r="K605" t="str">
        <f>'Kapila hotel 21-08-26'!A212</f>
        <v>Kinley 500ml Water</v>
      </c>
    </row>
    <row r="606" spans="11:11" x14ac:dyDescent="0.25">
      <c r="K606" t="str">
        <f>'Kapila hotel 21-08-26'!A213</f>
        <v>Kismis</v>
      </c>
    </row>
    <row r="607" spans="11:11" x14ac:dyDescent="0.25">
      <c r="K607" t="str">
        <f>'Kapila hotel 21-08-26'!A214</f>
        <v>Kissan Jam</v>
      </c>
    </row>
    <row r="608" spans="11:11" x14ac:dyDescent="0.25">
      <c r="K608" t="str">
        <f>'Kapila hotel 21-08-26'!A215</f>
        <v>Kit Kat</v>
      </c>
    </row>
    <row r="609" spans="11:11" x14ac:dyDescent="0.25">
      <c r="K609" t="str">
        <f>'Kapila hotel 21-08-26'!A216</f>
        <v>Kitchen King Masala</v>
      </c>
    </row>
    <row r="610" spans="11:11" x14ac:dyDescent="0.25">
      <c r="K610" t="str">
        <f>'Kapila hotel 21-08-26'!A217</f>
        <v>Kiwi Crush</v>
      </c>
    </row>
    <row r="611" spans="11:11" x14ac:dyDescent="0.25">
      <c r="K611" t="str">
        <f>'Kapila hotel 21-08-26'!A218</f>
        <v>Kothimira</v>
      </c>
    </row>
    <row r="612" spans="11:11" x14ac:dyDescent="0.25">
      <c r="K612" t="str">
        <f>'Kapila hotel 21-08-26'!A219</f>
        <v>Kova</v>
      </c>
    </row>
    <row r="613" spans="11:11" x14ac:dyDescent="0.25">
      <c r="K613" t="str">
        <f>'Kapila hotel 21-08-26'!A220</f>
        <v>Kunafa</v>
      </c>
    </row>
    <row r="614" spans="11:11" x14ac:dyDescent="0.25">
      <c r="K614" t="str">
        <f>'Kapila hotel 21-08-26'!A221</f>
        <v>Kurbani</v>
      </c>
    </row>
    <row r="615" spans="11:11" x14ac:dyDescent="0.25">
      <c r="K615" t="str">
        <f>'Kapila hotel 21-08-26'!A222</f>
        <v>Lamsa</v>
      </c>
    </row>
    <row r="616" spans="11:11" x14ac:dyDescent="0.25">
      <c r="K616" t="str">
        <f>'Kapila hotel 21-08-26'!A223</f>
        <v>Lavang</v>
      </c>
    </row>
    <row r="617" spans="11:11" x14ac:dyDescent="0.25">
      <c r="K617" t="str">
        <f>'Kapila hotel 21-08-26'!A224</f>
        <v>Leaf Buffe Paltes</v>
      </c>
    </row>
    <row r="618" spans="11:11" x14ac:dyDescent="0.25">
      <c r="K618" t="str">
        <f>'Kapila hotel 21-08-26'!A225</f>
        <v>Lemon Salt</v>
      </c>
    </row>
    <row r="619" spans="11:11" x14ac:dyDescent="0.25">
      <c r="K619" t="str">
        <f>'Kapila hotel 21-08-26'!A226</f>
        <v>Lemons</v>
      </c>
    </row>
    <row r="620" spans="11:11" x14ac:dyDescent="0.25">
      <c r="K620" t="str">
        <f>'Kapila hotel 21-08-26'!A227</f>
        <v>Local Channa</v>
      </c>
    </row>
    <row r="621" spans="11:11" x14ac:dyDescent="0.25">
      <c r="K621" t="str">
        <f>'Kapila hotel 21-08-26'!A228</f>
        <v>M.water 1l</v>
      </c>
    </row>
    <row r="622" spans="11:11" x14ac:dyDescent="0.25">
      <c r="K622" t="str">
        <f>'Kapila hotel 21-08-26'!A229</f>
        <v>M.water 500ml</v>
      </c>
    </row>
    <row r="623" spans="11:11" x14ac:dyDescent="0.25">
      <c r="K623" t="str">
        <f>'Kapila hotel 21-08-26'!A230</f>
        <v>M.watr 250 Ml</v>
      </c>
    </row>
    <row r="624" spans="11:11" x14ac:dyDescent="0.25">
      <c r="K624" t="str">
        <f>'Kapila hotel 21-08-26'!A231</f>
        <v>Maida</v>
      </c>
    </row>
    <row r="625" spans="11:11" x14ac:dyDescent="0.25">
      <c r="K625" t="str">
        <f>'Kapila hotel 21-08-26'!A232</f>
        <v>Makhan</v>
      </c>
    </row>
    <row r="626" spans="11:11" x14ac:dyDescent="0.25">
      <c r="K626" t="str">
        <f>'Kapila hotel 21-08-26'!A233</f>
        <v>Makka Chudwa</v>
      </c>
    </row>
    <row r="627" spans="11:11" x14ac:dyDescent="0.25">
      <c r="K627" t="str">
        <f>'Kapila hotel 21-08-26'!A234</f>
        <v>Mango Crush</v>
      </c>
    </row>
    <row r="628" spans="11:11" x14ac:dyDescent="0.25">
      <c r="K628" t="str">
        <f>'Kapila hotel 21-08-26'!A235</f>
        <v>Mango Ice Crem</v>
      </c>
    </row>
    <row r="629" spans="11:11" x14ac:dyDescent="0.25">
      <c r="K629" t="str">
        <f>'Kapila hotel 21-08-26'!A236</f>
        <v>Mango Pickle</v>
      </c>
    </row>
    <row r="630" spans="11:11" x14ac:dyDescent="0.25">
      <c r="K630" t="str">
        <f>'Kapila hotel 21-08-26'!A237</f>
        <v>Mangos</v>
      </c>
    </row>
    <row r="631" spans="11:11" x14ac:dyDescent="0.25">
      <c r="K631" t="str">
        <f>'Kapila hotel 21-08-26'!A238</f>
        <v>Marodride</v>
      </c>
    </row>
    <row r="632" spans="11:11" x14ac:dyDescent="0.25">
      <c r="K632" t="str">
        <f>'Kapila hotel 21-08-26'!A239</f>
        <v>Mask</v>
      </c>
    </row>
    <row r="633" spans="11:11" x14ac:dyDescent="0.25">
      <c r="K633" t="str">
        <f>'Kapila hotel 21-08-26'!A240</f>
        <v>Masoor Dal</v>
      </c>
    </row>
    <row r="634" spans="11:11" x14ac:dyDescent="0.25">
      <c r="K634" t="str">
        <f>'Kapila hotel 21-08-26'!A241</f>
        <v>Mayonnaise</v>
      </c>
    </row>
    <row r="635" spans="11:11" x14ac:dyDescent="0.25">
      <c r="K635" t="str">
        <f>'Kapila hotel 21-08-26'!A242</f>
        <v>Meal Maker</v>
      </c>
    </row>
    <row r="636" spans="11:11" x14ac:dyDescent="0.25">
      <c r="K636" t="str">
        <f>'Kapila hotel 21-08-26'!A243</f>
        <v>Meal Maker Keema</v>
      </c>
    </row>
    <row r="637" spans="11:11" x14ac:dyDescent="0.25">
      <c r="K637" t="str">
        <f>'Kapila hotel 21-08-26'!A244</f>
        <v>Mental</v>
      </c>
    </row>
    <row r="638" spans="11:11" x14ac:dyDescent="0.25">
      <c r="K638" t="str">
        <f>'Kapila hotel 21-08-26'!A245</f>
        <v>Mentulu</v>
      </c>
    </row>
    <row r="639" spans="11:11" x14ac:dyDescent="0.25">
      <c r="K639" t="str">
        <f>'Kapila hotel 21-08-26'!A246</f>
        <v>Milk</v>
      </c>
    </row>
    <row r="640" spans="11:11" x14ac:dyDescent="0.25">
      <c r="K640" t="str">
        <f>'Kapila hotel 21-08-26'!A247</f>
        <v>Milk Maid</v>
      </c>
    </row>
    <row r="641" spans="11:11" x14ac:dyDescent="0.25">
      <c r="K641" t="str">
        <f>'Kapila hotel 21-08-26'!A248</f>
        <v>Milk Powder</v>
      </c>
    </row>
    <row r="642" spans="11:11" x14ac:dyDescent="0.25">
      <c r="K642" t="str">
        <f>'Kapila hotel 21-08-26'!A249</f>
        <v>Moistirizer 20ml</v>
      </c>
    </row>
    <row r="643" spans="11:11" x14ac:dyDescent="0.25">
      <c r="K643" t="str">
        <f>'Kapila hotel 21-08-26'!A250</f>
        <v>Moong Dal</v>
      </c>
    </row>
    <row r="644" spans="11:11" x14ac:dyDescent="0.25">
      <c r="K644" t="str">
        <f>'Kapila hotel 21-08-26'!A251</f>
        <v>Mops</v>
      </c>
    </row>
    <row r="645" spans="11:11" x14ac:dyDescent="0.25">
      <c r="K645" t="str">
        <f>'Kapila hotel 21-08-26'!A252</f>
        <v>Mosambi</v>
      </c>
    </row>
    <row r="646" spans="11:11" x14ac:dyDescent="0.25">
      <c r="K646" t="str">
        <f>'Kapila hotel 21-08-26'!A253</f>
        <v>Mosquito Coil</v>
      </c>
    </row>
    <row r="647" spans="11:11" x14ac:dyDescent="0.25">
      <c r="K647" t="str">
        <f>'Kapila hotel 21-08-26'!A254</f>
        <v>Mote</v>
      </c>
    </row>
    <row r="648" spans="11:11" x14ac:dyDescent="0.25">
      <c r="K648" t="str">
        <f>'Kapila hotel 21-08-26'!A255</f>
        <v>Mozzarella Cheese</v>
      </c>
    </row>
    <row r="649" spans="11:11" x14ac:dyDescent="0.25">
      <c r="K649" t="str">
        <f>'Kapila hotel 21-08-26'!A256</f>
        <v>Mtr Sambar Powder</v>
      </c>
    </row>
    <row r="650" spans="11:11" x14ac:dyDescent="0.25">
      <c r="K650" t="str">
        <f>'Kapila hotel 21-08-26'!A257</f>
        <v>Munigekaya</v>
      </c>
    </row>
    <row r="651" spans="11:11" x14ac:dyDescent="0.25">
      <c r="K651" t="str">
        <f>'Kapila hotel 21-08-26'!A258</f>
        <v>Muottn Keema</v>
      </c>
    </row>
    <row r="652" spans="11:11" x14ac:dyDescent="0.25">
      <c r="K652" t="str">
        <f>'Kapila hotel 21-08-26'!A259</f>
        <v>Murmura</v>
      </c>
    </row>
    <row r="653" spans="11:11" x14ac:dyDescent="0.25">
      <c r="K653" t="str">
        <f>'Kapila hotel 21-08-26'!A260</f>
        <v>Mushroom</v>
      </c>
    </row>
    <row r="654" spans="11:11" x14ac:dyDescent="0.25">
      <c r="K654" t="str">
        <f>'Kapila hotel 21-08-26'!A261</f>
        <v>Muskmelon</v>
      </c>
    </row>
    <row r="655" spans="11:11" x14ac:dyDescent="0.25">
      <c r="K655" t="str">
        <f>'Kapila hotel 21-08-26'!A262</f>
        <v>Mustard Oil</v>
      </c>
    </row>
    <row r="656" spans="11:11" x14ac:dyDescent="0.25">
      <c r="K656" t="str">
        <f>'Kapila hotel 21-08-26'!A263</f>
        <v>Muttaon Botti</v>
      </c>
    </row>
    <row r="657" spans="11:11" x14ac:dyDescent="0.25">
      <c r="K657" t="str">
        <f>'Kapila hotel 21-08-26'!A264</f>
        <v>Mutton</v>
      </c>
    </row>
    <row r="658" spans="11:11" x14ac:dyDescent="0.25">
      <c r="K658" t="str">
        <f>'Kapila hotel 21-08-26'!A265</f>
        <v>Mutton Keema</v>
      </c>
    </row>
    <row r="659" spans="11:11" x14ac:dyDescent="0.25">
      <c r="K659" t="str">
        <f>'Kapila hotel 21-08-26'!A266</f>
        <v>Name Boards</v>
      </c>
    </row>
    <row r="660" spans="11:11" x14ac:dyDescent="0.25">
      <c r="K660" t="str">
        <f>'Kapila hotel 21-08-26'!A267</f>
        <v>Napkins</v>
      </c>
    </row>
    <row r="661" spans="11:11" x14ac:dyDescent="0.25">
      <c r="K661" t="str">
        <f>'Kapila hotel 21-08-26'!A268</f>
        <v>Noodles</v>
      </c>
    </row>
    <row r="662" spans="11:11" x14ac:dyDescent="0.25">
      <c r="K662" t="str">
        <f>'Kapila hotel 21-08-26'!A269</f>
        <v>Nutella Chocolate</v>
      </c>
    </row>
    <row r="663" spans="11:11" x14ac:dyDescent="0.25">
      <c r="K663" t="str">
        <f>'Kapila hotel 21-08-26'!A270</f>
        <v>Odonil</v>
      </c>
    </row>
    <row r="664" spans="11:11" x14ac:dyDescent="0.25">
      <c r="K664" t="str">
        <f>'Kapila hotel 21-08-26'!A271</f>
        <v>Onion</v>
      </c>
    </row>
    <row r="665" spans="11:11" x14ac:dyDescent="0.25">
      <c r="K665" t="str">
        <f>'Kapila hotel 21-08-26'!A272</f>
        <v>Orange</v>
      </c>
    </row>
    <row r="666" spans="11:11" x14ac:dyDescent="0.25">
      <c r="K666" t="str">
        <f>'Kapila hotel 21-08-26'!A273</f>
        <v>Orange Syrup</v>
      </c>
    </row>
    <row r="667" spans="11:11" x14ac:dyDescent="0.25">
      <c r="K667" t="str">
        <f>'Kapila hotel 21-08-26'!A274</f>
        <v>Oregano 500gm</v>
      </c>
    </row>
    <row r="668" spans="11:11" x14ac:dyDescent="0.25">
      <c r="K668" t="str">
        <f>'Kapila hotel 21-08-26'!A275</f>
        <v>Oregano Sachet</v>
      </c>
    </row>
    <row r="669" spans="11:11" x14ac:dyDescent="0.25">
      <c r="K669" t="str">
        <f>'Kapila hotel 21-08-26'!A276</f>
        <v>Oreng</v>
      </c>
    </row>
    <row r="670" spans="11:11" x14ac:dyDescent="0.25">
      <c r="K670" t="str">
        <f>'Kapila hotel 21-08-26'!A277</f>
        <v>Oreo Biscuits</v>
      </c>
    </row>
    <row r="671" spans="11:11" x14ac:dyDescent="0.25">
      <c r="K671" t="str">
        <f>'Kapila hotel 21-08-26'!A278</f>
        <v>Original Mint Mojitho</v>
      </c>
    </row>
    <row r="672" spans="11:11" x14ac:dyDescent="0.25">
      <c r="K672" t="str">
        <f>'Kapila hotel 21-08-26'!A279</f>
        <v>Osmaniya Biscuts</v>
      </c>
    </row>
    <row r="673" spans="11:11" x14ac:dyDescent="0.25">
      <c r="K673" t="str">
        <f>'Kapila hotel 21-08-26'!A280</f>
        <v>Palak</v>
      </c>
    </row>
    <row r="674" spans="11:11" x14ac:dyDescent="0.25">
      <c r="K674" t="str">
        <f>'Kapila hotel 21-08-26'!A281</f>
        <v>Pally Chutney</v>
      </c>
    </row>
    <row r="675" spans="11:11" x14ac:dyDescent="0.25">
      <c r="K675" t="str">
        <f>'Kapila hotel 21-08-26'!A282</f>
        <v>Palm Oil</v>
      </c>
    </row>
    <row r="676" spans="11:11" x14ac:dyDescent="0.25">
      <c r="K676" t="str">
        <f>'Kapila hotel 21-08-26'!A283</f>
        <v>Pan Kesari</v>
      </c>
    </row>
    <row r="677" spans="11:11" x14ac:dyDescent="0.25">
      <c r="K677" t="str">
        <f>'Kapila hotel 21-08-26'!A284</f>
        <v>Paneer</v>
      </c>
    </row>
    <row r="678" spans="11:11" x14ac:dyDescent="0.25">
      <c r="K678" t="str">
        <f>'Kapila hotel 21-08-26'!A285</f>
        <v>Paneer Momos</v>
      </c>
    </row>
    <row r="679" spans="11:11" x14ac:dyDescent="0.25">
      <c r="K679" t="str">
        <f>'Kapila hotel 21-08-26'!A286</f>
        <v>Panipuri Covars</v>
      </c>
    </row>
    <row r="680" spans="11:11" x14ac:dyDescent="0.25">
      <c r="K680" t="str">
        <f>'Kapila hotel 21-08-26'!A287</f>
        <v>Papad</v>
      </c>
    </row>
    <row r="681" spans="11:11" x14ac:dyDescent="0.25">
      <c r="K681" t="str">
        <f>'Kapila hotel 21-08-26'!A288</f>
        <v>Paper 1000ml Rect. Bowl</v>
      </c>
    </row>
    <row r="682" spans="11:11" x14ac:dyDescent="0.25">
      <c r="K682" t="str">
        <f>'Kapila hotel 21-08-26'!A289</f>
        <v>Paper 1000ml Rect. Lid</v>
      </c>
    </row>
    <row r="683" spans="11:11" x14ac:dyDescent="0.25">
      <c r="K683" t="str">
        <f>'Kapila hotel 21-08-26'!A290</f>
        <v>Paper 140ml Bowl</v>
      </c>
    </row>
    <row r="684" spans="11:11" x14ac:dyDescent="0.25">
      <c r="K684" t="str">
        <f>'Kapila hotel 21-08-26'!A291</f>
        <v>Paper 140ml Lid</v>
      </c>
    </row>
    <row r="685" spans="11:11" x14ac:dyDescent="0.25">
      <c r="K685" t="str">
        <f>'Kapila hotel 21-08-26'!A292</f>
        <v>Paper 350ml Bowl</v>
      </c>
    </row>
    <row r="686" spans="11:11" x14ac:dyDescent="0.25">
      <c r="K686" t="str">
        <f>'Kapila hotel 21-08-26'!A293</f>
        <v>Paper 350ml Lid</v>
      </c>
    </row>
    <row r="687" spans="11:11" x14ac:dyDescent="0.25">
      <c r="K687" t="str">
        <f>'Kapila hotel 21-08-26'!A294</f>
        <v>Paper 500ml Bowl</v>
      </c>
    </row>
    <row r="688" spans="11:11" x14ac:dyDescent="0.25">
      <c r="K688" t="str">
        <f>'Kapila hotel 21-08-26'!A295</f>
        <v>Paper 500ml Lid</v>
      </c>
    </row>
    <row r="689" spans="11:11" x14ac:dyDescent="0.25">
      <c r="K689" t="str">
        <f>'Kapila hotel 21-08-26'!A296</f>
        <v>Paper 750ml Rect. Bowl</v>
      </c>
    </row>
    <row r="690" spans="11:11" x14ac:dyDescent="0.25">
      <c r="K690" t="str">
        <f>'Kapila hotel 21-08-26'!A297</f>
        <v>Paper 750ml Rect. Lid</v>
      </c>
    </row>
    <row r="691" spans="11:11" x14ac:dyDescent="0.25">
      <c r="K691" t="str">
        <f>'Kapila hotel 21-08-26'!A298</f>
        <v>Paper Cover White</v>
      </c>
    </row>
    <row r="692" spans="11:11" x14ac:dyDescent="0.25">
      <c r="K692" t="str">
        <f>'Kapila hotel 21-08-26'!A299</f>
        <v>Paper Covers Small</v>
      </c>
    </row>
    <row r="693" spans="11:11" x14ac:dyDescent="0.25">
      <c r="K693" t="str">
        <f>'Kapila hotel 21-08-26'!A300</f>
        <v>Paper Rolls</v>
      </c>
    </row>
    <row r="694" spans="11:11" x14ac:dyDescent="0.25">
      <c r="K694" t="str">
        <f>'Kapila hotel 21-08-26'!A301</f>
        <v>Parcel Covers 4*6</v>
      </c>
    </row>
    <row r="695" spans="11:11" x14ac:dyDescent="0.25">
      <c r="K695" t="str">
        <f>'Kapila hotel 21-08-26'!A302</f>
        <v>Parcel Covers 5*8</v>
      </c>
    </row>
    <row r="696" spans="11:11" x14ac:dyDescent="0.25">
      <c r="K696" t="str">
        <f>'Kapila hotel 21-08-26'!A303</f>
        <v>Parcel Covers 6*9</v>
      </c>
    </row>
    <row r="697" spans="11:11" x14ac:dyDescent="0.25">
      <c r="K697" t="str">
        <f>'Kapila hotel 21-08-26'!A304</f>
        <v>Party Chiken</v>
      </c>
    </row>
    <row r="698" spans="11:11" x14ac:dyDescent="0.25">
      <c r="K698" t="str">
        <f>'Kapila hotel 21-08-26'!A305</f>
        <v>Party Item Cook</v>
      </c>
    </row>
    <row r="699" spans="11:11" x14ac:dyDescent="0.25">
      <c r="K699" t="str">
        <f>'Kapila hotel 21-08-26'!A306</f>
        <v>Pasta</v>
      </c>
    </row>
    <row r="700" spans="11:11" x14ac:dyDescent="0.25">
      <c r="K700" t="str">
        <f>'Kapila hotel 21-08-26'!A307</f>
        <v>Pather Pool</v>
      </c>
    </row>
    <row r="701" spans="11:11" x14ac:dyDescent="0.25">
      <c r="K701" t="str">
        <f>'Kapila hotel 21-08-26'!A308</f>
        <v>Pav</v>
      </c>
    </row>
    <row r="702" spans="11:11" x14ac:dyDescent="0.25">
      <c r="K702" t="str">
        <f>'Kapila hotel 21-08-26'!A309</f>
        <v>Pavbaji Masala</v>
      </c>
    </row>
    <row r="703" spans="11:11" x14ac:dyDescent="0.25">
      <c r="K703" t="str">
        <f>'Kapila hotel 21-08-26'!A310</f>
        <v>Peri Peri</v>
      </c>
    </row>
    <row r="704" spans="11:11" x14ac:dyDescent="0.25">
      <c r="K704" t="str">
        <f>'Kapila hotel 21-08-26'!A311</f>
        <v>Pesarlu</v>
      </c>
    </row>
    <row r="705" spans="11:11" x14ac:dyDescent="0.25">
      <c r="K705" t="str">
        <f>'Kapila hotel 21-08-26'!A312</f>
        <v>Pillow Covers</v>
      </c>
    </row>
    <row r="706" spans="11:11" x14ac:dyDescent="0.25">
      <c r="K706" t="str">
        <f>'Kapila hotel 21-08-26'!A313</f>
        <v>Pine Apple Big</v>
      </c>
    </row>
    <row r="707" spans="11:11" x14ac:dyDescent="0.25">
      <c r="K707" t="str">
        <f>'Kapila hotel 21-08-26'!A314</f>
        <v>Pineapple</v>
      </c>
    </row>
    <row r="708" spans="11:11" x14ac:dyDescent="0.25">
      <c r="K708" t="str">
        <f>'Kapila hotel 21-08-26'!A315</f>
        <v>Pineapple Crush</v>
      </c>
    </row>
    <row r="709" spans="11:11" x14ac:dyDescent="0.25">
      <c r="K709" t="str">
        <f>'Kapila hotel 21-08-26'!A316</f>
        <v>Pineapple Essence</v>
      </c>
    </row>
    <row r="710" spans="11:11" x14ac:dyDescent="0.25">
      <c r="K710" t="str">
        <f>'Kapila hotel 21-08-26'!A317</f>
        <v>Pineapple Syrup</v>
      </c>
    </row>
    <row r="711" spans="11:11" x14ac:dyDescent="0.25">
      <c r="K711" t="str">
        <f>'Kapila hotel 21-08-26'!A318</f>
        <v>Pista</v>
      </c>
    </row>
    <row r="712" spans="11:11" x14ac:dyDescent="0.25">
      <c r="K712" t="str">
        <f>'Kapila hotel 21-08-26'!A319</f>
        <v>Pista Ice Cream</v>
      </c>
    </row>
    <row r="713" spans="11:11" x14ac:dyDescent="0.25">
      <c r="K713" t="str">
        <f>'Kapila hotel 21-08-26'!A320</f>
        <v>Pitambaram</v>
      </c>
    </row>
    <row r="714" spans="11:11" x14ac:dyDescent="0.25">
      <c r="K714" t="str">
        <f>'Kapila hotel 21-08-26'!A321</f>
        <v>Pizza Box Big</v>
      </c>
    </row>
    <row r="715" spans="11:11" x14ac:dyDescent="0.25">
      <c r="K715" t="str">
        <f>'Kapila hotel 21-08-26'!A322</f>
        <v>Pizza Box Small</v>
      </c>
    </row>
    <row r="716" spans="11:11" x14ac:dyDescent="0.25">
      <c r="K716" t="str">
        <f>'Kapila hotel 21-08-26'!A323</f>
        <v>Pizza Sauce</v>
      </c>
    </row>
    <row r="717" spans="11:11" x14ac:dyDescent="0.25">
      <c r="K717" t="str">
        <f>'Kapila hotel 21-08-26'!A324</f>
        <v>Pomegranate</v>
      </c>
    </row>
    <row r="718" spans="11:11" x14ac:dyDescent="0.25">
      <c r="K718" t="str">
        <f>'Kapila hotel 21-08-26'!A325</f>
        <v>Potato</v>
      </c>
    </row>
    <row r="719" spans="11:11" x14ac:dyDescent="0.25">
      <c r="K719" t="str">
        <f>'Kapila hotel 21-08-26'!A326</f>
        <v>Prawns</v>
      </c>
    </row>
    <row r="720" spans="11:11" x14ac:dyDescent="0.25">
      <c r="K720" t="str">
        <f>'Kapila hotel 21-08-26'!A327</f>
        <v>Pudina</v>
      </c>
    </row>
    <row r="721" spans="11:11" x14ac:dyDescent="0.25">
      <c r="K721" t="str">
        <f>'Kapila hotel 21-08-26'!A328</f>
        <v>Puff Roti</v>
      </c>
    </row>
    <row r="722" spans="11:11" x14ac:dyDescent="0.25">
      <c r="K722" t="str">
        <f>'Kapila hotel 21-08-26'!A329</f>
        <v>Pumpkin</v>
      </c>
    </row>
    <row r="723" spans="11:11" x14ac:dyDescent="0.25">
      <c r="K723" t="str">
        <f>'Kapila hotel 21-08-26'!A330</f>
        <v>Putani</v>
      </c>
    </row>
    <row r="724" spans="11:11" x14ac:dyDescent="0.25">
      <c r="K724" t="str">
        <f>'Kapila hotel 21-08-26'!A331</f>
        <v>Ragi Flour</v>
      </c>
    </row>
    <row r="725" spans="11:11" x14ac:dyDescent="0.25">
      <c r="K725" t="str">
        <f>'Kapila hotel 21-08-26'!A332</f>
        <v>Rai</v>
      </c>
    </row>
    <row r="726" spans="11:11" x14ac:dyDescent="0.25">
      <c r="K726" t="str">
        <f>'Kapila hotel 21-08-26'!A333</f>
        <v>Rajma</v>
      </c>
    </row>
    <row r="727" spans="11:11" x14ac:dyDescent="0.25">
      <c r="K727" t="str">
        <f>'Kapila hotel 21-08-26'!A334</f>
        <v>Ramjadu</v>
      </c>
    </row>
    <row r="728" spans="11:11" x14ac:dyDescent="0.25">
      <c r="K728" t="str">
        <f>'Kapila hotel 21-08-26'!A335</f>
        <v>Rectrangle Box 500ml</v>
      </c>
    </row>
    <row r="729" spans="11:11" x14ac:dyDescent="0.25">
      <c r="K729" t="str">
        <f>'Kapila hotel 21-08-26'!A336</f>
        <v>Red Chilly</v>
      </c>
    </row>
    <row r="730" spans="11:11" x14ac:dyDescent="0.25">
      <c r="K730" t="str">
        <f>'Kapila hotel 21-08-26'!A337</f>
        <v>Red Chilly Sauce</v>
      </c>
    </row>
    <row r="731" spans="11:11" x14ac:dyDescent="0.25">
      <c r="K731" t="str">
        <f>'Kapila hotel 21-08-26'!A338</f>
        <v>Rock Salt</v>
      </c>
    </row>
    <row r="732" spans="11:11" x14ac:dyDescent="0.25">
      <c r="K732" t="str">
        <f>'Kapila hotel 21-08-26'!A339</f>
        <v>Room Freshner</v>
      </c>
    </row>
    <row r="733" spans="11:11" x14ac:dyDescent="0.25">
      <c r="K733" t="str">
        <f>'Kapila hotel 21-08-26'!A340</f>
        <v>Rose Syrup</v>
      </c>
    </row>
    <row r="734" spans="11:11" x14ac:dyDescent="0.25">
      <c r="K734" t="str">
        <f>'Kapila hotel 21-08-26'!A341</f>
        <v>Rose Water</v>
      </c>
    </row>
    <row r="735" spans="11:11" x14ac:dyDescent="0.25">
      <c r="K735" t="str">
        <f>'Kapila hotel 21-08-26'!A342</f>
        <v>Round Containar750ml</v>
      </c>
    </row>
    <row r="736" spans="11:11" x14ac:dyDescent="0.25">
      <c r="K736" t="str">
        <f>'Kapila hotel 21-08-26'!A343</f>
        <v>Round Pally</v>
      </c>
    </row>
    <row r="737" spans="11:11" x14ac:dyDescent="0.25">
      <c r="K737" t="str">
        <f>'Kapila hotel 21-08-26'!A344</f>
        <v>Sabjee Binge</v>
      </c>
    </row>
    <row r="738" spans="11:11" x14ac:dyDescent="0.25">
      <c r="K738" t="str">
        <f>'Kapila hotel 21-08-26'!A345</f>
        <v>Sabudana</v>
      </c>
    </row>
    <row r="739" spans="11:11" x14ac:dyDescent="0.25">
      <c r="K739" t="str">
        <f>'Kapila hotel 21-08-26'!A346</f>
        <v>Saffron</v>
      </c>
    </row>
    <row r="740" spans="11:11" x14ac:dyDescent="0.25">
      <c r="K740" t="str">
        <f>'Kapila hotel 21-08-26'!A347</f>
        <v>Sajeera</v>
      </c>
    </row>
    <row r="741" spans="11:11" x14ac:dyDescent="0.25">
      <c r="K741" t="str">
        <f>'Kapila hotel 21-08-26'!A348</f>
        <v>Salt Big</v>
      </c>
    </row>
    <row r="742" spans="11:11" x14ac:dyDescent="0.25">
      <c r="K742" t="str">
        <f>'Kapila hotel 21-08-26'!A349</f>
        <v>Sandwich Box</v>
      </c>
    </row>
    <row r="743" spans="11:11" x14ac:dyDescent="0.25">
      <c r="K743" t="str">
        <f>'Kapila hotel 21-08-26'!A350</f>
        <v>Sandwich Bread</v>
      </c>
    </row>
    <row r="744" spans="11:11" x14ac:dyDescent="0.25">
      <c r="K744" t="str">
        <f>'Kapila hotel 21-08-26'!A351</f>
        <v>Schezwan Chutney</v>
      </c>
    </row>
    <row r="745" spans="11:11" x14ac:dyDescent="0.25">
      <c r="K745" t="str">
        <f>'Kapila hotel 21-08-26'!A352</f>
        <v>Schezwan Sauce</v>
      </c>
    </row>
    <row r="746" spans="11:11" x14ac:dyDescent="0.25">
      <c r="K746" t="str">
        <f>'Kapila hotel 21-08-26'!A353</f>
        <v>Scrubber Alum</v>
      </c>
    </row>
    <row r="747" spans="11:11" x14ac:dyDescent="0.25">
      <c r="K747" t="str">
        <f>'Kapila hotel 21-08-26'!A354</f>
        <v>Scrubber Ordinary</v>
      </c>
    </row>
    <row r="748" spans="11:11" x14ac:dyDescent="0.25">
      <c r="K748" t="str">
        <f>'Kapila hotel 21-08-26'!A355</f>
        <v>Scrubber Plastic</v>
      </c>
    </row>
    <row r="749" spans="11:11" x14ac:dyDescent="0.25">
      <c r="K749" t="str">
        <f>'Kapila hotel 21-08-26'!A356</f>
        <v>Semiya</v>
      </c>
    </row>
    <row r="750" spans="11:11" x14ac:dyDescent="0.25">
      <c r="K750" t="str">
        <f>'Kapila hotel 21-08-26'!A357</f>
        <v>Senajal 1lit Water</v>
      </c>
    </row>
    <row r="751" spans="11:11" x14ac:dyDescent="0.25">
      <c r="K751" t="str">
        <f>'Kapila hotel 21-08-26'!A358</f>
        <v>Senajal 250ml Water</v>
      </c>
    </row>
    <row r="752" spans="11:11" x14ac:dyDescent="0.25">
      <c r="K752" t="str">
        <f>'Kapila hotel 21-08-26'!A359</f>
        <v>Senajal 500m.lit Water</v>
      </c>
    </row>
    <row r="753" spans="11:11" x14ac:dyDescent="0.25">
      <c r="K753" t="str">
        <f>'Kapila hotel 21-08-26'!A360</f>
        <v>Shamagadda</v>
      </c>
    </row>
    <row r="754" spans="11:11" x14ac:dyDescent="0.25">
      <c r="K754" t="str">
        <f>'Kapila hotel 21-08-26'!A361</f>
        <v>Shampoo</v>
      </c>
    </row>
    <row r="755" spans="11:11" x14ac:dyDescent="0.25">
      <c r="K755" t="str">
        <f>'Kapila hotel 21-08-26'!A362</f>
        <v>Shampoo Gel</v>
      </c>
    </row>
    <row r="756" spans="11:11" x14ac:dyDescent="0.25">
      <c r="K756" t="str">
        <f>'Kapila hotel 21-08-26'!A363</f>
        <v>Shower Gel</v>
      </c>
    </row>
    <row r="757" spans="11:11" x14ac:dyDescent="0.25">
      <c r="K757" t="str">
        <f>'Kapila hotel 21-08-26'!A364</f>
        <v>Silver Container Big</v>
      </c>
    </row>
    <row r="758" spans="11:11" x14ac:dyDescent="0.25">
      <c r="K758" t="str">
        <f>'Kapila hotel 21-08-26'!A365</f>
        <v>Silver Foil</v>
      </c>
    </row>
    <row r="759" spans="11:11" x14ac:dyDescent="0.25">
      <c r="K759" t="str">
        <f>'Kapila hotel 21-08-26'!A366</f>
        <v>Silver Pouch 5*7</v>
      </c>
    </row>
    <row r="760" spans="11:11" x14ac:dyDescent="0.25">
      <c r="K760" t="str">
        <f>'Kapila hotel 21-08-26'!A367</f>
        <v>Silver Pouch 6*8</v>
      </c>
    </row>
    <row r="761" spans="11:11" x14ac:dyDescent="0.25">
      <c r="K761" t="str">
        <f>'Kapila hotel 21-08-26'!A368</f>
        <v>Silver Pouch 7*9</v>
      </c>
    </row>
    <row r="762" spans="11:11" x14ac:dyDescent="0.25">
      <c r="K762" t="str">
        <f>'Kapila hotel 21-08-26'!A369</f>
        <v>Silver Pouch 8*10</v>
      </c>
    </row>
    <row r="763" spans="11:11" x14ac:dyDescent="0.25">
      <c r="K763" t="str">
        <f>'Kapila hotel 21-08-26'!A370</f>
        <v>Silver Pouch 9*12</v>
      </c>
    </row>
    <row r="764" spans="11:11" x14ac:dyDescent="0.25">
      <c r="K764" t="str">
        <f>'Kapila hotel 21-08-26'!A371</f>
        <v>Small Biscuit Box</v>
      </c>
    </row>
    <row r="765" spans="11:11" x14ac:dyDescent="0.25">
      <c r="K765" t="str">
        <f>'Kapila hotel 21-08-26'!A372</f>
        <v>Small Onion</v>
      </c>
    </row>
    <row r="766" spans="11:11" x14ac:dyDescent="0.25">
      <c r="K766" t="str">
        <f>'Kapila hotel 21-08-26'!A373</f>
        <v>Soap Oil</v>
      </c>
    </row>
    <row r="767" spans="11:11" x14ac:dyDescent="0.25">
      <c r="K767" t="str">
        <f>'Kapila hotel 21-08-26'!A374</f>
        <v>Soaps</v>
      </c>
    </row>
    <row r="768" spans="11:11" x14ac:dyDescent="0.25">
      <c r="K768" t="str">
        <f>'Kapila hotel 21-08-26'!A375</f>
        <v>Soda 750 Ml</v>
      </c>
    </row>
    <row r="769" spans="11:11" x14ac:dyDescent="0.25">
      <c r="K769" t="str">
        <f>'Kapila hotel 21-08-26'!A376</f>
        <v>Softy Chocolate Cone Powder</v>
      </c>
    </row>
    <row r="770" spans="11:11" x14ac:dyDescent="0.25">
      <c r="K770" t="str">
        <f>'Kapila hotel 21-08-26'!A377</f>
        <v>Softy Chocolate Milk</v>
      </c>
    </row>
    <row r="771" spans="11:11" x14ac:dyDescent="0.25">
      <c r="K771" t="str">
        <f>'Kapila hotel 21-08-26'!A378</f>
        <v>Softy Vanilla Cone Powder</v>
      </c>
    </row>
    <row r="772" spans="11:11" x14ac:dyDescent="0.25">
      <c r="K772" t="str">
        <f>'Kapila hotel 21-08-26'!A379</f>
        <v>Softy Vanilla Milk</v>
      </c>
    </row>
    <row r="773" spans="11:11" x14ac:dyDescent="0.25">
      <c r="K773" t="str">
        <f>'Kapila hotel 21-08-26'!A380</f>
        <v>Somp</v>
      </c>
    </row>
    <row r="774" spans="11:11" x14ac:dyDescent="0.25">
      <c r="K774" t="str">
        <f>'Kapila hotel 21-08-26'!A381</f>
        <v>Somp White</v>
      </c>
    </row>
    <row r="775" spans="11:11" x14ac:dyDescent="0.25">
      <c r="K775" t="str">
        <f>'Kapila hotel 21-08-26'!A382</f>
        <v>Sora Kaya</v>
      </c>
    </row>
    <row r="776" spans="11:11" x14ac:dyDescent="0.25">
      <c r="K776" t="str">
        <f>'Kapila hotel 21-08-26'!A383</f>
        <v>Soya Sauce</v>
      </c>
    </row>
    <row r="777" spans="11:11" x14ac:dyDescent="0.25">
      <c r="K777" t="str">
        <f>'Kapila hotel 21-08-26'!A384</f>
        <v>Sp.milk</v>
      </c>
    </row>
    <row r="778" spans="11:11" x14ac:dyDescent="0.25">
      <c r="K778" t="str">
        <f>'Kapila hotel 21-08-26'!A385</f>
        <v>Sponge</v>
      </c>
    </row>
    <row r="779" spans="11:11" x14ac:dyDescent="0.25">
      <c r="K779" t="str">
        <f>'Kapila hotel 21-08-26'!A386</f>
        <v>Spring Onion</v>
      </c>
    </row>
    <row r="780" spans="11:11" x14ac:dyDescent="0.25">
      <c r="K780" t="str">
        <f>'Kapila hotel 21-08-26'!A387</f>
        <v>Spring Rolls</v>
      </c>
    </row>
    <row r="781" spans="11:11" x14ac:dyDescent="0.25">
      <c r="K781" t="str">
        <f>'Kapila hotel 21-08-26'!A388</f>
        <v>Sprite 750 Ml</v>
      </c>
    </row>
    <row r="782" spans="11:11" x14ac:dyDescent="0.25">
      <c r="K782" t="str">
        <f>'Kapila hotel 21-08-26'!A389</f>
        <v>Star Pool</v>
      </c>
    </row>
    <row r="783" spans="11:11" x14ac:dyDescent="0.25">
      <c r="K783" t="str">
        <f>'Kapila hotel 21-08-26'!A390</f>
        <v>Strawberry Crush</v>
      </c>
    </row>
    <row r="784" spans="11:11" x14ac:dyDescent="0.25">
      <c r="K784" t="str">
        <f>'Kapila hotel 21-08-26'!A391</f>
        <v>Strawberry Ice Cream</v>
      </c>
    </row>
    <row r="785" spans="11:11" x14ac:dyDescent="0.25">
      <c r="K785" t="str">
        <f>'Kapila hotel 21-08-26'!A392</f>
        <v>Straws Big</v>
      </c>
    </row>
    <row r="786" spans="11:11" x14ac:dyDescent="0.25">
      <c r="K786" t="str">
        <f>'Kapila hotel 21-08-26'!A393</f>
        <v>Straws Small</v>
      </c>
    </row>
    <row r="787" spans="11:11" x14ac:dyDescent="0.25">
      <c r="K787" t="str">
        <f>'Kapila hotel 21-08-26'!A394</f>
        <v>Sugar</v>
      </c>
    </row>
    <row r="788" spans="11:11" x14ac:dyDescent="0.25">
      <c r="K788" t="str">
        <f>'Kapila hotel 21-08-26'!A395</f>
        <v>Sunflower Oil</v>
      </c>
    </row>
    <row r="789" spans="11:11" x14ac:dyDescent="0.25">
      <c r="K789" t="str">
        <f>'Kapila hotel 21-08-26'!A396</f>
        <v>Surf</v>
      </c>
    </row>
    <row r="790" spans="11:11" x14ac:dyDescent="0.25">
      <c r="K790" t="str">
        <f>'Kapila hotel 21-08-26'!A397</f>
        <v>Swastik Chilly Powder</v>
      </c>
    </row>
    <row r="791" spans="11:11" x14ac:dyDescent="0.25">
      <c r="K791" t="str">
        <f>'Kapila hotel 21-08-26'!A398</f>
        <v>Sweet Cone Momos</v>
      </c>
    </row>
    <row r="792" spans="11:11" x14ac:dyDescent="0.25">
      <c r="K792" t="str">
        <f>'Kapila hotel 21-08-26'!A399</f>
        <v>Sweet Corn Makka</v>
      </c>
    </row>
    <row r="793" spans="11:11" x14ac:dyDescent="0.25">
      <c r="K793" t="str">
        <f>'Kapila hotel 21-08-26'!A400</f>
        <v>Sweet Corn Pkt</v>
      </c>
    </row>
    <row r="794" spans="11:11" x14ac:dyDescent="0.25">
      <c r="K794" t="str">
        <f>'Kapila hotel 21-08-26'!A401</f>
        <v>Sweetcorn Tin</v>
      </c>
    </row>
    <row r="795" spans="11:11" x14ac:dyDescent="0.25">
      <c r="K795" t="str">
        <f>'Kapila hotel 21-08-26'!A402</f>
        <v>Tableroll</v>
      </c>
    </row>
    <row r="796" spans="11:11" x14ac:dyDescent="0.25">
      <c r="K796" t="str">
        <f>'Kapila hotel 21-08-26'!A403</f>
        <v>Tamalapakulu</v>
      </c>
    </row>
    <row r="797" spans="11:11" x14ac:dyDescent="0.25">
      <c r="K797" t="str">
        <f>'Kapila hotel 21-08-26'!A404</f>
        <v>Tamarind</v>
      </c>
    </row>
    <row r="798" spans="11:11" x14ac:dyDescent="0.25">
      <c r="K798" t="str">
        <f>'Kapila hotel 21-08-26'!A405</f>
        <v>Tamato</v>
      </c>
    </row>
    <row r="799" spans="11:11" x14ac:dyDescent="0.25">
      <c r="K799" t="str">
        <f>'Kapila hotel 21-08-26'!A406</f>
        <v>Tang Rasna</v>
      </c>
    </row>
    <row r="800" spans="11:11" x14ac:dyDescent="0.25">
      <c r="K800" t="str">
        <f>'Kapila hotel 21-08-26'!A407</f>
        <v>Tarbuj</v>
      </c>
    </row>
    <row r="801" spans="11:11" x14ac:dyDescent="0.25">
      <c r="K801" t="str">
        <f>'Kapila hotel 21-08-26'!A408</f>
        <v>Tata Salt</v>
      </c>
    </row>
    <row r="802" spans="11:11" x14ac:dyDescent="0.25">
      <c r="K802" t="str">
        <f>'Kapila hotel 21-08-26'!A409</f>
        <v>Tea Cups Big</v>
      </c>
    </row>
    <row r="803" spans="11:11" x14ac:dyDescent="0.25">
      <c r="K803" t="str">
        <f>'Kapila hotel 21-08-26'!A410</f>
        <v>Tea Cups Small</v>
      </c>
    </row>
    <row r="804" spans="11:11" x14ac:dyDescent="0.25">
      <c r="K804" t="str">
        <f>'Kapila hotel 21-08-26'!A411</f>
        <v>Tea Powder</v>
      </c>
    </row>
    <row r="805" spans="11:11" x14ac:dyDescent="0.25">
      <c r="K805" t="str">
        <f>'Kapila hotel 21-08-26'!A412</f>
        <v>Thoka Miryal</v>
      </c>
    </row>
    <row r="806" spans="11:11" x14ac:dyDescent="0.25">
      <c r="K806" t="str">
        <f>'Kapila hotel 21-08-26'!A413</f>
        <v>Thotakura</v>
      </c>
    </row>
    <row r="807" spans="11:11" x14ac:dyDescent="0.25">
      <c r="K807" t="str">
        <f>'Kapila hotel 21-08-26'!A414</f>
        <v>Till</v>
      </c>
    </row>
    <row r="808" spans="11:11" x14ac:dyDescent="0.25">
      <c r="K808" t="str">
        <f>'Kapila hotel 21-08-26'!A415</f>
        <v>Toilet Brush</v>
      </c>
    </row>
    <row r="809" spans="11:11" x14ac:dyDescent="0.25">
      <c r="K809" t="str">
        <f>'Kapila hotel 21-08-26'!A416</f>
        <v>Tomato Ketchup</v>
      </c>
    </row>
    <row r="810" spans="11:11" x14ac:dyDescent="0.25">
      <c r="K810" t="str">
        <f>'Kapila hotel 21-08-26'!A417</f>
        <v>Tomato Sauce</v>
      </c>
    </row>
    <row r="811" spans="11:11" x14ac:dyDescent="0.25">
      <c r="K811" t="str">
        <f>'Kapila hotel 21-08-26'!A418</f>
        <v>Tomato Sauce Glass</v>
      </c>
    </row>
    <row r="812" spans="11:11" x14ac:dyDescent="0.25">
      <c r="K812" t="str">
        <f>'Kapila hotel 21-08-26'!A419</f>
        <v>Tooth Pick</v>
      </c>
    </row>
    <row r="813" spans="11:11" x14ac:dyDescent="0.25">
      <c r="K813" t="str">
        <f>'Kapila hotel 21-08-26'!A420</f>
        <v>Towels</v>
      </c>
    </row>
    <row r="814" spans="11:11" x14ac:dyDescent="0.25">
      <c r="K814" t="str">
        <f>'Kapila hotel 21-08-26'!A421</f>
        <v>Tugar Dal</v>
      </c>
    </row>
    <row r="815" spans="11:11" x14ac:dyDescent="0.25">
      <c r="K815" t="str">
        <f>'Kapila hotel 21-08-26'!A422</f>
        <v>Turmeric Powder</v>
      </c>
    </row>
    <row r="816" spans="11:11" x14ac:dyDescent="0.25">
      <c r="K816" t="str">
        <f>'Kapila hotel 21-08-26'!A423</f>
        <v>Tuti Fruity</v>
      </c>
    </row>
    <row r="817" spans="11:11" x14ac:dyDescent="0.25">
      <c r="K817" t="str">
        <f>'Kapila hotel 21-08-26'!A424</f>
        <v>Un Salt Butter</v>
      </c>
    </row>
    <row r="818" spans="11:11" x14ac:dyDescent="0.25">
      <c r="K818" t="str">
        <f>'Kapila hotel 21-08-26'!A425</f>
        <v>Upma Ravva</v>
      </c>
    </row>
    <row r="819" spans="11:11" x14ac:dyDescent="0.25">
      <c r="K819" t="str">
        <f>'Kapila hotel 21-08-26'!A426</f>
        <v>Urad Dal</v>
      </c>
    </row>
    <row r="820" spans="11:11" x14ac:dyDescent="0.25">
      <c r="K820" t="str">
        <f>'Kapila hotel 21-08-26'!A427</f>
        <v>Vanila Spoung</v>
      </c>
    </row>
    <row r="821" spans="11:11" x14ac:dyDescent="0.25">
      <c r="K821" t="str">
        <f>'Kapila hotel 21-08-26'!A428</f>
        <v>Vanilla Essence</v>
      </c>
    </row>
    <row r="822" spans="11:11" x14ac:dyDescent="0.25">
      <c r="K822" t="str">
        <f>'Kapila hotel 21-08-26'!A429</f>
        <v>Vanilla Ice Cream</v>
      </c>
    </row>
    <row r="823" spans="11:11" x14ac:dyDescent="0.25">
      <c r="K823" t="str">
        <f>'Kapila hotel 21-08-26'!A430</f>
        <v>Vankaya</v>
      </c>
    </row>
    <row r="824" spans="11:11" x14ac:dyDescent="0.25">
      <c r="K824" t="str">
        <f>'Kapila hotel 21-08-26'!A431</f>
        <v>Veg Momos</v>
      </c>
    </row>
    <row r="825" spans="11:11" x14ac:dyDescent="0.25">
      <c r="K825" t="str">
        <f>'Kapila hotel 21-08-26'!A432</f>
        <v>Veg Oyster Sauce</v>
      </c>
    </row>
    <row r="826" spans="11:11" x14ac:dyDescent="0.25">
      <c r="K826" t="str">
        <f>'Kapila hotel 21-08-26'!A433</f>
        <v>Vegetables</v>
      </c>
    </row>
    <row r="827" spans="11:11" x14ac:dyDescent="0.25">
      <c r="K827" t="str">
        <f>'Kapila hotel 21-08-26'!A434</f>
        <v>Viniger</v>
      </c>
    </row>
    <row r="828" spans="11:11" x14ac:dyDescent="0.25">
      <c r="K828" t="str">
        <f>'Kapila hotel 21-08-26'!A435</f>
        <v>Walnut</v>
      </c>
    </row>
    <row r="829" spans="11:11" x14ac:dyDescent="0.25">
      <c r="K829" t="str">
        <f>'Kapila hotel 21-08-26'!A436</f>
        <v>Water Glass</v>
      </c>
    </row>
    <row r="830" spans="11:11" x14ac:dyDescent="0.25">
      <c r="K830" t="str">
        <f>'Kapila hotel 21-08-26'!A437</f>
        <v>Water Melon Syrup</v>
      </c>
    </row>
    <row r="831" spans="11:11" x14ac:dyDescent="0.25">
      <c r="K831" t="str">
        <f>'Kapila hotel 21-08-26'!A438</f>
        <v>Watermelon</v>
      </c>
    </row>
    <row r="832" spans="11:11" x14ac:dyDescent="0.25">
      <c r="K832" t="str">
        <f>'Kapila hotel 21-08-26'!A439</f>
        <v>White Batana</v>
      </c>
    </row>
    <row r="833" spans="11:11" x14ac:dyDescent="0.25">
      <c r="K833" t="str">
        <f>'Kapila hotel 21-08-26'!A440</f>
        <v>White Buffe Plates</v>
      </c>
    </row>
    <row r="834" spans="11:11" x14ac:dyDescent="0.25">
      <c r="K834" t="str">
        <f>'Kapila hotel 21-08-26'!A441</f>
        <v>White Pepper</v>
      </c>
    </row>
    <row r="835" spans="11:11" x14ac:dyDescent="0.25">
      <c r="K835" t="str">
        <f>'Kapila hotel 21-08-26'!A442</f>
        <v>White Tape</v>
      </c>
    </row>
    <row r="836" spans="11:11" x14ac:dyDescent="0.25">
      <c r="K836" t="str">
        <f>'Kapila hotel 21-08-26'!A443</f>
        <v>Wiper</v>
      </c>
    </row>
    <row r="837" spans="11:11" x14ac:dyDescent="0.25">
      <c r="K837" t="str">
        <f>'Kapila hotel 21-08-26'!A444</f>
        <v>Wooden Fork</v>
      </c>
    </row>
    <row r="838" spans="11:11" x14ac:dyDescent="0.25">
      <c r="K838" t="str">
        <f>'Kapila hotel 21-08-26'!A445</f>
        <v>Wooden Icecream Spoon</v>
      </c>
    </row>
    <row r="839" spans="11:11" x14ac:dyDescent="0.25">
      <c r="K839" t="str">
        <f>'Kapila hotel 21-08-26'!A446</f>
        <v>Wooden Spoons Big</v>
      </c>
    </row>
    <row r="840" spans="11:11" x14ac:dyDescent="0.25">
      <c r="K840" t="str">
        <f>'Kapila hotel 21-08-26'!A447</f>
        <v>Wooden Spoons Small</v>
      </c>
    </row>
  </sheetData>
  <autoFilter ref="A1:H480" xr:uid="{EC2E32C5-13AA-4D30-91C3-F3F681D22299}">
    <filterColumn colId="7">
      <filters>
        <filter val="Missing in App"/>
      </filters>
    </filterColumn>
  </autoFilter>
  <conditionalFormatting sqref="A2:H480">
    <cfRule type="expression" dxfId="1" priority="1">
      <formula>AND($A2&lt;&gt;"",$H2="Discrepancy")</formula>
    </cfRule>
    <cfRule type="expression" dxfId="0" priority="2">
      <formula>AND($A2&lt;&gt;"",OR($H2="Missing in App",$H2="Missing in Hotel Data"))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Generated 2026-08-24</vt:lpstr>
      <vt:lpstr>Kapila hotel 21-08-26</vt:lpstr>
      <vt:lpstr>Discrepancy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mannan</cp:lastModifiedBy>
  <dcterms:created xsi:type="dcterms:W3CDTF">2026-08-24T07:36:11Z</dcterms:created>
  <dcterms:modified xsi:type="dcterms:W3CDTF">2026-08-29T18:32:55Z</dcterms:modified>
</cp:coreProperties>
</file>